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780" yWindow="990" windowWidth="15480" windowHeight="7605"/>
  </bookViews>
  <sheets>
    <sheet name="ETF13" sheetId="1" r:id="rId1"/>
    <sheet name="ETF22" sheetId="9" r:id="rId2"/>
    <sheet name="ETF32" sheetId="4" r:id="rId3"/>
    <sheet name="Dow30" sheetId="6" r:id="rId4"/>
    <sheet name="Brown4" sheetId="5" r:id="rId5"/>
    <sheet name="ETF 200" sheetId="7" r:id="rId6"/>
    <sheet name="ETFmax" sheetId="8" r:id="rId7"/>
    <sheet name="Notes" sheetId="10" r:id="rId8"/>
    <sheet name="Legal Notices" sheetId="11" r:id="rId9"/>
  </sheets>
  <definedNames>
    <definedName name="_xlnm._FilterDatabase" localSheetId="4" hidden="1">Brown4!$B$10:$R$14</definedName>
    <definedName name="_xlnm._FilterDatabase" localSheetId="3" hidden="1">'Dow30'!$B$10:$R$40</definedName>
    <definedName name="_xlnm._FilterDatabase" localSheetId="5" hidden="1">'ETF 200'!$B$10:$R$215</definedName>
    <definedName name="_xlnm._FilterDatabase" localSheetId="0" hidden="1">'ETF13'!$B$10:$R$23</definedName>
    <definedName name="_xlnm._FilterDatabase" localSheetId="1" hidden="1">'ETF22'!$B$10:$R$32</definedName>
    <definedName name="_xlnm._FilterDatabase" localSheetId="2" hidden="1">'ETF32'!$B$10:$R$36</definedName>
    <definedName name="_xlnm._FilterDatabase" localSheetId="6" hidden="1">ETFmax!$B$10:$R$1138</definedName>
  </definedNames>
  <calcPr calcId="145621"/>
</workbook>
</file>

<file path=xl/calcChain.xml><?xml version="1.0" encoding="utf-8"?>
<calcChain xmlns="http://schemas.openxmlformats.org/spreadsheetml/2006/main">
  <c r="B6" i="9" l="1"/>
  <c r="K5" i="9"/>
  <c r="L32" i="9"/>
  <c r="K11" i="9"/>
  <c r="L26" i="9"/>
  <c r="D15" i="9"/>
  <c r="L8" i="9"/>
  <c r="K18" i="9"/>
  <c r="L29" i="9"/>
  <c r="D32" i="9"/>
  <c r="D12" i="9"/>
  <c r="J26" i="9"/>
  <c r="K15" i="9"/>
  <c r="K22" i="9"/>
  <c r="L24" i="9"/>
  <c r="J13" i="9"/>
  <c r="D28" i="9"/>
  <c r="J31" i="9"/>
  <c r="K14" i="9"/>
  <c r="L17" i="9"/>
  <c r="J24" i="9"/>
  <c r="D17" i="9"/>
  <c r="L18" i="9"/>
  <c r="D27" i="9"/>
  <c r="L28" i="9"/>
  <c r="D31" i="9"/>
  <c r="J18" i="9"/>
  <c r="K8" i="9"/>
  <c r="D11" i="9"/>
  <c r="J21" i="9"/>
  <c r="L13" i="9"/>
  <c r="K30" i="9"/>
  <c r="D14" i="9"/>
  <c r="K21" i="9"/>
  <c r="L30" i="9"/>
  <c r="L27" i="9"/>
  <c r="J14" i="9"/>
  <c r="J30" i="9"/>
  <c r="D25" i="9"/>
  <c r="K25" i="9"/>
  <c r="D13" i="9"/>
  <c r="D20" i="9"/>
  <c r="K12" i="9"/>
  <c r="D22" i="9"/>
  <c r="K19" i="9"/>
  <c r="L15" i="9"/>
  <c r="L23" i="9"/>
  <c r="J17" i="9"/>
  <c r="J29" i="9"/>
  <c r="K24" i="9"/>
  <c r="K29" i="9"/>
  <c r="J20" i="9"/>
  <c r="J28" i="9"/>
  <c r="D26" i="9"/>
  <c r="K26" i="9"/>
  <c r="K28" i="9"/>
  <c r="L25" i="9"/>
  <c r="J23" i="9"/>
  <c r="D30" i="9"/>
  <c r="J32" i="9"/>
  <c r="D23" i="9"/>
  <c r="K17" i="9"/>
  <c r="J16" i="9"/>
  <c r="D24" i="9"/>
  <c r="L11" i="9"/>
  <c r="K31" i="9"/>
  <c r="L31" i="9"/>
  <c r="D16" i="9"/>
  <c r="D19" i="9"/>
  <c r="K23" i="9"/>
  <c r="D29" i="9"/>
  <c r="J15" i="9"/>
  <c r="L19" i="9"/>
  <c r="L12" i="9"/>
  <c r="L21" i="9"/>
  <c r="J12" i="9"/>
  <c r="J22" i="9"/>
  <c r="K32" i="9"/>
  <c r="K13" i="9"/>
  <c r="L16" i="9"/>
  <c r="D18" i="9"/>
  <c r="D21" i="9"/>
  <c r="J11" i="9"/>
  <c r="K27" i="9"/>
  <c r="L22" i="9"/>
  <c r="L14" i="9"/>
  <c r="J19" i="9"/>
  <c r="J27" i="9"/>
  <c r="K16" i="9"/>
  <c r="J25" i="9"/>
  <c r="K20" i="9"/>
  <c r="L20" i="9"/>
  <c r="H13" i="9" l="1"/>
  <c r="G13" i="9"/>
  <c r="E13" i="9"/>
  <c r="H15" i="9"/>
  <c r="E15" i="9"/>
  <c r="G15" i="9"/>
  <c r="H30" i="9"/>
  <c r="G30" i="9"/>
  <c r="E30" i="9"/>
  <c r="H23" i="9"/>
  <c r="E23" i="9"/>
  <c r="G23" i="9"/>
  <c r="H16" i="9"/>
  <c r="E16" i="9"/>
  <c r="G16" i="9"/>
  <c r="H11" i="9"/>
  <c r="E11" i="9"/>
  <c r="G11" i="9"/>
  <c r="H19" i="9"/>
  <c r="E19" i="9"/>
  <c r="G19" i="9"/>
  <c r="H28" i="9"/>
  <c r="E28" i="9"/>
  <c r="G28" i="9"/>
  <c r="H18" i="9"/>
  <c r="E18" i="9"/>
  <c r="G18" i="9"/>
  <c r="G14" i="9"/>
  <c r="E14" i="9"/>
  <c r="H14" i="9"/>
  <c r="G12" i="9"/>
  <c r="E12" i="9"/>
  <c r="H12" i="9"/>
  <c r="G22" i="9"/>
  <c r="E22" i="9"/>
  <c r="H22" i="9"/>
  <c r="G17" i="9"/>
  <c r="E17" i="9"/>
  <c r="H17" i="9"/>
  <c r="G20" i="9"/>
  <c r="E20" i="9"/>
  <c r="H20" i="9"/>
  <c r="G24" i="9"/>
  <c r="E24" i="9"/>
  <c r="H24" i="9"/>
  <c r="G25" i="9"/>
  <c r="E25" i="9"/>
  <c r="H25" i="9"/>
  <c r="G27" i="9"/>
  <c r="E27" i="9"/>
  <c r="H27" i="9"/>
  <c r="G26" i="9"/>
  <c r="E26" i="9"/>
  <c r="H26" i="9"/>
  <c r="G32" i="9"/>
  <c r="E32" i="9"/>
  <c r="H32" i="9"/>
  <c r="G21" i="9"/>
  <c r="E21" i="9"/>
  <c r="H21" i="9"/>
  <c r="G31" i="9"/>
  <c r="E31" i="9"/>
  <c r="H31" i="9"/>
  <c r="G29" i="9"/>
  <c r="E29" i="9"/>
  <c r="H29" i="9"/>
  <c r="O18" i="9" l="1"/>
  <c r="I18" i="9"/>
  <c r="N18" i="9"/>
  <c r="I28" i="9"/>
  <c r="N28" i="9"/>
  <c r="O28" i="9"/>
  <c r="I11" i="9"/>
  <c r="N11" i="9"/>
  <c r="O11" i="9"/>
  <c r="I23" i="9"/>
  <c r="N23" i="9"/>
  <c r="O23" i="9"/>
  <c r="I30" i="9"/>
  <c r="N30" i="9"/>
  <c r="I15" i="9"/>
  <c r="N15" i="9"/>
  <c r="O15" i="9"/>
  <c r="I13" i="9"/>
  <c r="N13" i="9"/>
  <c r="I19" i="9"/>
  <c r="N19" i="9"/>
  <c r="O19" i="9"/>
  <c r="I16" i="9"/>
  <c r="N16" i="9"/>
  <c r="O16" i="9"/>
  <c r="O30" i="9"/>
  <c r="O13" i="9"/>
  <c r="O29" i="9"/>
  <c r="O31" i="9"/>
  <c r="N31" i="9"/>
  <c r="I31" i="9"/>
  <c r="O32" i="9"/>
  <c r="N32" i="9"/>
  <c r="I32" i="9"/>
  <c r="O27" i="9"/>
  <c r="N27" i="9"/>
  <c r="I27" i="9"/>
  <c r="O24" i="9"/>
  <c r="N24" i="9"/>
  <c r="I24" i="9"/>
  <c r="O17" i="9"/>
  <c r="N17" i="9"/>
  <c r="I17" i="9"/>
  <c r="O12" i="9"/>
  <c r="N12" i="9"/>
  <c r="I12" i="9"/>
  <c r="N29" i="9"/>
  <c r="I29" i="9"/>
  <c r="O21" i="9"/>
  <c r="N21" i="9"/>
  <c r="I21" i="9"/>
  <c r="O26" i="9"/>
  <c r="N26" i="9"/>
  <c r="I26" i="9"/>
  <c r="O25" i="9"/>
  <c r="N25" i="9"/>
  <c r="I25" i="9"/>
  <c r="O20" i="9"/>
  <c r="N20" i="9"/>
  <c r="I20" i="9"/>
  <c r="O22" i="9"/>
  <c r="N22" i="9"/>
  <c r="I22" i="9"/>
  <c r="O14" i="9"/>
  <c r="N14" i="9"/>
  <c r="I14" i="9"/>
  <c r="P18" i="9" l="1"/>
  <c r="P29" i="9"/>
  <c r="P32" i="9"/>
  <c r="F16" i="9"/>
  <c r="P19" i="9"/>
  <c r="P13" i="9"/>
  <c r="F15" i="9"/>
  <c r="F30" i="9"/>
  <c r="P23" i="9"/>
  <c r="F11" i="9"/>
  <c r="P28" i="9"/>
  <c r="P16" i="9"/>
  <c r="F19" i="9"/>
  <c r="F13" i="9"/>
  <c r="P15" i="9"/>
  <c r="P30" i="9"/>
  <c r="F23" i="9"/>
  <c r="P11" i="9"/>
  <c r="F28" i="9"/>
  <c r="F18" i="9"/>
  <c r="F14" i="9"/>
  <c r="P22" i="9"/>
  <c r="P25" i="9"/>
  <c r="P21" i="9"/>
  <c r="P17" i="9"/>
  <c r="P27" i="9"/>
  <c r="P31" i="9"/>
  <c r="F20" i="9"/>
  <c r="F26" i="9"/>
  <c r="F29" i="9"/>
  <c r="F12" i="9"/>
  <c r="F24" i="9"/>
  <c r="F32" i="9"/>
  <c r="P14" i="9"/>
  <c r="F22" i="9"/>
  <c r="P20" i="9"/>
  <c r="F25" i="9"/>
  <c r="P26" i="9"/>
  <c r="F21" i="9"/>
  <c r="P12" i="9"/>
  <c r="F17" i="9"/>
  <c r="P24" i="9"/>
  <c r="F27" i="9"/>
  <c r="F31" i="9"/>
  <c r="Q32" i="9" l="1"/>
  <c r="R32" i="9" s="1"/>
  <c r="Q24" i="9"/>
  <c r="R24" i="9" s="1"/>
  <c r="Q18" i="9"/>
  <c r="R18" i="9" s="1"/>
  <c r="Q11" i="9"/>
  <c r="R11" i="9" s="1"/>
  <c r="Q30" i="9"/>
  <c r="R30" i="9" s="1"/>
  <c r="Q16" i="9"/>
  <c r="R16" i="9" s="1"/>
  <c r="Q28" i="9"/>
  <c r="R28" i="9" s="1"/>
  <c r="Q23" i="9"/>
  <c r="R23" i="9" s="1"/>
  <c r="Q19" i="9"/>
  <c r="R19" i="9" s="1"/>
  <c r="Q15" i="9"/>
  <c r="R15" i="9" s="1"/>
  <c r="Q13" i="9"/>
  <c r="R13" i="9" s="1"/>
  <c r="Q29" i="9"/>
  <c r="R29" i="9" s="1"/>
  <c r="Q26" i="9"/>
  <c r="R26" i="9" s="1"/>
  <c r="Q20" i="9"/>
  <c r="R20" i="9" s="1"/>
  <c r="Q14" i="9"/>
  <c r="R14" i="9" s="1"/>
  <c r="Q21" i="9"/>
  <c r="R21" i="9" s="1"/>
  <c r="Q25" i="9"/>
  <c r="R25" i="9" s="1"/>
  <c r="Q22" i="9"/>
  <c r="R22" i="9" s="1"/>
  <c r="Q12" i="9"/>
  <c r="R12" i="9" s="1"/>
  <c r="Q31" i="9"/>
  <c r="R31" i="9" s="1"/>
  <c r="Q27" i="9"/>
  <c r="R27" i="9" s="1"/>
  <c r="Q17" i="9"/>
  <c r="R17" i="9" s="1"/>
  <c r="B6" i="4" l="1"/>
  <c r="B6" i="1"/>
  <c r="D23" i="1"/>
  <c r="D23" i="4"/>
  <c r="J20" i="4"/>
  <c r="J15" i="4"/>
  <c r="D20" i="4"/>
  <c r="J11" i="4"/>
  <c r="D13" i="1"/>
  <c r="D21" i="1"/>
  <c r="D22" i="1"/>
  <c r="D17" i="1"/>
  <c r="J23" i="4"/>
  <c r="D15" i="4"/>
  <c r="D18" i="1"/>
  <c r="D19" i="1"/>
  <c r="D11" i="1"/>
  <c r="D14" i="1"/>
  <c r="J17" i="4"/>
  <c r="J22" i="4"/>
  <c r="D20" i="1"/>
  <c r="D17" i="4"/>
  <c r="D11" i="4"/>
  <c r="D22" i="4"/>
  <c r="D16" i="1"/>
  <c r="D15" i="1"/>
  <c r="E22" i="4" l="1"/>
  <c r="E11" i="4"/>
  <c r="E15" i="4"/>
  <c r="E17" i="4"/>
  <c r="E23" i="4"/>
  <c r="E20" i="4"/>
  <c r="K5" i="8"/>
  <c r="J8" i="8" s="1"/>
  <c r="K5" i="7"/>
  <c r="K5" i="5"/>
  <c r="J8" i="5" s="1"/>
  <c r="K5" i="6"/>
  <c r="J8" i="6" s="1"/>
  <c r="K5" i="4"/>
  <c r="K5" i="1"/>
  <c r="J21" i="6"/>
  <c r="J31" i="6"/>
  <c r="J27" i="6"/>
  <c r="J39" i="6"/>
  <c r="J15" i="6"/>
  <c r="J40" i="6"/>
  <c r="J13" i="6"/>
  <c r="J11" i="6"/>
  <c r="J37" i="6"/>
  <c r="J22" i="6"/>
  <c r="J33" i="6"/>
  <c r="J17" i="6"/>
  <c r="J25" i="6"/>
  <c r="J28" i="6"/>
  <c r="J36" i="6"/>
  <c r="J23" i="6"/>
  <c r="J14" i="6"/>
  <c r="J32" i="6"/>
  <c r="J72" i="8"/>
  <c r="J18" i="6"/>
  <c r="J30" i="6"/>
  <c r="J35" i="6"/>
  <c r="J19" i="6"/>
  <c r="J12" i="6"/>
  <c r="J34" i="6"/>
  <c r="J20" i="6"/>
  <c r="J26" i="6"/>
  <c r="J24" i="6"/>
  <c r="J29" i="6"/>
  <c r="D72" i="8"/>
  <c r="J16" i="6"/>
  <c r="J38" i="6"/>
  <c r="E72" i="8" l="1"/>
  <c r="J908" i="8"/>
  <c r="J333" i="8"/>
  <c r="D221" i="8"/>
  <c r="D927" i="8"/>
  <c r="J447" i="8"/>
  <c r="D769" i="8"/>
  <c r="D1089" i="8"/>
  <c r="J905" i="8"/>
  <c r="D992" i="8"/>
  <c r="D345" i="8"/>
  <c r="J60" i="8"/>
  <c r="J1125" i="8"/>
  <c r="J741" i="8"/>
  <c r="D540" i="8"/>
  <c r="D246" i="8"/>
  <c r="D429" i="8"/>
  <c r="J371" i="8"/>
  <c r="D347" i="8"/>
  <c r="D1126" i="8"/>
  <c r="D482" i="8"/>
  <c r="D342" i="8"/>
  <c r="D572" i="8"/>
  <c r="D488" i="8"/>
  <c r="J252" i="8"/>
  <c r="D760" i="8"/>
  <c r="D151" i="8"/>
  <c r="D743" i="8"/>
  <c r="J567" i="8"/>
  <c r="J1063" i="8"/>
  <c r="D292" i="8"/>
  <c r="D70" i="8"/>
  <c r="J433" i="8"/>
  <c r="J1068" i="8"/>
  <c r="J318" i="8"/>
  <c r="D60" i="8"/>
  <c r="J255" i="8"/>
  <c r="D124" i="8"/>
  <c r="D276" i="8"/>
  <c r="J739" i="8"/>
  <c r="J75" i="8"/>
  <c r="D979" i="8"/>
  <c r="J725" i="8"/>
  <c r="J531" i="8"/>
  <c r="J80" i="8"/>
  <c r="D615" i="8"/>
  <c r="J27" i="4"/>
  <c r="D288" i="8"/>
  <c r="J478" i="8"/>
  <c r="D889" i="8"/>
  <c r="D1128" i="8"/>
  <c r="D709" i="8"/>
  <c r="D672" i="8"/>
  <c r="D752" i="8"/>
  <c r="J535" i="8"/>
  <c r="D699" i="8"/>
  <c r="J870" i="8"/>
  <c r="J936" i="8"/>
  <c r="J150" i="8"/>
  <c r="J348" i="8"/>
  <c r="J397" i="8"/>
  <c r="J13" i="8"/>
  <c r="D128" i="8"/>
  <c r="J657" i="8"/>
  <c r="J254" i="8"/>
  <c r="D1099" i="8"/>
  <c r="D339" i="8"/>
  <c r="D420" i="8"/>
  <c r="J40" i="7"/>
  <c r="D638" i="8"/>
  <c r="D1072" i="8"/>
  <c r="J172" i="7"/>
  <c r="J18" i="8"/>
  <c r="D1021" i="8"/>
  <c r="D991" i="8"/>
  <c r="D650" i="8"/>
  <c r="J822" i="8"/>
  <c r="J27" i="8"/>
  <c r="J1066" i="8"/>
  <c r="J693" i="8"/>
  <c r="D765" i="8"/>
  <c r="D446" i="8"/>
  <c r="J1089" i="8"/>
  <c r="J11" i="8"/>
  <c r="D515" i="8"/>
  <c r="J901" i="8"/>
  <c r="J307" i="8"/>
  <c r="J237" i="8"/>
  <c r="J512" i="8"/>
  <c r="J784" i="8"/>
  <c r="D449" i="8"/>
  <c r="J317" i="8"/>
  <c r="D904" i="8"/>
  <c r="J859" i="8"/>
  <c r="D443" i="8"/>
  <c r="J1136" i="8"/>
  <c r="D1075" i="8"/>
  <c r="J833" i="8"/>
  <c r="J783" i="8"/>
  <c r="D365" i="8"/>
  <c r="D839" i="8"/>
  <c r="J890" i="8"/>
  <c r="D392" i="8"/>
  <c r="D1079" i="8"/>
  <c r="J785" i="8"/>
  <c r="D170" i="8"/>
  <c r="D754" i="8"/>
  <c r="D387" i="8"/>
  <c r="D607" i="8"/>
  <c r="D601" i="8"/>
  <c r="J103" i="7"/>
  <c r="D870" i="8"/>
  <c r="D492" i="8"/>
  <c r="J886" i="8"/>
  <c r="J668" i="8"/>
  <c r="J402" i="8"/>
  <c r="J263" i="8"/>
  <c r="D364" i="8"/>
  <c r="L496" i="8"/>
  <c r="J391" i="8"/>
  <c r="D266" i="8"/>
  <c r="D573" i="8"/>
  <c r="J868" i="8"/>
  <c r="D749" i="8"/>
  <c r="D305" i="8"/>
  <c r="D337" i="8"/>
  <c r="D1059" i="8"/>
  <c r="D681" i="8"/>
  <c r="D1051" i="8"/>
  <c r="D926" i="8"/>
  <c r="D1077" i="8"/>
  <c r="D84" i="8"/>
  <c r="D800" i="8"/>
  <c r="D734" i="8"/>
  <c r="J858" i="8"/>
  <c r="D118" i="7"/>
  <c r="J576" i="8"/>
  <c r="J45" i="8"/>
  <c r="J93" i="8"/>
  <c r="J248" i="8"/>
  <c r="D1087" i="8"/>
  <c r="J636" i="8"/>
  <c r="J380" i="8"/>
  <c r="D110" i="8"/>
  <c r="J861" i="8"/>
  <c r="D916" i="8"/>
  <c r="D253" i="8"/>
  <c r="D226" i="8"/>
  <c r="D1135" i="8"/>
  <c r="D541" i="8"/>
  <c r="D450" i="8"/>
  <c r="J144" i="8"/>
  <c r="D185" i="8"/>
  <c r="D1091" i="8"/>
  <c r="J279" i="8"/>
  <c r="J825" i="8"/>
  <c r="D1138" i="8"/>
  <c r="J648" i="8"/>
  <c r="D794" i="8"/>
  <c r="J163" i="8"/>
  <c r="D28" i="6"/>
  <c r="D176" i="8"/>
  <c r="D79" i="8"/>
  <c r="J425" i="8"/>
  <c r="D826" i="8"/>
  <c r="J484" i="8"/>
  <c r="J455" i="8"/>
  <c r="J1039" i="8"/>
  <c r="D663" i="8"/>
  <c r="J204" i="8"/>
  <c r="J352" i="8"/>
  <c r="J32" i="4"/>
  <c r="J941" i="8"/>
  <c r="J168" i="8"/>
  <c r="J450" i="8"/>
  <c r="J83" i="7"/>
  <c r="D804" i="8"/>
  <c r="D970" i="8"/>
  <c r="D589" i="8"/>
  <c r="D538" i="8"/>
  <c r="J460" i="8"/>
  <c r="D195" i="8"/>
  <c r="D111" i="8"/>
  <c r="D888" i="8"/>
  <c r="D785" i="8"/>
  <c r="J999" i="8"/>
  <c r="D413" i="8"/>
  <c r="D1100" i="8"/>
  <c r="D941" i="8"/>
  <c r="J933" i="8"/>
  <c r="J808" i="8"/>
  <c r="D957" i="8"/>
  <c r="D837" i="8"/>
  <c r="D565" i="8"/>
  <c r="J976" i="8"/>
  <c r="J894" i="8"/>
  <c r="J682" i="8"/>
  <c r="J1076" i="8"/>
  <c r="D148" i="7"/>
  <c r="J281" i="8"/>
  <c r="D613" i="8"/>
  <c r="D338" i="8"/>
  <c r="J846" i="8"/>
  <c r="J836" i="8"/>
  <c r="J1038" i="8"/>
  <c r="D1020" i="8"/>
  <c r="J709" i="8"/>
  <c r="J138" i="7"/>
  <c r="J569" i="8"/>
  <c r="J887" i="8"/>
  <c r="D1124" i="8"/>
  <c r="D290" i="8"/>
  <c r="J626" i="8"/>
  <c r="D151" i="7"/>
  <c r="D165" i="8"/>
  <c r="J195" i="8"/>
  <c r="D1127" i="8"/>
  <c r="J192" i="8"/>
  <c r="D41" i="7"/>
  <c r="J46" i="7"/>
  <c r="J809" i="8"/>
  <c r="J983" i="8"/>
  <c r="D58" i="8"/>
  <c r="J1064" i="8"/>
  <c r="J384" i="8"/>
  <c r="D255" i="8"/>
  <c r="D268" i="8"/>
  <c r="D917" i="8"/>
  <c r="J138" i="8"/>
  <c r="J556" i="8"/>
  <c r="D372" i="8"/>
  <c r="J190" i="8"/>
  <c r="J511" i="8"/>
  <c r="J442" i="8"/>
  <c r="J820" i="8"/>
  <c r="J361" i="8"/>
  <c r="J165" i="7"/>
  <c r="D834" i="8"/>
  <c r="D569" i="8"/>
  <c r="D12" i="8"/>
  <c r="J1021" i="8"/>
  <c r="J422" i="8"/>
  <c r="J477" i="8"/>
  <c r="J199" i="8"/>
  <c r="J124" i="8"/>
  <c r="D657" i="8"/>
  <c r="D101" i="8"/>
  <c r="D996" i="8"/>
  <c r="J1095" i="8"/>
  <c r="J543" i="8"/>
  <c r="D525" i="8"/>
  <c r="D910" i="8"/>
  <c r="J194" i="8"/>
  <c r="J1036" i="8"/>
  <c r="J723" i="8"/>
  <c r="D158" i="8"/>
  <c r="J401" i="8"/>
  <c r="D660" i="8"/>
  <c r="D933" i="8"/>
  <c r="D939" i="8"/>
  <c r="D779" i="8"/>
  <c r="J929" i="8"/>
  <c r="J340" i="8"/>
  <c r="D776" i="8"/>
  <c r="D19" i="6"/>
  <c r="J603" i="8"/>
  <c r="J943" i="8"/>
  <c r="D192" i="8"/>
  <c r="J607" i="8"/>
  <c r="D1066" i="8"/>
  <c r="D836" i="8"/>
  <c r="D733" i="8"/>
  <c r="D980" i="8"/>
  <c r="D782" i="8"/>
  <c r="J499" i="8"/>
  <c r="J120" i="8"/>
  <c r="J516" i="8"/>
  <c r="D707" i="8"/>
  <c r="J795" i="8"/>
  <c r="J262" i="8"/>
  <c r="J689" i="8"/>
  <c r="J1006" i="8"/>
  <c r="D863" i="8"/>
  <c r="J960" i="8"/>
  <c r="J810" i="8"/>
  <c r="D595" i="8"/>
  <c r="J548" i="8"/>
  <c r="D648" i="8"/>
  <c r="D452" i="8"/>
  <c r="J398" i="8"/>
  <c r="D842" i="8"/>
  <c r="D316" i="8"/>
  <c r="J26" i="4"/>
  <c r="D37" i="7"/>
  <c r="D824" i="8"/>
  <c r="D893" i="8"/>
  <c r="D230" i="8"/>
  <c r="J1014" i="8"/>
  <c r="J373" i="8"/>
  <c r="D1111" i="8"/>
  <c r="D862" i="8"/>
  <c r="J413" i="8"/>
  <c r="J601" i="8"/>
  <c r="D748" i="8"/>
  <c r="J856" i="8"/>
  <c r="J1138" i="8"/>
  <c r="D882" i="8"/>
  <c r="J679" i="8"/>
  <c r="J38" i="4"/>
  <c r="D21" i="4"/>
  <c r="D385" i="8"/>
  <c r="J139" i="8"/>
  <c r="D1105" i="8"/>
  <c r="J225" i="8"/>
  <c r="J98" i="8"/>
  <c r="J568" i="8"/>
  <c r="D1002" i="8"/>
  <c r="D737" i="8"/>
  <c r="D789" i="8"/>
  <c r="D1045" i="8"/>
  <c r="D597" i="8"/>
  <c r="J996" i="8"/>
  <c r="D549" i="8"/>
  <c r="J690" i="8"/>
  <c r="J116" i="8"/>
  <c r="J1029" i="8"/>
  <c r="D1114" i="8"/>
  <c r="D1012" i="8"/>
  <c r="D208" i="8"/>
  <c r="J1010" i="8"/>
  <c r="D165" i="7"/>
  <c r="J369" i="8"/>
  <c r="D878" i="8"/>
  <c r="J59" i="7"/>
  <c r="J889" i="8"/>
  <c r="D322" i="8"/>
  <c r="J235" i="8"/>
  <c r="D361" i="8"/>
  <c r="J335" i="8"/>
  <c r="J962" i="8"/>
  <c r="J64" i="8"/>
  <c r="J631" i="8"/>
  <c r="J111" i="8"/>
  <c r="D705" i="8"/>
  <c r="J650" i="8"/>
  <c r="J678" i="8"/>
  <c r="J635" i="8"/>
  <c r="D560" i="8"/>
  <c r="D1006" i="8"/>
  <c r="D543" i="8"/>
  <c r="J412" i="8"/>
  <c r="D883" i="8"/>
  <c r="J123" i="8"/>
  <c r="D1047" i="8"/>
  <c r="D586" i="8"/>
  <c r="D665" i="8"/>
  <c r="D27" i="8"/>
  <c r="D503" i="8"/>
  <c r="D155" i="8"/>
  <c r="J96" i="8"/>
  <c r="J56" i="8"/>
  <c r="D801" i="8"/>
  <c r="D1134" i="8"/>
  <c r="J117" i="7"/>
  <c r="D963" i="8"/>
  <c r="J187" i="8"/>
  <c r="D1003" i="8"/>
  <c r="D1083" i="8"/>
  <c r="D1027" i="8"/>
  <c r="J291" i="8"/>
  <c r="J923" i="8"/>
  <c r="D304" i="8"/>
  <c r="D721" i="8"/>
  <c r="J717" i="8"/>
  <c r="J919" i="8"/>
  <c r="J416" i="8"/>
  <c r="J129" i="8"/>
  <c r="J863" i="8"/>
  <c r="J1087" i="8"/>
  <c r="J660" i="8"/>
  <c r="J583" i="8"/>
  <c r="D373" i="8"/>
  <c r="D1133" i="8"/>
  <c r="D1118" i="8"/>
  <c r="D535" i="8"/>
  <c r="D1011" i="8"/>
  <c r="D499" i="8"/>
  <c r="D174" i="8"/>
  <c r="J922" i="8"/>
  <c r="D421" i="8"/>
  <c r="J274" i="8"/>
  <c r="D119" i="8"/>
  <c r="J1075" i="8"/>
  <c r="J260" i="8"/>
  <c r="D911" i="8"/>
  <c r="J827" i="8"/>
  <c r="J537" i="8"/>
  <c r="J934" i="8"/>
  <c r="J925" i="8"/>
  <c r="D234" i="8"/>
  <c r="D625" i="8"/>
  <c r="J644" i="8"/>
  <c r="D977" i="8"/>
  <c r="D61" i="8"/>
  <c r="J574" i="8"/>
  <c r="D873" i="8"/>
  <c r="J588" i="8"/>
  <c r="D1057" i="8"/>
  <c r="D254" i="8"/>
  <c r="D214" i="7"/>
  <c r="J190" i="7"/>
  <c r="J490" i="8"/>
  <c r="J176" i="8"/>
  <c r="J276" i="8"/>
  <c r="J108" i="8"/>
  <c r="J951" i="8"/>
  <c r="J438" i="8"/>
  <c r="J372" i="8"/>
  <c r="D987" i="8"/>
  <c r="J700" i="8"/>
  <c r="J184" i="7"/>
  <c r="J742" i="8"/>
  <c r="D843" i="8"/>
  <c r="D26" i="8"/>
  <c r="D1074" i="8"/>
  <c r="J926" i="8"/>
  <c r="D802" i="8"/>
  <c r="D47" i="8"/>
  <c r="D1040" i="8"/>
  <c r="D95" i="8"/>
  <c r="D821" i="8"/>
  <c r="J911" i="8"/>
  <c r="J62" i="8"/>
  <c r="D965" i="8"/>
  <c r="D915" i="8"/>
  <c r="D418" i="8"/>
  <c r="J488" i="8"/>
  <c r="J458" i="8"/>
  <c r="D867" i="8"/>
  <c r="D236" i="8"/>
  <c r="D818" i="8"/>
  <c r="J869" i="8"/>
  <c r="J972" i="8"/>
  <c r="D603" i="8"/>
  <c r="D131" i="8"/>
  <c r="D1132" i="8"/>
  <c r="D936" i="8"/>
  <c r="D1062" i="8"/>
  <c r="J405" i="8"/>
  <c r="J13" i="5"/>
  <c r="J762" i="8"/>
  <c r="J1110" i="8"/>
  <c r="D75" i="8"/>
  <c r="D1136" i="8"/>
  <c r="J743" i="8"/>
  <c r="J1124" i="8"/>
  <c r="D583" i="8"/>
  <c r="D881" i="8"/>
  <c r="J835" i="8"/>
  <c r="D433" i="8"/>
  <c r="D456" i="8"/>
  <c r="J722" i="8"/>
  <c r="J998" i="8"/>
  <c r="J264" i="8"/>
  <c r="J622" i="8"/>
  <c r="D270" i="8"/>
  <c r="L8" i="8"/>
  <c r="D184" i="8"/>
  <c r="J471" i="8"/>
  <c r="D116" i="8"/>
  <c r="D401" i="8"/>
  <c r="D262" i="8"/>
  <c r="D629" i="8"/>
  <c r="D137" i="8"/>
  <c r="J461" i="8"/>
  <c r="J519" i="8"/>
  <c r="D475" i="8"/>
  <c r="J589" i="8"/>
  <c r="J68" i="8"/>
  <c r="D427" i="8"/>
  <c r="D548" i="8"/>
  <c r="J272" i="8"/>
  <c r="J878" i="8"/>
  <c r="D501" i="8"/>
  <c r="J440" i="8"/>
  <c r="J946" i="8"/>
  <c r="J753" i="8"/>
  <c r="D63" i="7"/>
  <c r="D1052" i="8"/>
  <c r="J892" i="8"/>
  <c r="J797" i="8"/>
  <c r="D26" i="7"/>
  <c r="D952" i="8"/>
  <c r="J781" i="8"/>
  <c r="J845" i="8"/>
  <c r="D238" i="8"/>
  <c r="D819" i="8"/>
  <c r="D249" i="8"/>
  <c r="D704" i="8"/>
  <c r="D1125" i="8"/>
  <c r="J137" i="7"/>
  <c r="J530" i="8"/>
  <c r="J904" i="8"/>
  <c r="J954" i="8"/>
  <c r="D324" i="8"/>
  <c r="J547" i="8"/>
  <c r="D252" i="8"/>
  <c r="J246" i="8"/>
  <c r="J821" i="8"/>
  <c r="J162" i="8"/>
  <c r="J136" i="7"/>
  <c r="J39" i="8"/>
  <c r="J65" i="7"/>
  <c r="D1018" i="8"/>
  <c r="D202" i="7"/>
  <c r="J852" i="8"/>
  <c r="J15" i="1"/>
  <c r="D215" i="7"/>
  <c r="D806" i="8"/>
  <c r="D652" i="8"/>
  <c r="J1070" i="8"/>
  <c r="D524" i="8"/>
  <c r="D212" i="8"/>
  <c r="D751" i="8"/>
  <c r="D626" i="8"/>
  <c r="J942" i="8"/>
  <c r="J37" i="7"/>
  <c r="D778" i="8"/>
  <c r="D982" i="8"/>
  <c r="J113" i="8"/>
  <c r="J193" i="7"/>
  <c r="J164" i="7"/>
  <c r="D777" i="8"/>
  <c r="J294" i="8"/>
  <c r="D150" i="7"/>
  <c r="D771" i="8"/>
  <c r="J899" i="8"/>
  <c r="J376" i="8"/>
  <c r="J1115" i="8"/>
  <c r="D574" i="8"/>
  <c r="J146" i="7"/>
  <c r="D133" i="8"/>
  <c r="D624" i="8"/>
  <c r="J12" i="4"/>
  <c r="D16" i="8"/>
  <c r="L984" i="8"/>
  <c r="L656" i="8"/>
  <c r="J170" i="7"/>
  <c r="J1050" i="8"/>
  <c r="L1001" i="8"/>
  <c r="D976" i="8"/>
  <c r="D152" i="8"/>
  <c r="J122" i="8"/>
  <c r="J918" i="8"/>
  <c r="J814" i="8"/>
  <c r="J1040" i="8"/>
  <c r="J457" i="8"/>
  <c r="D531" i="8"/>
  <c r="D698" i="8"/>
  <c r="J906" i="8"/>
  <c r="J502" i="8"/>
  <c r="D1017" i="8"/>
  <c r="J924" i="8"/>
  <c r="J600" i="8"/>
  <c r="J375" i="8"/>
  <c r="D348" i="8"/>
  <c r="D908" i="8"/>
  <c r="D892" i="8"/>
  <c r="D352" i="8"/>
  <c r="D575" i="8"/>
  <c r="J1080" i="8"/>
  <c r="J1107" i="8"/>
  <c r="D1044" i="8"/>
  <c r="J770" i="8"/>
  <c r="J634" i="8"/>
  <c r="J186" i="8"/>
  <c r="J1113" i="8"/>
  <c r="L653" i="8"/>
  <c r="J606" i="8"/>
  <c r="D82" i="8"/>
  <c r="J177" i="8"/>
  <c r="J189" i="8"/>
  <c r="J270" i="8"/>
  <c r="D442" i="8"/>
  <c r="J702" i="8"/>
  <c r="D106" i="7"/>
  <c r="D1109" i="8"/>
  <c r="D485" i="8"/>
  <c r="J1049" i="8"/>
  <c r="D251" i="8"/>
  <c r="D783" i="8"/>
  <c r="J806" i="8"/>
  <c r="D11" i="8"/>
  <c r="J259" i="8"/>
  <c r="J21" i="7"/>
  <c r="J961" i="8"/>
  <c r="D436" i="8"/>
  <c r="D35" i="8"/>
  <c r="J916" i="8"/>
  <c r="D729" i="8"/>
  <c r="J97" i="8"/>
  <c r="D457" i="8"/>
  <c r="D139" i="8"/>
  <c r="D64" i="8"/>
  <c r="J914" i="8"/>
  <c r="J229" i="8"/>
  <c r="J1122" i="8"/>
  <c r="D214" i="8"/>
  <c r="J897" i="8"/>
  <c r="J670" i="8"/>
  <c r="D98" i="8"/>
  <c r="J1062" i="8"/>
  <c r="J452" i="8"/>
  <c r="D736" i="8"/>
  <c r="D323" i="8"/>
  <c r="D247" i="8"/>
  <c r="J299" i="8"/>
  <c r="J641" i="8"/>
  <c r="J910" i="8"/>
  <c r="J50" i="8"/>
  <c r="J1004" i="8"/>
  <c r="J614" i="8"/>
  <c r="D714" i="8"/>
  <c r="J113" i="7"/>
  <c r="J66" i="8"/>
  <c r="J779" i="8"/>
  <c r="J734" i="8"/>
  <c r="J666" i="8"/>
  <c r="J658" i="8"/>
  <c r="J400" i="8"/>
  <c r="D584" i="8"/>
  <c r="D520" i="8"/>
  <c r="J710" i="8"/>
  <c r="D367" i="8"/>
  <c r="D362" i="8"/>
  <c r="J1109" i="8"/>
  <c r="D954" i="8"/>
  <c r="J13" i="1"/>
  <c r="D851" i="8"/>
  <c r="D797" i="8"/>
  <c r="J27" i="7"/>
  <c r="D923" i="8"/>
  <c r="J127" i="8"/>
  <c r="D561" i="8"/>
  <c r="J37" i="8"/>
  <c r="D717" i="8"/>
  <c r="J876" i="8"/>
  <c r="D309" i="8"/>
  <c r="J418" i="8"/>
  <c r="J920" i="8"/>
  <c r="D114" i="8"/>
  <c r="D188" i="8"/>
  <c r="J231" i="8"/>
  <c r="J505" i="8"/>
  <c r="D680" i="8"/>
  <c r="J163" i="7"/>
  <c r="J560" i="8"/>
  <c r="J420" i="8"/>
  <c r="D102" i="8"/>
  <c r="D308" i="8"/>
  <c r="D861" i="8"/>
  <c r="D353" i="8"/>
  <c r="J582" i="8"/>
  <c r="D193" i="7"/>
  <c r="D567" i="8"/>
  <c r="J432" i="8"/>
  <c r="J1127" i="8"/>
  <c r="J1047" i="8"/>
  <c r="D554" i="8"/>
  <c r="D11" i="6"/>
  <c r="J1001" i="8"/>
  <c r="D480" i="8"/>
  <c r="J69" i="8"/>
  <c r="D670" i="8"/>
  <c r="D1053" i="8"/>
  <c r="D656" i="8"/>
  <c r="D183" i="8"/>
  <c r="J841" i="8"/>
  <c r="D272" i="8"/>
  <c r="D55" i="8"/>
  <c r="D38" i="8"/>
  <c r="J860" i="8"/>
  <c r="J92" i="8"/>
  <c r="D724" i="8"/>
  <c r="D720" i="8"/>
  <c r="D762" i="8"/>
  <c r="J849" i="8"/>
  <c r="J792" i="8"/>
  <c r="D661" i="8"/>
  <c r="D727" i="8"/>
  <c r="D303" i="8"/>
  <c r="J981" i="8"/>
  <c r="J216" i="8"/>
  <c r="D1096" i="8"/>
  <c r="D162" i="8"/>
  <c r="D201" i="7"/>
  <c r="D1028" i="8"/>
  <c r="D673" i="8"/>
  <c r="D41" i="8"/>
  <c r="J354" i="8"/>
  <c r="J541" i="8"/>
  <c r="J182" i="7"/>
  <c r="J288" i="8"/>
  <c r="J186" i="7"/>
  <c r="J683" i="8"/>
  <c r="J184" i="8"/>
  <c r="J444" i="8"/>
  <c r="J42" i="8"/>
  <c r="J168" i="7"/>
  <c r="D145" i="7"/>
  <c r="D45" i="7"/>
  <c r="D1041" i="8"/>
  <c r="J65" i="8"/>
  <c r="D169" i="8"/>
  <c r="J993" i="8"/>
  <c r="D519" i="8"/>
  <c r="D833" i="8"/>
  <c r="D742" i="8"/>
  <c r="J298" i="8"/>
  <c r="J1073" i="8"/>
  <c r="J68" i="7"/>
  <c r="J1002" i="8"/>
  <c r="D45" i="8"/>
  <c r="D937" i="8"/>
  <c r="J864" i="8"/>
  <c r="D98" i="7"/>
  <c r="J763" i="8"/>
  <c r="J787" i="8"/>
  <c r="D115" i="8"/>
  <c r="J217" i="8"/>
  <c r="D275" i="8"/>
  <c r="J353" i="8"/>
  <c r="J378" i="8"/>
  <c r="J639" i="8"/>
  <c r="J628" i="8"/>
  <c r="J891" i="8"/>
  <c r="J1018" i="8"/>
  <c r="J586" i="8"/>
  <c r="D11" i="7"/>
  <c r="D163" i="7"/>
  <c r="J145" i="8"/>
  <c r="J239" i="8"/>
  <c r="J183" i="8"/>
  <c r="D896" i="8"/>
  <c r="J1055" i="8"/>
  <c r="J439" i="8"/>
  <c r="J544" i="8"/>
  <c r="J1114" i="8"/>
  <c r="J1008" i="8"/>
  <c r="D1093" i="8"/>
  <c r="D77" i="8"/>
  <c r="D12" i="4"/>
  <c r="D677" i="8"/>
  <c r="J151" i="7"/>
  <c r="J467" i="8"/>
  <c r="L374" i="8"/>
  <c r="D581" i="8"/>
  <c r="J19" i="8"/>
  <c r="J301" i="8"/>
  <c r="D710" i="8"/>
  <c r="D871" i="8"/>
  <c r="D425" i="8"/>
  <c r="J769" i="8"/>
  <c r="J245" i="8"/>
  <c r="D129" i="8"/>
  <c r="J671" i="8"/>
  <c r="J799" i="8"/>
  <c r="J87" i="8"/>
  <c r="D1084" i="8"/>
  <c r="J669" i="8"/>
  <c r="J496" i="8"/>
  <c r="D600" i="8"/>
  <c r="J720" i="8"/>
  <c r="J1035" i="8"/>
  <c r="J115" i="8"/>
  <c r="J159" i="8"/>
  <c r="D87" i="8"/>
  <c r="J88" i="7"/>
  <c r="D88" i="8"/>
  <c r="D602" i="8"/>
  <c r="J465" i="8"/>
  <c r="J608" i="8"/>
  <c r="D213" i="8"/>
  <c r="D713" i="8"/>
  <c r="D812" i="8"/>
  <c r="D986" i="8"/>
  <c r="D76" i="8"/>
  <c r="J503" i="8"/>
  <c r="D144" i="8"/>
  <c r="J16" i="8"/>
  <c r="J732" i="8"/>
  <c r="J223" i="8"/>
  <c r="D874" i="8"/>
  <c r="J1017" i="8"/>
  <c r="J498" i="8"/>
  <c r="J289" i="8"/>
  <c r="J970" i="8"/>
  <c r="D715" i="8"/>
  <c r="J1102" i="8"/>
  <c r="D1042" i="8"/>
  <c r="D390" i="8"/>
  <c r="J759" i="8"/>
  <c r="D900" i="8"/>
  <c r="D945" i="8"/>
  <c r="J643" i="8"/>
  <c r="D19" i="7"/>
  <c r="D886" i="8"/>
  <c r="J529" i="8"/>
  <c r="D135" i="7"/>
  <c r="J1023" i="8"/>
  <c r="J1131" i="8"/>
  <c r="J545" i="8"/>
  <c r="J1022" i="8"/>
  <c r="J40" i="8"/>
  <c r="D159" i="8"/>
  <c r="J565" i="8"/>
  <c r="D57" i="7"/>
  <c r="D177" i="7"/>
  <c r="D393" i="8"/>
  <c r="J19" i="7"/>
  <c r="J19" i="4"/>
  <c r="J409" i="8"/>
  <c r="J521" i="8"/>
  <c r="J840" i="8"/>
  <c r="D177" i="8"/>
  <c r="J1133" i="8"/>
  <c r="D817" i="8"/>
  <c r="J426" i="8"/>
  <c r="J41" i="7"/>
  <c r="J91" i="7"/>
  <c r="J866" i="8"/>
  <c r="J310" i="8"/>
  <c r="J800" i="8"/>
  <c r="J517" i="8"/>
  <c r="D792" i="8"/>
  <c r="J748" i="8"/>
  <c r="J403" i="8"/>
  <c r="D683" i="8"/>
  <c r="D175" i="7"/>
  <c r="D18" i="4"/>
  <c r="J323" i="8"/>
  <c r="J25" i="4"/>
  <c r="J222" i="8"/>
  <c r="D577" i="8"/>
  <c r="D126" i="8"/>
  <c r="J500" i="8"/>
  <c r="J34" i="8"/>
  <c r="J43" i="7"/>
  <c r="D36" i="8"/>
  <c r="J15" i="8"/>
  <c r="J427" i="8"/>
  <c r="J167" i="7"/>
  <c r="J1093" i="8"/>
  <c r="J210" i="7"/>
  <c r="J18" i="4"/>
  <c r="D136" i="7"/>
  <c r="L363" i="8"/>
  <c r="J32" i="8"/>
  <c r="J1005" i="8"/>
  <c r="J110" i="7"/>
  <c r="L1109" i="8"/>
  <c r="J630" i="8"/>
  <c r="J150" i="7"/>
  <c r="D90" i="8"/>
  <c r="J206" i="8"/>
  <c r="D154" i="7"/>
  <c r="J23" i="1"/>
  <c r="D153" i="7"/>
  <c r="J564" i="8"/>
  <c r="J737" i="8"/>
  <c r="L752" i="8"/>
  <c r="D115" i="7"/>
  <c r="J475" i="8"/>
  <c r="J552" i="8"/>
  <c r="L887" i="8"/>
  <c r="L59" i="8"/>
  <c r="D796" i="8"/>
  <c r="J309" i="8"/>
  <c r="J167" i="8"/>
  <c r="J462" i="8"/>
  <c r="J476" i="8"/>
  <c r="J42" i="7"/>
  <c r="J90" i="7"/>
  <c r="D903" i="8"/>
  <c r="J152" i="8"/>
  <c r="D767" i="8"/>
  <c r="D912" i="8"/>
  <c r="D875" i="8"/>
  <c r="J247" i="8"/>
  <c r="D396" i="8"/>
  <c r="D380" i="8"/>
  <c r="D25" i="8"/>
  <c r="J134" i="8"/>
  <c r="J88" i="8"/>
  <c r="J610" i="8"/>
  <c r="J597" i="8"/>
  <c r="D662" i="8"/>
  <c r="J1054" i="8"/>
  <c r="J913" i="8"/>
  <c r="J160" i="8"/>
  <c r="J705" i="8"/>
  <c r="D426" i="8"/>
  <c r="D659" i="8"/>
  <c r="D928" i="8"/>
  <c r="D111" i="7"/>
  <c r="J592" i="8"/>
  <c r="J1065" i="8"/>
  <c r="D152" i="7"/>
  <c r="J1132" i="8"/>
  <c r="J915" i="8"/>
  <c r="J823" i="8"/>
  <c r="L680" i="8"/>
  <c r="D397" i="8"/>
  <c r="D49" i="8"/>
  <c r="D509" i="8"/>
  <c r="D674" i="8"/>
  <c r="J474" i="8"/>
  <c r="D1032" i="8"/>
  <c r="D570" i="8"/>
  <c r="D753" i="8"/>
  <c r="J338" i="8"/>
  <c r="D210" i="7"/>
  <c r="J101" i="8"/>
  <c r="D197" i="8"/>
  <c r="J928" i="8"/>
  <c r="J987" i="8"/>
  <c r="J824" i="8"/>
  <c r="D564" i="8"/>
  <c r="J282" i="8"/>
  <c r="D326" i="8"/>
  <c r="D37" i="8"/>
  <c r="J52" i="8"/>
  <c r="D14" i="4"/>
  <c r="D691" i="8"/>
  <c r="J803" i="8"/>
  <c r="D96" i="7"/>
  <c r="J128" i="8"/>
  <c r="J185" i="8"/>
  <c r="D391" i="8"/>
  <c r="J638" i="8"/>
  <c r="J494" i="8"/>
  <c r="J311" i="8"/>
  <c r="D56" i="8"/>
  <c r="D551" i="8"/>
  <c r="K8" i="6"/>
  <c r="J768" i="8"/>
  <c r="D578" i="8"/>
  <c r="J1034" i="8"/>
  <c r="J22" i="7"/>
  <c r="D1063" i="8"/>
  <c r="D1107" i="8"/>
  <c r="J325" i="8"/>
  <c r="J21" i="4"/>
  <c r="J727" i="8"/>
  <c r="J1098" i="8"/>
  <c r="J364" i="8"/>
  <c r="J189" i="7"/>
  <c r="J775" i="8"/>
  <c r="D517" i="8"/>
  <c r="J15" i="7"/>
  <c r="D371" i="8"/>
  <c r="J241" i="8"/>
  <c r="D1102" i="8"/>
  <c r="D829" i="8"/>
  <c r="D997" i="8"/>
  <c r="D187" i="7"/>
  <c r="D1073" i="8"/>
  <c r="J448" i="8"/>
  <c r="J119" i="8"/>
  <c r="D38" i="7"/>
  <c r="J114" i="8"/>
  <c r="D831" i="8"/>
  <c r="D28" i="8"/>
  <c r="J266" i="8"/>
  <c r="J847" i="8"/>
  <c r="J675" i="8"/>
  <c r="D269" i="8"/>
  <c r="D840" i="8"/>
  <c r="D366" i="8"/>
  <c r="D31" i="4"/>
  <c r="L194" i="8"/>
  <c r="J973" i="8"/>
  <c r="L744" i="8"/>
  <c r="J774" i="8"/>
  <c r="D474" i="8"/>
  <c r="D559" i="8"/>
  <c r="L475" i="8"/>
  <c r="D105" i="8"/>
  <c r="J133" i="7"/>
  <c r="J145" i="7"/>
  <c r="D161" i="8"/>
  <c r="J98" i="7"/>
  <c r="D1031" i="8"/>
  <c r="D94" i="8"/>
  <c r="L1069" i="8"/>
  <c r="D820" i="8"/>
  <c r="J326" i="8"/>
  <c r="J938" i="8"/>
  <c r="L81" i="8"/>
  <c r="J598" i="8"/>
  <c r="D1080" i="8"/>
  <c r="L173" i="8"/>
  <c r="L106" i="8"/>
  <c r="J156" i="8"/>
  <c r="D947" i="8"/>
  <c r="J77" i="8"/>
  <c r="J653" i="8"/>
  <c r="D108" i="8"/>
  <c r="D12" i="5"/>
  <c r="D23" i="6"/>
  <c r="J677" i="8"/>
  <c r="J55" i="8"/>
  <c r="J550" i="8"/>
  <c r="J584" i="8"/>
  <c r="J747" i="8"/>
  <c r="D460" i="8"/>
  <c r="J497" i="8"/>
  <c r="J283" i="8"/>
  <c r="D576" i="8"/>
  <c r="D389" i="8"/>
  <c r="D689" i="8"/>
  <c r="J790" i="8"/>
  <c r="J620" i="8"/>
  <c r="D256" i="8"/>
  <c r="D921" i="8"/>
  <c r="J396" i="8"/>
  <c r="D117" i="7"/>
  <c r="J772" i="8"/>
  <c r="J430" i="8"/>
  <c r="D109" i="8"/>
  <c r="J1044" i="8"/>
  <c r="D887" i="8"/>
  <c r="D412" i="8"/>
  <c r="J646" i="8"/>
  <c r="J1031" i="8"/>
  <c r="J1116" i="8"/>
  <c r="D857" i="8"/>
  <c r="D134" i="7"/>
  <c r="J25" i="7"/>
  <c r="J581" i="8"/>
  <c r="D1033" i="8"/>
  <c r="D850" i="8"/>
  <c r="J708" i="8"/>
  <c r="J308" i="8"/>
  <c r="J242" i="8"/>
  <c r="D795" i="8"/>
  <c r="D204" i="8"/>
  <c r="J47" i="8"/>
  <c r="D63" i="8"/>
  <c r="J146" i="8"/>
  <c r="D899" i="8"/>
  <c r="D465" i="8"/>
  <c r="J557" i="8"/>
  <c r="J561" i="8"/>
  <c r="D869" i="8"/>
  <c r="D211" i="8"/>
  <c r="D521" i="8"/>
  <c r="D197" i="7"/>
  <c r="D250" i="8"/>
  <c r="J268" i="8"/>
  <c r="D658" i="8"/>
  <c r="D46" i="7"/>
  <c r="D174" i="7"/>
  <c r="J952" i="8"/>
  <c r="D708" i="8"/>
  <c r="J939" i="8"/>
  <c r="D934" i="8"/>
  <c r="J213" i="8"/>
  <c r="J1108" i="8"/>
  <c r="J1078" i="8"/>
  <c r="L453" i="8"/>
  <c r="D32" i="8"/>
  <c r="J623" i="8"/>
  <c r="D612" i="8"/>
  <c r="D241" i="8"/>
  <c r="D998" i="8"/>
  <c r="D1069" i="8"/>
  <c r="D568" i="8"/>
  <c r="J616" i="8"/>
  <c r="D1019" i="8"/>
  <c r="D473" i="8"/>
  <c r="D745" i="8"/>
  <c r="J746" i="8"/>
  <c r="D1103" i="8"/>
  <c r="J578" i="8"/>
  <c r="D137" i="7"/>
  <c r="J698" i="8"/>
  <c r="D684" i="8"/>
  <c r="J141" i="8"/>
  <c r="D163" i="8"/>
  <c r="D537" i="8"/>
  <c r="J331" i="8"/>
  <c r="J571" i="8"/>
  <c r="D409" i="8"/>
  <c r="J29" i="8"/>
  <c r="D598" i="8"/>
  <c r="J605" i="8"/>
  <c r="J106" i="8"/>
  <c r="J812" i="8"/>
  <c r="J729" i="8"/>
  <c r="D848" i="8"/>
  <c r="J536" i="8"/>
  <c r="K21" i="6"/>
  <c r="D57" i="8"/>
  <c r="J53" i="8"/>
  <c r="D188" i="7"/>
  <c r="D124" i="7"/>
  <c r="L1051" i="8"/>
  <c r="J625" i="8"/>
  <c r="D471" i="8"/>
  <c r="L1016" i="8"/>
  <c r="J116" i="7"/>
  <c r="D157" i="7"/>
  <c r="L947" i="8"/>
  <c r="J341" i="8"/>
  <c r="D799" i="8"/>
  <c r="D1038" i="8"/>
  <c r="D1058" i="8"/>
  <c r="J456" i="8"/>
  <c r="D453" i="8"/>
  <c r="J134" i="7"/>
  <c r="L183" i="8"/>
  <c r="J181" i="8"/>
  <c r="D617" i="8"/>
  <c r="L694" i="8"/>
  <c r="L43" i="8"/>
  <c r="D90" i="7"/>
  <c r="D166" i="7"/>
  <c r="L1110" i="8"/>
  <c r="J129" i="7"/>
  <c r="D28" i="7"/>
  <c r="J423" i="8"/>
  <c r="J807" i="8"/>
  <c r="J955" i="8"/>
  <c r="D1090" i="8"/>
  <c r="J108" i="7"/>
  <c r="L378" i="8"/>
  <c r="J780" i="8"/>
  <c r="J579" i="8"/>
  <c r="L343" i="8"/>
  <c r="J156" i="7"/>
  <c r="J16" i="7"/>
  <c r="D97" i="7"/>
  <c r="L1066" i="8"/>
  <c r="J515" i="8"/>
  <c r="D415" i="8"/>
  <c r="J70" i="8"/>
  <c r="J48" i="8"/>
  <c r="J1069" i="8"/>
  <c r="J1041" i="8"/>
  <c r="J56" i="7"/>
  <c r="D973" i="8"/>
  <c r="J1026" i="8"/>
  <c r="J38" i="7"/>
  <c r="L1104" i="8"/>
  <c r="D248" i="8"/>
  <c r="J848" i="8"/>
  <c r="J585" i="8"/>
  <c r="D1120" i="8"/>
  <c r="J66" i="7"/>
  <c r="J1030" i="8"/>
  <c r="L667" i="8"/>
  <c r="J141" i="7"/>
  <c r="D898" i="8"/>
  <c r="L399" i="8"/>
  <c r="D85" i="8"/>
  <c r="D696" i="8"/>
  <c r="D643" i="8"/>
  <c r="L552" i="8"/>
  <c r="L36" i="8"/>
  <c r="J875" i="8"/>
  <c r="D334" i="8"/>
  <c r="L967" i="8"/>
  <c r="J1013" i="8"/>
  <c r="L846" i="8"/>
  <c r="J386" i="8"/>
  <c r="J211" i="7"/>
  <c r="D394" i="8"/>
  <c r="L819" i="8"/>
  <c r="L556" i="8"/>
  <c r="L723" i="8"/>
  <c r="D127" i="7"/>
  <c r="L1000" i="8"/>
  <c r="J1097" i="8"/>
  <c r="D553" i="8"/>
  <c r="J130" i="8"/>
  <c r="J160" i="7"/>
  <c r="J1117" i="8"/>
  <c r="D122" i="8"/>
  <c r="J90" i="8"/>
  <c r="D159" i="7"/>
  <c r="L839" i="8"/>
  <c r="L116" i="8"/>
  <c r="D486" i="8"/>
  <c r="D731" i="8"/>
  <c r="L249" i="8"/>
  <c r="D636" i="8"/>
  <c r="L542" i="8"/>
  <c r="L447" i="8"/>
  <c r="J12" i="1"/>
  <c r="D633" i="8"/>
  <c r="D18" i="8"/>
  <c r="L1079" i="8"/>
  <c r="J655" i="8"/>
  <c r="D22" i="6"/>
  <c r="L557" i="8"/>
  <c r="L255" i="8"/>
  <c r="J758" i="8"/>
  <c r="L808" i="8"/>
  <c r="L738" i="8"/>
  <c r="L531" i="8"/>
  <c r="D414" i="8"/>
  <c r="D741" i="8"/>
  <c r="J791" i="8"/>
  <c r="J692" i="8"/>
  <c r="J12" i="8"/>
  <c r="D1113" i="8"/>
  <c r="D293" i="8"/>
  <c r="J43" i="8"/>
  <c r="J51" i="8"/>
  <c r="D711" i="8"/>
  <c r="J872" i="8"/>
  <c r="D610" i="8"/>
  <c r="J304" i="8"/>
  <c r="J33" i="7"/>
  <c r="J902" i="8"/>
  <c r="D974" i="8"/>
  <c r="D914" i="8"/>
  <c r="J84" i="8"/>
  <c r="J13" i="7"/>
  <c r="J501" i="8"/>
  <c r="D929" i="8"/>
  <c r="D374" i="8"/>
  <c r="J219" i="8"/>
  <c r="J1007" i="8"/>
  <c r="J985" i="8"/>
  <c r="J736" i="8"/>
  <c r="D1065" i="8"/>
  <c r="J921" i="8"/>
  <c r="J1060" i="8"/>
  <c r="J201" i="8"/>
  <c r="J132" i="7"/>
  <c r="D375" i="8"/>
  <c r="J674" i="8"/>
  <c r="D773" i="8"/>
  <c r="D805" i="8"/>
  <c r="J974" i="8"/>
  <c r="J871" i="8"/>
  <c r="D384" i="8"/>
  <c r="D951" i="8"/>
  <c r="J22" i="8"/>
  <c r="J728" i="8"/>
  <c r="D1000" i="8"/>
  <c r="D1043" i="8"/>
  <c r="J172" i="8"/>
  <c r="D770" i="8"/>
  <c r="D113" i="7"/>
  <c r="D331" i="8"/>
  <c r="D196" i="7"/>
  <c r="J1025" i="8"/>
  <c r="D747" i="8"/>
  <c r="J175" i="8"/>
  <c r="D822" i="8"/>
  <c r="D120" i="8"/>
  <c r="D955" i="8"/>
  <c r="D160" i="8"/>
  <c r="J295" i="8"/>
  <c r="D182" i="8"/>
  <c r="D327" i="8"/>
  <c r="D1029" i="8"/>
  <c r="D512" i="8"/>
  <c r="J253" i="8"/>
  <c r="D33" i="8"/>
  <c r="D170" i="7"/>
  <c r="D905" i="8"/>
  <c r="D31" i="7"/>
  <c r="D209" i="8"/>
  <c r="L633" i="8"/>
  <c r="J703" i="8"/>
  <c r="J988" i="8"/>
  <c r="D320" i="8"/>
  <c r="J881" i="8"/>
  <c r="J45" i="7"/>
  <c r="L292" i="8"/>
  <c r="D138" i="8"/>
  <c r="D411" i="8"/>
  <c r="J177" i="7"/>
  <c r="D49" i="7"/>
  <c r="J1046" i="8"/>
  <c r="D702" i="8"/>
  <c r="L57" i="8"/>
  <c r="J28" i="7"/>
  <c r="D155" i="7"/>
  <c r="L669" i="8"/>
  <c r="D865" i="8"/>
  <c r="D55" i="7"/>
  <c r="J463" i="8"/>
  <c r="D28" i="4"/>
  <c r="J867" i="8"/>
  <c r="J522" i="8"/>
  <c r="J882" i="8"/>
  <c r="L8" i="6"/>
  <c r="L934" i="8"/>
  <c r="D1082" i="8"/>
  <c r="L196" i="8"/>
  <c r="L1085" i="8"/>
  <c r="D27" i="7"/>
  <c r="D198" i="8"/>
  <c r="L589" i="8"/>
  <c r="D22" i="8"/>
  <c r="J1037" i="8"/>
  <c r="L988" i="8"/>
  <c r="D386" i="8"/>
  <c r="D158" i="7"/>
  <c r="D83" i="7"/>
  <c r="L264" i="8"/>
  <c r="J842" i="8"/>
  <c r="L691" i="8"/>
  <c r="L856" i="8"/>
  <c r="D872" i="8"/>
  <c r="D880" i="8"/>
  <c r="D160" i="7"/>
  <c r="D410" i="8"/>
  <c r="D187" i="8"/>
  <c r="D510" i="8"/>
  <c r="L541" i="8"/>
  <c r="J85" i="7"/>
  <c r="L28" i="8"/>
  <c r="J20" i="8"/>
  <c r="J704" i="8"/>
  <c r="D811" i="8"/>
  <c r="J39" i="7"/>
  <c r="D370" i="8"/>
  <c r="D286" i="8"/>
  <c r="D593" i="8"/>
  <c r="L179" i="8"/>
  <c r="D1117" i="8"/>
  <c r="L1122" i="8"/>
  <c r="K25" i="6"/>
  <c r="J374" i="8"/>
  <c r="D173" i="8"/>
  <c r="L1119" i="8"/>
  <c r="D16" i="6"/>
  <c r="J546" i="8"/>
  <c r="D407" i="8"/>
  <c r="L138" i="8"/>
  <c r="D29" i="4"/>
  <c r="L64" i="8"/>
  <c r="L788" i="8"/>
  <c r="J147" i="8"/>
  <c r="D571" i="8"/>
  <c r="L790" i="8"/>
  <c r="J667" i="8"/>
  <c r="L144" i="8"/>
  <c r="L640" i="8"/>
  <c r="D167" i="7"/>
  <c r="D631" i="8"/>
  <c r="J119" i="7"/>
  <c r="L79" i="8"/>
  <c r="L315" i="8"/>
  <c r="J1094" i="8"/>
  <c r="J685" i="8"/>
  <c r="J750" i="8"/>
  <c r="L26" i="6"/>
  <c r="D113" i="8"/>
  <c r="D119" i="7"/>
  <c r="D175" i="8"/>
  <c r="J292" i="8"/>
  <c r="L125" i="8"/>
  <c r="K17" i="6"/>
  <c r="L44" i="8"/>
  <c r="J205" i="8"/>
  <c r="D1064" i="8"/>
  <c r="L276" i="8"/>
  <c r="J149" i="8"/>
  <c r="L821" i="8"/>
  <c r="J149" i="7"/>
  <c r="J337" i="8"/>
  <c r="J575" i="8"/>
  <c r="D1023" i="8"/>
  <c r="J909" i="8"/>
  <c r="D791" i="8"/>
  <c r="J563" i="8"/>
  <c r="D354" i="8"/>
  <c r="D682" i="8"/>
  <c r="J1092" i="8"/>
  <c r="D1008" i="8"/>
  <c r="J950" i="8"/>
  <c r="J155" i="8"/>
  <c r="D764" i="8"/>
  <c r="D943" i="8"/>
  <c r="D1131" i="8"/>
  <c r="D404" i="8"/>
  <c r="D403" i="8"/>
  <c r="J48" i="7"/>
  <c r="D906" i="8"/>
  <c r="D388" i="8"/>
  <c r="J466" i="8"/>
  <c r="J479" i="8"/>
  <c r="J1003" i="8"/>
  <c r="D318" i="8"/>
  <c r="D70" i="7"/>
  <c r="D455" i="8"/>
  <c r="J523" i="8"/>
  <c r="D283" i="8"/>
  <c r="J609" i="8"/>
  <c r="D630" i="8"/>
  <c r="D622" i="8"/>
  <c r="D178" i="8"/>
  <c r="J147" i="7"/>
  <c r="J144" i="7"/>
  <c r="J136" i="8"/>
  <c r="J773" i="8"/>
  <c r="J712" i="8"/>
  <c r="J464" i="8"/>
  <c r="J290" i="8"/>
  <c r="J1081" i="8"/>
  <c r="D231" i="8"/>
  <c r="J957" i="8"/>
  <c r="D118" i="8"/>
  <c r="J761" i="8"/>
  <c r="J58" i="8"/>
  <c r="D287" i="8"/>
  <c r="J713" i="8"/>
  <c r="J854" i="8"/>
  <c r="J319" i="8"/>
  <c r="J826" i="8"/>
  <c r="J81" i="8"/>
  <c r="J686" i="8"/>
  <c r="J275" i="8"/>
  <c r="J121" i="7"/>
  <c r="D167" i="8"/>
  <c r="J663" i="8"/>
  <c r="D451" i="8"/>
  <c r="J24" i="4"/>
  <c r="D329" i="8"/>
  <c r="J434" i="8"/>
  <c r="D132" i="7"/>
  <c r="D408" i="8"/>
  <c r="L309" i="8"/>
  <c r="J508" i="8"/>
  <c r="L220" i="8"/>
  <c r="D790" i="8"/>
  <c r="J879" i="8"/>
  <c r="J662" i="8"/>
  <c r="D52" i="7"/>
  <c r="L1081" i="8"/>
  <c r="J837" i="8"/>
  <c r="K39" i="6"/>
  <c r="J78" i="7"/>
  <c r="K40" i="6"/>
  <c r="L52" i="8"/>
  <c r="J30" i="4"/>
  <c r="D671" i="8"/>
  <c r="J949" i="8"/>
  <c r="J815" i="8"/>
  <c r="J895" i="8"/>
  <c r="J1079" i="8"/>
  <c r="L763" i="8"/>
  <c r="L558" i="8"/>
  <c r="D330" i="8"/>
  <c r="L924" i="8"/>
  <c r="D24" i="8"/>
  <c r="J1045" i="8"/>
  <c r="J125" i="7"/>
  <c r="J377" i="8"/>
  <c r="J122" i="7"/>
  <c r="L443" i="8"/>
  <c r="D62" i="7"/>
  <c r="D1015" i="8"/>
  <c r="J306" i="8"/>
  <c r="L515" i="8"/>
  <c r="D522" i="8"/>
  <c r="L743" i="8"/>
  <c r="L54" i="8"/>
  <c r="J980" i="8"/>
  <c r="K31" i="6"/>
  <c r="L969" i="8"/>
  <c r="J1048" i="8"/>
  <c r="J441" i="8"/>
  <c r="L66" i="8"/>
  <c r="D985" i="8"/>
  <c r="J855" i="8"/>
  <c r="L95" i="8"/>
  <c r="L913" i="8"/>
  <c r="D950" i="8"/>
  <c r="L1084" i="8"/>
  <c r="L135" i="8"/>
  <c r="D832" i="8"/>
  <c r="D1071" i="8"/>
  <c r="L826" i="8"/>
  <c r="L1055" i="8"/>
  <c r="L97" i="8"/>
  <c r="J240" i="8"/>
  <c r="L978" i="8"/>
  <c r="L943" i="8"/>
  <c r="D969" i="8"/>
  <c r="D59" i="7"/>
  <c r="J196" i="8"/>
  <c r="J84" i="7"/>
  <c r="L1093" i="8"/>
  <c r="J201" i="7"/>
  <c r="D173" i="7"/>
  <c r="D13" i="6"/>
  <c r="L18" i="8"/>
  <c r="D1137" i="8"/>
  <c r="L873" i="8"/>
  <c r="J14" i="5"/>
  <c r="L1020" i="8"/>
  <c r="J191" i="8"/>
  <c r="D192" i="7"/>
  <c r="L1126" i="8"/>
  <c r="J656" i="8"/>
  <c r="L417" i="8"/>
  <c r="L401" i="8"/>
  <c r="J210" i="8"/>
  <c r="D40" i="7"/>
  <c r="J1085" i="8"/>
  <c r="D109" i="7"/>
  <c r="L1010" i="8"/>
  <c r="J343" i="8"/>
  <c r="D1112" i="8"/>
  <c r="J1126" i="8"/>
  <c r="L30" i="8"/>
  <c r="L107" i="8"/>
  <c r="D616" i="8"/>
  <c r="J524" i="8"/>
  <c r="D64" i="7"/>
  <c r="D15" i="6"/>
  <c r="L756" i="8"/>
  <c r="D866" i="8"/>
  <c r="D611" i="8"/>
  <c r="L637" i="8"/>
  <c r="J286" i="8"/>
  <c r="D146" i="7"/>
  <c r="L866" i="8"/>
  <c r="J342" i="8"/>
  <c r="L566" i="8"/>
  <c r="L581" i="8"/>
  <c r="J965" i="8"/>
  <c r="D562" i="8"/>
  <c r="L896" i="8"/>
  <c r="D237" i="8"/>
  <c r="J436" i="8"/>
  <c r="D336" i="8"/>
  <c r="J518" i="8"/>
  <c r="D448" i="8"/>
  <c r="J615" i="8"/>
  <c r="D59" i="8"/>
  <c r="J696" i="8"/>
  <c r="D894" i="8"/>
  <c r="J1128" i="8"/>
  <c r="D123" i="8"/>
  <c r="D153" i="8"/>
  <c r="J990" i="8"/>
  <c r="D810" i="8"/>
  <c r="D644" i="8"/>
  <c r="J771" i="8"/>
  <c r="J688" i="8"/>
  <c r="J36" i="8"/>
  <c r="J1067" i="8"/>
  <c r="J612" i="8"/>
  <c r="J188" i="8"/>
  <c r="D319" i="8"/>
  <c r="J71" i="8"/>
  <c r="D196" i="8"/>
  <c r="D759" i="8"/>
  <c r="J977" i="8"/>
  <c r="D685" i="8"/>
  <c r="D953" i="8"/>
  <c r="J953" i="8"/>
  <c r="J79" i="8"/>
  <c r="D609" i="8"/>
  <c r="D959" i="8"/>
  <c r="J208" i="7"/>
  <c r="D479" i="8"/>
  <c r="D723" i="8"/>
  <c r="D1030" i="8"/>
  <c r="D925" i="8"/>
  <c r="J94" i="7"/>
  <c r="D311" i="8"/>
  <c r="J179" i="8"/>
  <c r="D145" i="8"/>
  <c r="J613" i="8"/>
  <c r="J665" i="8"/>
  <c r="D315" i="8"/>
  <c r="D529" i="8"/>
  <c r="J112" i="7"/>
  <c r="J393" i="8"/>
  <c r="D39" i="7"/>
  <c r="J1086" i="8"/>
  <c r="J1123" i="8"/>
  <c r="J912" i="8"/>
  <c r="J60" i="7"/>
  <c r="J370" i="8"/>
  <c r="J12" i="5"/>
  <c r="J554" i="8"/>
  <c r="D701" i="8"/>
  <c r="J431" i="8"/>
  <c r="D85" i="7"/>
  <c r="J404" i="8"/>
  <c r="J595" i="8"/>
  <c r="L214" i="8"/>
  <c r="J1058" i="8"/>
  <c r="L1071" i="8"/>
  <c r="J415" i="8"/>
  <c r="L798" i="8"/>
  <c r="D1097" i="8"/>
  <c r="J593" i="8"/>
  <c r="D376" i="8"/>
  <c r="L400" i="8"/>
  <c r="L322" i="8"/>
  <c r="J489" i="8"/>
  <c r="L369" i="8"/>
  <c r="D1010" i="8"/>
  <c r="L586" i="8"/>
  <c r="J127" i="7"/>
  <c r="D190" i="8"/>
  <c r="D550" i="8"/>
  <c r="D1123" i="8"/>
  <c r="D26" i="6"/>
  <c r="D15" i="8"/>
  <c r="D1014" i="8"/>
  <c r="D285" i="8"/>
  <c r="J1129" i="8"/>
  <c r="D725" i="8"/>
  <c r="L1057" i="8"/>
  <c r="D328" i="8"/>
  <c r="J756" i="8"/>
  <c r="D112" i="8"/>
  <c r="D676" i="8"/>
  <c r="J215" i="8"/>
  <c r="D200" i="7"/>
  <c r="L222" i="8"/>
  <c r="D140" i="7"/>
  <c r="J435" i="8"/>
  <c r="D156" i="7"/>
  <c r="D261" i="8"/>
  <c r="D120" i="7"/>
  <c r="L938" i="8"/>
  <c r="J754" i="8"/>
  <c r="D161" i="7"/>
  <c r="J180" i="8"/>
  <c r="D511" i="8"/>
  <c r="D667" i="8"/>
  <c r="J102" i="8"/>
  <c r="L1047" i="8"/>
  <c r="J39" i="4"/>
  <c r="D295" i="8"/>
  <c r="L331" i="8"/>
  <c r="J44" i="7"/>
  <c r="D114" i="7"/>
  <c r="L386" i="8"/>
  <c r="D301" i="8"/>
  <c r="L859" i="8"/>
  <c r="L614" i="8"/>
  <c r="D99" i="8"/>
  <c r="L504" i="8"/>
  <c r="D80" i="8"/>
  <c r="L1006" i="8"/>
  <c r="L180" i="8"/>
  <c r="L922" i="8"/>
  <c r="L347" i="8"/>
  <c r="J959" i="8"/>
  <c r="J91" i="8"/>
  <c r="D1095" i="8"/>
  <c r="J539" i="8"/>
  <c r="L816" i="8"/>
  <c r="L695" i="8"/>
  <c r="J647" i="8"/>
  <c r="D481" i="8"/>
  <c r="D14" i="5"/>
  <c r="L550" i="8"/>
  <c r="J104" i="8"/>
  <c r="L426" i="8"/>
  <c r="D73" i="8"/>
  <c r="D406" i="8"/>
  <c r="L847" i="8"/>
  <c r="D51" i="8"/>
  <c r="D164" i="8"/>
  <c r="L257" i="8"/>
  <c r="D948" i="8"/>
  <c r="L522" i="8"/>
  <c r="L796" i="8"/>
  <c r="L25" i="8"/>
  <c r="D890" i="8"/>
  <c r="D516" i="8"/>
  <c r="J865" i="8"/>
  <c r="D536" i="8"/>
  <c r="D946" i="8"/>
  <c r="D766" i="8"/>
  <c r="J75" i="7"/>
  <c r="J118" i="8"/>
  <c r="D999" i="8"/>
  <c r="J14" i="7"/>
  <c r="D653" i="8"/>
  <c r="J745" i="8"/>
  <c r="L52" i="7"/>
  <c r="D1119" i="8"/>
  <c r="J133" i="8"/>
  <c r="L212" i="8"/>
  <c r="D209" i="7"/>
  <c r="J572" i="8"/>
  <c r="J62" i="7"/>
  <c r="L929" i="8"/>
  <c r="K35" i="6"/>
  <c r="L129" i="8"/>
  <c r="L524" i="8"/>
  <c r="L55" i="7"/>
  <c r="D382" i="8"/>
  <c r="L361" i="8"/>
  <c r="J356" i="8"/>
  <c r="J1027" i="8"/>
  <c r="J1105" i="8"/>
  <c r="J834" i="8"/>
  <c r="D1050" i="8"/>
  <c r="L797" i="8"/>
  <c r="J11" i="1"/>
  <c r="D312" i="8"/>
  <c r="J142" i="8"/>
  <c r="J1103" i="8"/>
  <c r="L203" i="8"/>
  <c r="J735" i="8"/>
  <c r="L784" i="8"/>
  <c r="D335" i="8"/>
  <c r="J32" i="7"/>
  <c r="D470" i="8"/>
  <c r="J997" i="8"/>
  <c r="J26" i="8"/>
  <c r="J61" i="7"/>
  <c r="L390" i="8"/>
  <c r="D441" i="8"/>
  <c r="D32" i="7"/>
  <c r="D26" i="4"/>
  <c r="L438" i="8"/>
  <c r="D618" i="8"/>
  <c r="L959" i="8"/>
  <c r="L161" i="7"/>
  <c r="J534" i="8"/>
  <c r="D978" i="8"/>
  <c r="J296" i="8"/>
  <c r="D29" i="7"/>
  <c r="L842" i="8"/>
  <c r="L1034" i="8"/>
  <c r="L603" i="8"/>
  <c r="L233" i="8"/>
  <c r="L976" i="8"/>
  <c r="J218" i="8"/>
  <c r="D245" i="8"/>
  <c r="L534" i="8"/>
  <c r="L168" i="7"/>
  <c r="L213" i="8"/>
  <c r="L94" i="8"/>
  <c r="L840" i="8"/>
  <c r="D20" i="8"/>
  <c r="K141" i="7"/>
  <c r="K168" i="7"/>
  <c r="K83" i="7"/>
  <c r="J128" i="7"/>
  <c r="L1118" i="8"/>
  <c r="D149" i="8"/>
  <c r="J355" i="8"/>
  <c r="K20" i="6"/>
  <c r="D105" i="7"/>
  <c r="D1022" i="8"/>
  <c r="L1037" i="8"/>
  <c r="L339" i="8"/>
  <c r="L154" i="7"/>
  <c r="L545" i="8"/>
  <c r="D349" i="8"/>
  <c r="L1089" i="8"/>
  <c r="L804" i="8"/>
  <c r="L350" i="8"/>
  <c r="L124" i="8"/>
  <c r="D189" i="7"/>
  <c r="L1073" i="8"/>
  <c r="L720" i="8"/>
  <c r="D31" i="8"/>
  <c r="L104" i="8"/>
  <c r="D40" i="4"/>
  <c r="J120" i="7"/>
  <c r="D344" i="8"/>
  <c r="L729" i="8"/>
  <c r="D14" i="6"/>
  <c r="L228" i="8"/>
  <c r="L706" i="8"/>
  <c r="D17" i="8"/>
  <c r="D227" i="8"/>
  <c r="L609" i="8"/>
  <c r="K135" i="7"/>
  <c r="J684" i="8"/>
  <c r="L486" i="8"/>
  <c r="D359" i="8"/>
  <c r="J818" i="8"/>
  <c r="L949" i="8"/>
  <c r="K119" i="7"/>
  <c r="L630" i="8"/>
  <c r="D694" i="8"/>
  <c r="D496" i="8"/>
  <c r="J1024" i="8"/>
  <c r="J1082" i="8"/>
  <c r="J751" i="8"/>
  <c r="D930" i="8"/>
  <c r="D938" i="8"/>
  <c r="D994" i="8"/>
  <c r="J303" i="8"/>
  <c r="J931" i="8"/>
  <c r="D669" i="8"/>
  <c r="D180" i="7"/>
  <c r="J642" i="8"/>
  <c r="D1004" i="8"/>
  <c r="D856" i="8"/>
  <c r="J654" i="8"/>
  <c r="J874" i="8"/>
  <c r="J164" i="8"/>
  <c r="D758" i="8"/>
  <c r="D297" i="8"/>
  <c r="D897" i="8"/>
  <c r="J140" i="8"/>
  <c r="J1100" i="8"/>
  <c r="D539" i="8"/>
  <c r="J199" i="7"/>
  <c r="D325" i="8"/>
  <c r="J244" i="8"/>
  <c r="D895" i="8"/>
  <c r="J17" i="8"/>
  <c r="J687" i="8"/>
  <c r="J238" i="8"/>
  <c r="J76" i="8"/>
  <c r="J198" i="8"/>
  <c r="D381" i="8"/>
  <c r="J360" i="8"/>
  <c r="D405" i="8"/>
  <c r="D649" i="8"/>
  <c r="J898" i="8"/>
  <c r="J507" i="8"/>
  <c r="L683" i="8"/>
  <c r="D655" i="8"/>
  <c r="D224" i="8"/>
  <c r="D566" i="8"/>
  <c r="D627" i="8"/>
  <c r="J197" i="7"/>
  <c r="D223" i="8"/>
  <c r="L1019" i="8"/>
  <c r="L439" i="8"/>
  <c r="D913" i="8"/>
  <c r="L49" i="8"/>
  <c r="J185" i="7"/>
  <c r="D260" i="8"/>
  <c r="J28" i="4"/>
  <c r="L167" i="8"/>
  <c r="L178" i="8"/>
  <c r="J21" i="8"/>
  <c r="J179" i="7"/>
  <c r="J966" i="8"/>
  <c r="J302" i="8"/>
  <c r="J406" i="8"/>
  <c r="D506" i="8"/>
  <c r="L67" i="8"/>
  <c r="J11" i="5"/>
  <c r="J152" i="7"/>
  <c r="D746" i="8"/>
  <c r="L952" i="8"/>
  <c r="L538" i="8"/>
  <c r="J36" i="4"/>
  <c r="J204" i="7"/>
  <c r="L267" i="8"/>
  <c r="D203" i="8"/>
  <c r="L594" i="8"/>
  <c r="J106" i="7"/>
  <c r="L492" i="8"/>
  <c r="L186" i="8"/>
  <c r="L1021" i="8"/>
  <c r="J35" i="7"/>
  <c r="D763" i="8"/>
  <c r="D690" i="8"/>
  <c r="D755" i="8"/>
  <c r="J169" i="8"/>
  <c r="L806" i="8"/>
  <c r="J424" i="8"/>
  <c r="D632" i="8"/>
  <c r="J570" i="8"/>
  <c r="D640" i="8"/>
  <c r="J14" i="4"/>
  <c r="D1085" i="8"/>
  <c r="D239" i="8"/>
  <c r="L351" i="8"/>
  <c r="D445" i="8"/>
  <c r="J514" i="8"/>
  <c r="D25" i="7"/>
  <c r="D477" i="8"/>
  <c r="L433" i="8"/>
  <c r="L511" i="8"/>
  <c r="D363" i="8"/>
  <c r="D526" i="8"/>
  <c r="L1114" i="8"/>
  <c r="D44" i="7"/>
  <c r="L761" i="8"/>
  <c r="L983" i="8"/>
  <c r="J153" i="7"/>
  <c r="L335" i="8"/>
  <c r="K24" i="6"/>
  <c r="D79" i="7"/>
  <c r="L65" i="8"/>
  <c r="J726" i="8"/>
  <c r="J18" i="7"/>
  <c r="D378" i="8"/>
  <c r="D278" i="8"/>
  <c r="D186" i="8"/>
  <c r="D678" i="8"/>
  <c r="J21" i="1"/>
  <c r="L429" i="8"/>
  <c r="J297" i="8"/>
  <c r="J208" i="8"/>
  <c r="D154" i="8"/>
  <c r="L182" i="7"/>
  <c r="D216" i="8"/>
  <c r="L514" i="8"/>
  <c r="L890" i="8"/>
  <c r="J206" i="7"/>
  <c r="J850" i="8"/>
  <c r="L843" i="8"/>
  <c r="L462" i="8"/>
  <c r="J828" i="8"/>
  <c r="J157" i="8"/>
  <c r="L627" i="8"/>
  <c r="L27" i="8"/>
  <c r="J694" i="8"/>
  <c r="L202" i="8"/>
  <c r="L440" i="8"/>
  <c r="D333" i="8"/>
  <c r="L72" i="8"/>
  <c r="L778" i="8"/>
  <c r="L711" i="8"/>
  <c r="L133" i="8"/>
  <c r="L375" i="8"/>
  <c r="L926" i="8"/>
  <c r="D193" i="8"/>
  <c r="J104" i="7"/>
  <c r="J798" i="8"/>
  <c r="L651" i="8"/>
  <c r="L321" i="8"/>
  <c r="D86" i="7"/>
  <c r="L507" i="8"/>
  <c r="K100" i="7"/>
  <c r="L272" i="8"/>
  <c r="L889" i="8"/>
  <c r="L676" i="8"/>
  <c r="L362" i="8"/>
  <c r="D901" i="8"/>
  <c r="L1121" i="8"/>
  <c r="K207" i="7"/>
  <c r="D654" i="8"/>
  <c r="J830" i="8"/>
  <c r="J61" i="8"/>
  <c r="J1015" i="8"/>
  <c r="D1055" i="8"/>
  <c r="J1019" i="8"/>
  <c r="J1074" i="8"/>
  <c r="D666" i="8"/>
  <c r="J819" i="8"/>
  <c r="D964" i="8"/>
  <c r="D849" i="8"/>
  <c r="J948" i="8"/>
  <c r="D1122" i="8"/>
  <c r="J46" i="8"/>
  <c r="J945" i="8"/>
  <c r="D761" i="8"/>
  <c r="J1009" i="8"/>
  <c r="D300" i="8"/>
  <c r="J63" i="7"/>
  <c r="D981" i="8"/>
  <c r="D588" i="8"/>
  <c r="J54" i="8"/>
  <c r="J387" i="8"/>
  <c r="D768" i="8"/>
  <c r="J483" i="8"/>
  <c r="D1005" i="8"/>
  <c r="J86" i="7"/>
  <c r="D784" i="8"/>
  <c r="D1013" i="8"/>
  <c r="J559" i="8"/>
  <c r="J633" i="8"/>
  <c r="J107" i="8"/>
  <c r="J714" i="8"/>
  <c r="J813" i="8"/>
  <c r="J1130" i="8"/>
  <c r="D157" i="8"/>
  <c r="J673" i="8"/>
  <c r="J832" i="8"/>
  <c r="D13" i="4"/>
  <c r="D100" i="7"/>
  <c r="D1048" i="8"/>
  <c r="J485" i="8"/>
  <c r="J12" i="7"/>
  <c r="D41" i="4"/>
  <c r="D360" i="8"/>
  <c r="J789" i="8"/>
  <c r="D504" i="8"/>
  <c r="J94" i="8"/>
  <c r="D972" i="8"/>
  <c r="J92" i="7"/>
  <c r="J359" i="8"/>
  <c r="L626" i="8"/>
  <c r="D310" i="8"/>
  <c r="L277" i="8"/>
  <c r="J17" i="7"/>
  <c r="D918" i="8"/>
  <c r="J69" i="7"/>
  <c r="J30" i="8"/>
  <c r="D579" i="8"/>
  <c r="D229" i="8"/>
  <c r="J226" i="8"/>
  <c r="J883" i="8"/>
  <c r="L875" i="8"/>
  <c r="J300" i="8"/>
  <c r="D16" i="7"/>
  <c r="D557" i="8"/>
  <c r="L1033" i="8"/>
  <c r="D858" i="8"/>
  <c r="L37" i="6"/>
  <c r="L993" i="8"/>
  <c r="L567" i="8"/>
  <c r="L992" i="8"/>
  <c r="J1118" i="8"/>
  <c r="L572" i="8"/>
  <c r="L327" i="8"/>
  <c r="L100" i="8"/>
  <c r="L766" i="8"/>
  <c r="L1100" i="8"/>
  <c r="J390" i="8"/>
  <c r="L661" i="8"/>
  <c r="J17" i="1"/>
  <c r="D294" i="8"/>
  <c r="J123" i="7"/>
  <c r="L449" i="8"/>
  <c r="D321" i="8"/>
  <c r="J782" i="8"/>
  <c r="J36" i="7"/>
  <c r="L101" i="8"/>
  <c r="D33" i="7"/>
  <c r="L935" i="8"/>
  <c r="L209" i="8"/>
  <c r="D123" i="7"/>
  <c r="J1059" i="8"/>
  <c r="J35" i="8"/>
  <c r="L352" i="8"/>
  <c r="J105" i="8"/>
  <c r="L8" i="7"/>
  <c r="J379" i="8"/>
  <c r="L85" i="8"/>
  <c r="J542" i="8"/>
  <c r="D126" i="7"/>
  <c r="L111" i="8"/>
  <c r="D14" i="8"/>
  <c r="L191" i="7"/>
  <c r="D1016" i="8"/>
  <c r="K23" i="6"/>
  <c r="L184" i="8"/>
  <c r="L807" i="8"/>
  <c r="L707" i="8"/>
  <c r="L1106" i="8"/>
  <c r="D1121" i="8"/>
  <c r="D478" i="8"/>
  <c r="L758" i="8"/>
  <c r="L570" i="8"/>
  <c r="D1098" i="8"/>
  <c r="L441" i="8"/>
  <c r="L510" i="8"/>
  <c r="D416" i="8"/>
  <c r="L483" i="8"/>
  <c r="L226" i="8"/>
  <c r="D96" i="8"/>
  <c r="L404" i="8"/>
  <c r="L283" i="8"/>
  <c r="D21" i="8"/>
  <c r="L620" i="8"/>
  <c r="D143" i="8"/>
  <c r="L338" i="8"/>
  <c r="J862" i="8"/>
  <c r="L776" i="8"/>
  <c r="D72" i="7"/>
  <c r="J79" i="7"/>
  <c r="D306" i="8"/>
  <c r="J215" i="7"/>
  <c r="D756" i="8"/>
  <c r="L463" i="8"/>
  <c r="D932" i="8"/>
  <c r="L528" i="8"/>
  <c r="J188" i="7"/>
  <c r="L68" i="8"/>
  <c r="L178" i="7"/>
  <c r="L1074" i="8"/>
  <c r="L69" i="8"/>
  <c r="L684" i="8"/>
  <c r="L281" i="8"/>
  <c r="D101" i="7"/>
  <c r="L434" i="8"/>
  <c r="K147" i="7"/>
  <c r="L197" i="7"/>
  <c r="L1129" i="8"/>
  <c r="L409" i="8"/>
  <c r="L279" i="8"/>
  <c r="L355" i="8"/>
  <c r="D846" i="8"/>
  <c r="D273" i="8"/>
  <c r="L639" i="8"/>
  <c r="L174" i="7"/>
  <c r="J54" i="7"/>
  <c r="L115" i="8"/>
  <c r="D466" i="8"/>
  <c r="J321" i="8"/>
  <c r="D1116" i="8"/>
  <c r="J414" i="8"/>
  <c r="D179" i="8"/>
  <c r="J549" i="8"/>
  <c r="D144" i="7"/>
  <c r="D340" i="8"/>
  <c r="D490" i="8"/>
  <c r="D1061" i="8"/>
  <c r="J57" i="8"/>
  <c r="J805" i="8"/>
  <c r="D774" i="8"/>
  <c r="D1076" i="8"/>
  <c r="J982" i="8"/>
  <c r="D1026" i="8"/>
  <c r="D1024" i="8"/>
  <c r="D732" i="8"/>
  <c r="D1035" i="8"/>
  <c r="J1033" i="8"/>
  <c r="J131" i="8"/>
  <c r="J334" i="8"/>
  <c r="D437" i="8"/>
  <c r="D619" i="8"/>
  <c r="J629" i="8"/>
  <c r="J132" i="8"/>
  <c r="J888" i="8"/>
  <c r="D424" i="8"/>
  <c r="J332" i="8"/>
  <c r="J1056" i="8"/>
  <c r="D718" i="8"/>
  <c r="J1112" i="8"/>
  <c r="J884" i="8"/>
  <c r="L1080" i="8"/>
  <c r="J143" i="7"/>
  <c r="D739" i="8"/>
  <c r="J174" i="7"/>
  <c r="D772" i="8"/>
  <c r="J112" i="8"/>
  <c r="J95" i="8"/>
  <c r="D121" i="7"/>
  <c r="D909" i="8"/>
  <c r="J33" i="4"/>
  <c r="L958" i="8"/>
  <c r="J73" i="7"/>
  <c r="J764" i="8"/>
  <c r="L346" i="8"/>
  <c r="D13" i="7"/>
  <c r="J765" i="8"/>
  <c r="L555" i="8"/>
  <c r="J232" i="8"/>
  <c r="L320" i="8"/>
  <c r="D48" i="8"/>
  <c r="J153" i="8"/>
  <c r="D179" i="7"/>
  <c r="J30" i="7"/>
  <c r="J214" i="7"/>
  <c r="L231" i="8"/>
  <c r="D147" i="7"/>
  <c r="D1060" i="8"/>
  <c r="D80" i="7"/>
  <c r="D423" i="8"/>
  <c r="L1024" i="8"/>
  <c r="D966" i="8"/>
  <c r="J192" i="7"/>
  <c r="D454" i="8"/>
  <c r="D233" i="8"/>
  <c r="L878" i="8"/>
  <c r="L732" i="8"/>
  <c r="L547" i="8"/>
  <c r="D962" i="8"/>
  <c r="J844" i="8"/>
  <c r="J63" i="8"/>
  <c r="D532" i="8"/>
  <c r="L13" i="8"/>
  <c r="D107" i="7"/>
  <c r="D87" i="7"/>
  <c r="L553" i="8"/>
  <c r="J24" i="7"/>
  <c r="L201" i="8"/>
  <c r="D191" i="8"/>
  <c r="D208" i="7"/>
  <c r="J1104" i="8"/>
  <c r="L19" i="6"/>
  <c r="D110" i="7"/>
  <c r="L608" i="8"/>
  <c r="L456" i="8"/>
  <c r="L1007" i="8"/>
  <c r="L830" i="8"/>
  <c r="L799" i="8"/>
  <c r="L1012" i="8"/>
  <c r="J470" i="8"/>
  <c r="L176" i="8"/>
  <c r="J446" i="8"/>
  <c r="L395" i="8"/>
  <c r="J117" i="8"/>
  <c r="L712" i="8"/>
  <c r="D219" i="8"/>
  <c r="K15" i="6"/>
  <c r="L590" i="8"/>
  <c r="L367" i="8"/>
  <c r="D99" i="7"/>
  <c r="D961" i="8"/>
  <c r="L598" i="8"/>
  <c r="D82" i="7"/>
  <c r="D35" i="6"/>
  <c r="L147" i="8"/>
  <c r="D430" i="8"/>
  <c r="D24" i="4"/>
  <c r="J31" i="4"/>
  <c r="J381" i="8"/>
  <c r="L727" i="8"/>
  <c r="J492" i="8"/>
  <c r="J1051" i="8"/>
  <c r="J105" i="7"/>
  <c r="D71" i="8"/>
  <c r="L786" i="8"/>
  <c r="L385" i="8"/>
  <c r="D668" i="8"/>
  <c r="L602" i="8"/>
  <c r="L951" i="8"/>
  <c r="D924" i="8"/>
  <c r="J173" i="7"/>
  <c r="L520" i="8"/>
  <c r="L143" i="7"/>
  <c r="J207" i="7"/>
  <c r="L211" i="8"/>
  <c r="L698" i="8"/>
  <c r="D735" i="8"/>
  <c r="L91" i="8"/>
  <c r="D402" i="8"/>
  <c r="L544" i="8"/>
  <c r="L954" i="8"/>
  <c r="K56" i="7"/>
  <c r="L641" i="8"/>
  <c r="L916" i="8"/>
  <c r="D52" i="8"/>
  <c r="J187" i="7"/>
  <c r="L548" i="8"/>
  <c r="J101" i="7"/>
  <c r="L543" i="8"/>
  <c r="D444" i="8"/>
  <c r="L24" i="8"/>
  <c r="K199" i="7"/>
  <c r="L480" i="8"/>
  <c r="J85" i="8"/>
  <c r="L644" i="8"/>
  <c r="L175" i="7"/>
  <c r="L382" i="8"/>
  <c r="D291" i="8"/>
  <c r="D69" i="8"/>
  <c r="L664" i="8"/>
  <c r="L172" i="8"/>
  <c r="J193" i="8"/>
  <c r="L1070" i="8"/>
  <c r="K120" i="7"/>
  <c r="L225" i="8"/>
  <c r="J228" i="8"/>
  <c r="L11" i="8"/>
  <c r="L505" i="8"/>
  <c r="L229" i="8"/>
  <c r="L38" i="8"/>
  <c r="L406" i="8"/>
  <c r="L116" i="7"/>
  <c r="J927" i="8"/>
  <c r="D77" i="7"/>
  <c r="L65" i="7"/>
  <c r="L57" i="7"/>
  <c r="K61" i="7"/>
  <c r="D1088" i="8"/>
  <c r="L599" i="8"/>
  <c r="L80" i="7"/>
  <c r="D989" i="8"/>
  <c r="L165" i="7"/>
  <c r="L861" i="8"/>
  <c r="L1015" i="8"/>
  <c r="D91" i="7"/>
  <c r="L341" i="8"/>
  <c r="L15" i="6"/>
  <c r="L605" i="8"/>
  <c r="L146" i="7"/>
  <c r="L82" i="7"/>
  <c r="J102" i="7"/>
  <c r="L509" i="8"/>
  <c r="K72" i="7"/>
  <c r="J55" i="7"/>
  <c r="J788" i="8"/>
  <c r="L299" i="8"/>
  <c r="L740" i="8"/>
  <c r="K11" i="4"/>
  <c r="D30" i="8"/>
  <c r="K26" i="6"/>
  <c r="L146" i="8"/>
  <c r="L118" i="8"/>
  <c r="K35" i="4"/>
  <c r="J525" i="8"/>
  <c r="D346" i="8"/>
  <c r="J958" i="8"/>
  <c r="K40" i="7"/>
  <c r="K194" i="7"/>
  <c r="L506" i="8"/>
  <c r="J1043" i="8"/>
  <c r="J236" i="8"/>
  <c r="L40" i="6"/>
  <c r="L160" i="7"/>
  <c r="L979" i="8"/>
  <c r="D104" i="8"/>
  <c r="L99" i="8"/>
  <c r="L205" i="7"/>
  <c r="L96" i="8"/>
  <c r="L805" i="8"/>
  <c r="L96" i="7"/>
  <c r="K30" i="4"/>
  <c r="L188" i="8"/>
  <c r="L721" i="8"/>
  <c r="L12" i="7"/>
  <c r="L302" i="8"/>
  <c r="D1101" i="8"/>
  <c r="L760" i="8"/>
  <c r="L871" i="8"/>
  <c r="L1103" i="8"/>
  <c r="L783" i="8"/>
  <c r="L126" i="7"/>
  <c r="J35" i="4"/>
  <c r="L259" i="8"/>
  <c r="L74" i="8"/>
  <c r="L79" i="7"/>
  <c r="L147" i="7"/>
  <c r="K51" i="7"/>
  <c r="L525" i="8"/>
  <c r="L1082" i="8"/>
  <c r="L90" i="8"/>
  <c r="J407" i="8"/>
  <c r="L1137" i="8"/>
  <c r="D307" i="8"/>
  <c r="L618" i="8"/>
  <c r="J178" i="7"/>
  <c r="L77" i="8"/>
  <c r="L63" i="8"/>
  <c r="D194" i="8"/>
  <c r="L31" i="8"/>
  <c r="L595" i="8"/>
  <c r="K70" i="7"/>
  <c r="K146" i="7"/>
  <c r="D860" i="8"/>
  <c r="L678" i="8"/>
  <c r="D32" i="6"/>
  <c r="J385" i="8"/>
  <c r="K40" i="4"/>
  <c r="L986" i="8"/>
  <c r="L722" i="8"/>
  <c r="L872" i="8"/>
  <c r="D68" i="8"/>
  <c r="L58" i="8"/>
  <c r="L213" i="7"/>
  <c r="D847" i="8"/>
  <c r="J963" i="8"/>
  <c r="D788" i="8"/>
  <c r="D46" i="8"/>
  <c r="D487" i="8"/>
  <c r="D582" i="8"/>
  <c r="D1001" i="8"/>
  <c r="D614" i="8"/>
  <c r="J249" i="8"/>
  <c r="J487" i="8"/>
  <c r="J221" i="8"/>
  <c r="J284" i="8"/>
  <c r="J23" i="8"/>
  <c r="D1094" i="8"/>
  <c r="D920" i="8"/>
  <c r="J624" i="8"/>
  <c r="J469" i="8"/>
  <c r="D332" i="8"/>
  <c r="D140" i="8"/>
  <c r="J481" i="8"/>
  <c r="D34" i="8"/>
  <c r="J328" i="8"/>
  <c r="J395" i="8"/>
  <c r="D207" i="8"/>
  <c r="J162" i="7"/>
  <c r="L975" i="8"/>
  <c r="J766" i="8"/>
  <c r="J205" i="7"/>
  <c r="L1002" i="8"/>
  <c r="J109" i="8"/>
  <c r="D507" i="8"/>
  <c r="D931" i="8"/>
  <c r="J804" i="8"/>
  <c r="L200" i="8"/>
  <c r="D816" i="8"/>
  <c r="D679" i="8"/>
  <c r="J1028" i="8"/>
  <c r="J971" i="8"/>
  <c r="L358" i="8"/>
  <c r="D395" i="8"/>
  <c r="L516" i="8"/>
  <c r="L415" i="8"/>
  <c r="D687" i="8"/>
  <c r="J540" i="8"/>
  <c r="L518" i="8"/>
  <c r="D556" i="8"/>
  <c r="D24" i="7"/>
  <c r="D279" i="8"/>
  <c r="L60" i="8"/>
  <c r="L1097" i="8"/>
  <c r="D185" i="7"/>
  <c r="L1132" i="8"/>
  <c r="L716" i="8"/>
  <c r="L1123" i="8"/>
  <c r="L726" i="8"/>
  <c r="L858" i="8"/>
  <c r="L659" i="8"/>
  <c r="L189" i="8"/>
  <c r="J967" i="8"/>
  <c r="J994" i="8"/>
  <c r="L499" i="8"/>
  <c r="J538" i="8"/>
  <c r="J198" i="7"/>
  <c r="L891" i="8"/>
  <c r="J599" i="8"/>
  <c r="D29" i="8"/>
  <c r="L38" i="7"/>
  <c r="J115" i="7"/>
  <c r="J137" i="8"/>
  <c r="L937" i="8"/>
  <c r="D181" i="8"/>
  <c r="L143" i="8"/>
  <c r="D995" i="8"/>
  <c r="D211" i="7"/>
  <c r="D637" i="8"/>
  <c r="J1071" i="8"/>
  <c r="J451" i="8"/>
  <c r="L1041" i="8"/>
  <c r="D12" i="6"/>
  <c r="K12" i="6"/>
  <c r="L280" i="8"/>
  <c r="L88" i="8"/>
  <c r="D156" i="8"/>
  <c r="D432" i="8"/>
  <c r="J757" i="8"/>
  <c r="L258" i="8"/>
  <c r="L526" i="8"/>
  <c r="K107" i="7"/>
  <c r="L682" i="8"/>
  <c r="J140" i="7"/>
  <c r="L68" i="7"/>
  <c r="L999" i="8"/>
  <c r="L970" i="8"/>
  <c r="L37" i="8"/>
  <c r="D476" i="8"/>
  <c r="D203" i="7"/>
  <c r="L795" i="8"/>
  <c r="L23" i="7"/>
  <c r="J19" i="1"/>
  <c r="L1135" i="8"/>
  <c r="L211" i="7"/>
  <c r="L38" i="6"/>
  <c r="L208" i="7"/>
  <c r="D76" i="7"/>
  <c r="K78" i="7"/>
  <c r="J173" i="8"/>
  <c r="L198" i="7"/>
  <c r="K167" i="7"/>
  <c r="L549" i="8"/>
  <c r="J428" i="8"/>
  <c r="J42" i="4"/>
  <c r="K89" i="7"/>
  <c r="L77" i="7"/>
  <c r="K14" i="5"/>
  <c r="D29" i="6"/>
  <c r="J202" i="8"/>
  <c r="J551" i="8"/>
  <c r="L161" i="8"/>
  <c r="K211" i="7"/>
  <c r="J258" i="8"/>
  <c r="L53" i="7"/>
  <c r="L8" i="1"/>
  <c r="D141" i="8"/>
  <c r="L1064" i="8"/>
  <c r="L775" i="8"/>
  <c r="J257" i="8"/>
  <c r="L29" i="6"/>
  <c r="L755" i="8"/>
  <c r="J1120" i="8"/>
  <c r="L583" i="8"/>
  <c r="L677" i="8"/>
  <c r="D289" i="8"/>
  <c r="D40" i="6"/>
  <c r="K34" i="6"/>
  <c r="L20" i="7"/>
  <c r="K20" i="7"/>
  <c r="D469" i="8"/>
  <c r="L73" i="8"/>
  <c r="K161" i="7"/>
  <c r="L1052" i="8"/>
  <c r="L910" i="8"/>
  <c r="L106" i="7"/>
  <c r="L1092" i="8"/>
  <c r="L291" i="8"/>
  <c r="L166" i="8"/>
  <c r="L998" i="8"/>
  <c r="K109" i="7"/>
  <c r="L1013" i="8"/>
  <c r="L123" i="8"/>
  <c r="D868" i="8"/>
  <c r="D35" i="4"/>
  <c r="D146" i="8"/>
  <c r="L180" i="7"/>
  <c r="L61" i="7"/>
  <c r="L413" i="8"/>
  <c r="L974" i="8"/>
  <c r="L115" i="7"/>
  <c r="D38" i="4"/>
  <c r="L965" i="8"/>
  <c r="L66" i="7"/>
  <c r="L387" i="8"/>
  <c r="D184" i="7"/>
  <c r="J14" i="1"/>
  <c r="L19" i="7"/>
  <c r="L452" i="8"/>
  <c r="D94" i="7"/>
  <c r="L936" i="8"/>
  <c r="L865" i="8"/>
  <c r="D178" i="7"/>
  <c r="J1020" i="8"/>
  <c r="L537" i="8"/>
  <c r="J142" i="7"/>
  <c r="L411" i="8"/>
  <c r="L809" i="8"/>
  <c r="K190" i="7"/>
  <c r="L195" i="7"/>
  <c r="L83" i="7"/>
  <c r="L619" i="8"/>
  <c r="D56" i="7"/>
  <c r="J243" i="8"/>
  <c r="D34" i="6"/>
  <c r="L92" i="8"/>
  <c r="D35" i="7"/>
  <c r="L801" i="8"/>
  <c r="L900" i="8"/>
  <c r="L1032" i="8"/>
  <c r="K28" i="6"/>
  <c r="L703" i="8"/>
  <c r="D190" i="7"/>
  <c r="L188" i="7"/>
  <c r="L27" i="6"/>
  <c r="L512" i="8"/>
  <c r="L157" i="7"/>
  <c r="L209" i="7"/>
  <c r="L1028" i="8"/>
  <c r="D142" i="7"/>
  <c r="L1116" i="8"/>
  <c r="L16" i="7"/>
  <c r="L113" i="7"/>
  <c r="K94" i="7"/>
  <c r="D876" i="8"/>
  <c r="K714" i="8"/>
  <c r="K461" i="8"/>
  <c r="D97" i="8"/>
  <c r="K497" i="8"/>
  <c r="L956" i="8"/>
  <c r="J109" i="7"/>
  <c r="L424" i="8"/>
  <c r="K638" i="8"/>
  <c r="J158" i="7"/>
  <c r="K757" i="8"/>
  <c r="K90" i="7"/>
  <c r="K395" i="8"/>
  <c r="L70" i="8"/>
  <c r="K724" i="8"/>
  <c r="L156" i="8"/>
  <c r="K247" i="8"/>
  <c r="D459" i="8"/>
  <c r="L487" i="8"/>
  <c r="L714" i="8"/>
  <c r="L21" i="8"/>
  <c r="K979" i="8"/>
  <c r="L376" i="8"/>
  <c r="K911" i="8"/>
  <c r="K699" i="8"/>
  <c r="K1026" i="8"/>
  <c r="K427" i="8"/>
  <c r="K366" i="8"/>
  <c r="L897" i="8"/>
  <c r="K833" i="8"/>
  <c r="K514" i="8"/>
  <c r="L198" i="8"/>
  <c r="L104" i="7"/>
  <c r="K877" i="8"/>
  <c r="K840" i="8"/>
  <c r="K662" i="8"/>
  <c r="L271" i="8"/>
  <c r="L968" i="8"/>
  <c r="L250" i="8"/>
  <c r="L164" i="8"/>
  <c r="L476" i="8"/>
  <c r="D645" i="8"/>
  <c r="L201" i="7"/>
  <c r="K1063" i="8"/>
  <c r="L1042" i="8"/>
  <c r="K822" i="8"/>
  <c r="K782" i="8"/>
  <c r="K8" i="1"/>
  <c r="D534" i="8"/>
  <c r="K72" i="8"/>
  <c r="K292" i="8"/>
  <c r="K445" i="8"/>
  <c r="K668" i="8"/>
  <c r="K995" i="8"/>
  <c r="K26" i="7"/>
  <c r="D398" i="8"/>
  <c r="D971" i="8"/>
  <c r="D1108" i="8"/>
  <c r="J421" i="8"/>
  <c r="D502" i="8"/>
  <c r="D1078" i="8"/>
  <c r="J730" i="8"/>
  <c r="J1000" i="8"/>
  <c r="J480" i="8"/>
  <c r="J64" i="7"/>
  <c r="J437" i="8"/>
  <c r="D257" i="8"/>
  <c r="J99" i="7"/>
  <c r="D646" i="8"/>
  <c r="D1115" i="8"/>
  <c r="J316" i="8"/>
  <c r="J443" i="8"/>
  <c r="D606" i="8"/>
  <c r="J20" i="1"/>
  <c r="D377" i="8"/>
  <c r="J853" i="8"/>
  <c r="J935" i="8"/>
  <c r="J513" i="8"/>
  <c r="J234" i="8"/>
  <c r="D235" i="8"/>
  <c r="L383" i="8"/>
  <c r="J1083" i="8"/>
  <c r="D91" i="8"/>
  <c r="D1081" i="8"/>
  <c r="J956" i="8"/>
  <c r="D463" i="8"/>
  <c r="D1104" i="8"/>
  <c r="D232" i="8"/>
  <c r="J767" i="8"/>
  <c r="J566" i="8"/>
  <c r="J368" i="8"/>
  <c r="D605" i="8"/>
  <c r="J495" i="8"/>
  <c r="D700" i="8"/>
  <c r="L810" i="8"/>
  <c r="J472" i="8"/>
  <c r="D107" i="8"/>
  <c r="J25" i="8"/>
  <c r="D907" i="8"/>
  <c r="L359" i="8"/>
  <c r="J121" i="8"/>
  <c r="J1106" i="8"/>
  <c r="J363" i="8"/>
  <c r="L448" i="8"/>
  <c r="L78" i="8"/>
  <c r="L235" i="8"/>
  <c r="L638" i="8"/>
  <c r="L765" i="8"/>
  <c r="L191" i="8"/>
  <c r="L344" i="8"/>
  <c r="J159" i="7"/>
  <c r="L195" i="8"/>
  <c r="J269" i="8"/>
  <c r="D129" i="7"/>
  <c r="D11" i="5"/>
  <c r="L535" i="8"/>
  <c r="K33" i="6"/>
  <c r="D594" i="8"/>
  <c r="L15" i="7"/>
  <c r="D53" i="8"/>
  <c r="D100" i="8"/>
  <c r="J227" i="8"/>
  <c r="L427" i="8"/>
  <c r="J53" i="7"/>
  <c r="L851" i="8"/>
  <c r="K8" i="5"/>
  <c r="D36" i="4"/>
  <c r="J271" i="8"/>
  <c r="J417" i="8"/>
  <c r="L42" i="8"/>
  <c r="D69" i="7"/>
  <c r="J491" i="8"/>
  <c r="J661" i="8"/>
  <c r="L855" i="8"/>
  <c r="L853" i="8"/>
  <c r="D447" i="8"/>
  <c r="L660" i="8"/>
  <c r="J135" i="8"/>
  <c r="L657" i="8"/>
  <c r="K188" i="7"/>
  <c r="K28" i="7"/>
  <c r="L870" i="8"/>
  <c r="L148" i="8"/>
  <c r="L206" i="8"/>
  <c r="J528" i="8"/>
  <c r="L247" i="8"/>
  <c r="L540" i="8"/>
  <c r="L604" i="8"/>
  <c r="J880" i="8"/>
  <c r="L888" i="8"/>
  <c r="L883" i="8"/>
  <c r="L616" i="8"/>
  <c r="D75" i="7"/>
  <c r="L152" i="8"/>
  <c r="L613" i="8"/>
  <c r="D89" i="7"/>
  <c r="J170" i="8"/>
  <c r="J664" i="8"/>
  <c r="L823" i="8"/>
  <c r="J70" i="7"/>
  <c r="L662" i="8"/>
  <c r="D47" i="7"/>
  <c r="L539" i="8"/>
  <c r="L23" i="6"/>
  <c r="D20" i="6"/>
  <c r="K88" i="7"/>
  <c r="L850" i="8"/>
  <c r="D71" i="7"/>
  <c r="L89" i="8"/>
  <c r="L41" i="7"/>
  <c r="J214" i="8"/>
  <c r="L159" i="8"/>
  <c r="L398" i="8"/>
  <c r="L199" i="7"/>
  <c r="L16" i="8"/>
  <c r="D838" i="8"/>
  <c r="K184" i="7"/>
  <c r="L36" i="6"/>
  <c r="L612" i="8"/>
  <c r="L648" i="8"/>
  <c r="J627" i="8"/>
  <c r="K204" i="7"/>
  <c r="L32" i="8"/>
  <c r="J718" i="8"/>
  <c r="L295" i="8"/>
  <c r="J1053" i="8"/>
  <c r="L391" i="8"/>
  <c r="K102" i="7"/>
  <c r="K59" i="7"/>
  <c r="L733" i="8"/>
  <c r="L802" i="8"/>
  <c r="L912" i="8"/>
  <c r="L502" i="8"/>
  <c r="L329" i="8"/>
  <c r="L150" i="7"/>
  <c r="L731" i="8"/>
  <c r="L176" i="7"/>
  <c r="L1134" i="8"/>
  <c r="L365" i="8"/>
  <c r="D33" i="4"/>
  <c r="L1063" i="8"/>
  <c r="L513" i="8"/>
  <c r="K32" i="4"/>
  <c r="K151" i="7"/>
  <c r="L123" i="7"/>
  <c r="K137" i="7"/>
  <c r="J171" i="7"/>
  <c r="L430" i="8"/>
  <c r="L477" i="8"/>
  <c r="L332" i="8"/>
  <c r="L736" i="8"/>
  <c r="L17" i="8"/>
  <c r="L61" i="8"/>
  <c r="D180" i="8"/>
  <c r="J26" i="7"/>
  <c r="L151" i="8"/>
  <c r="L370" i="8"/>
  <c r="L18" i="7"/>
  <c r="D19" i="8"/>
  <c r="L150" i="8"/>
  <c r="L908" i="8"/>
  <c r="L709" i="8"/>
  <c r="L649" i="8"/>
  <c r="L1025" i="8"/>
  <c r="K58" i="7"/>
  <c r="L985" i="8"/>
  <c r="L37" i="7"/>
  <c r="D89" i="8"/>
  <c r="D891" i="8"/>
  <c r="L909" i="8"/>
  <c r="L301" i="8"/>
  <c r="L713" i="8"/>
  <c r="L78" i="7"/>
  <c r="L388" i="8"/>
  <c r="L141" i="8"/>
  <c r="L102" i="7"/>
  <c r="D542" i="8"/>
  <c r="D13" i="5"/>
  <c r="L177" i="7"/>
  <c r="L17" i="4"/>
  <c r="L1018" i="8"/>
  <c r="L33" i="7"/>
  <c r="L56" i="8"/>
  <c r="L601" i="8"/>
  <c r="L560" i="8"/>
  <c r="J154" i="8"/>
  <c r="L1048" i="8"/>
  <c r="K68" i="7"/>
  <c r="J143" i="8"/>
  <c r="D135" i="8"/>
  <c r="K173" i="7"/>
  <c r="L822" i="8"/>
  <c r="D435" i="8"/>
  <c r="L130" i="8"/>
  <c r="L759" i="8"/>
  <c r="J454" i="8"/>
  <c r="L230" i="8"/>
  <c r="K802" i="8"/>
  <c r="L85" i="7"/>
  <c r="K467" i="8"/>
  <c r="L84" i="7"/>
  <c r="K139" i="7"/>
  <c r="K158" i="7"/>
  <c r="L152" i="7"/>
  <c r="L607" i="8"/>
  <c r="L72" i="7"/>
  <c r="K1093" i="8"/>
  <c r="K140" i="8"/>
  <c r="K890" i="8"/>
  <c r="D706" i="8"/>
  <c r="K923" i="8"/>
  <c r="L484" i="8"/>
  <c r="K903" i="8"/>
  <c r="K748" i="8"/>
  <c r="K592" i="8"/>
  <c r="K69" i="8"/>
  <c r="K1085" i="8"/>
  <c r="K154" i="7"/>
  <c r="K382" i="8"/>
  <c r="L635" i="8"/>
  <c r="K428" i="8"/>
  <c r="K981" i="8"/>
  <c r="K889" i="8"/>
  <c r="L428" i="8"/>
  <c r="K311" i="8"/>
  <c r="K768" i="8"/>
  <c r="K423" i="8"/>
  <c r="L32" i="7"/>
  <c r="L171" i="7"/>
  <c r="L966" i="8"/>
  <c r="J817" i="8"/>
  <c r="L159" i="7"/>
  <c r="K84" i="7"/>
  <c r="L734" i="8"/>
  <c r="K318" i="8"/>
  <c r="L44" i="7"/>
  <c r="K190" i="8"/>
  <c r="K126" i="8"/>
  <c r="L167" i="7"/>
  <c r="K943" i="8"/>
  <c r="K792" i="8"/>
  <c r="J67" i="7"/>
  <c r="K800" i="8"/>
  <c r="L26" i="8"/>
  <c r="K608" i="8"/>
  <c r="L142" i="8"/>
  <c r="L55" i="8"/>
  <c r="K60" i="8"/>
  <c r="L28" i="6"/>
  <c r="K1116" i="8"/>
  <c r="D563" i="8"/>
  <c r="D533" i="8"/>
  <c r="D1036" i="8"/>
  <c r="J347" i="8"/>
  <c r="J733" i="8"/>
  <c r="D587" i="8"/>
  <c r="D497" i="8"/>
  <c r="J351" i="8"/>
  <c r="J699" i="8"/>
  <c r="J482" i="8"/>
  <c r="J49" i="8"/>
  <c r="D281" i="8"/>
  <c r="D183" i="7"/>
  <c r="D935" i="8"/>
  <c r="D730" i="8"/>
  <c r="J203" i="8"/>
  <c r="J1111" i="8"/>
  <c r="J220" i="8"/>
  <c r="J126" i="8"/>
  <c r="D852" i="8"/>
  <c r="D169" i="7"/>
  <c r="J346" i="8"/>
  <c r="L845" i="8"/>
  <c r="J831" i="8"/>
  <c r="D744" i="8"/>
  <c r="J224" i="8"/>
  <c r="D27" i="6"/>
  <c r="D1092" i="8"/>
  <c r="D67" i="8"/>
  <c r="J11" i="7"/>
  <c r="J58" i="7"/>
  <c r="J617" i="8"/>
  <c r="D36" i="7"/>
  <c r="J51" i="7"/>
  <c r="J893" i="8"/>
  <c r="D58" i="7"/>
  <c r="D793" i="8"/>
  <c r="J752" i="8"/>
  <c r="D483" i="8"/>
  <c r="D33" i="6"/>
  <c r="L1004" i="8"/>
  <c r="D527" i="8"/>
  <c r="L687" i="8"/>
  <c r="D21" i="7"/>
  <c r="J178" i="8"/>
  <c r="D523" i="8"/>
  <c r="D369" i="8"/>
  <c r="D189" i="8"/>
  <c r="D201" i="8"/>
  <c r="D608" i="8"/>
  <c r="L246" i="8"/>
  <c r="D136" i="8"/>
  <c r="J651" i="8"/>
  <c r="L1113" i="8"/>
  <c r="L396" i="8"/>
  <c r="D106" i="8"/>
  <c r="J839" i="8"/>
  <c r="L666" i="8"/>
  <c r="D104" i="7"/>
  <c r="J41" i="8"/>
  <c r="D83" i="8"/>
  <c r="L313" i="8"/>
  <c r="K13" i="6"/>
  <c r="D722" i="8"/>
  <c r="D32" i="4"/>
  <c r="D210" i="8"/>
  <c r="L368" i="8"/>
  <c r="D697" i="8"/>
  <c r="L22" i="6"/>
  <c r="J118" i="7"/>
  <c r="D544" i="8"/>
  <c r="L314" i="8"/>
  <c r="L1120" i="8"/>
  <c r="L498" i="8"/>
  <c r="J778" i="8"/>
  <c r="L885" i="8"/>
  <c r="L127" i="8"/>
  <c r="L183" i="7"/>
  <c r="L1107" i="8"/>
  <c r="L827" i="8"/>
  <c r="J148" i="8"/>
  <c r="K32" i="6"/>
  <c r="L785" i="8"/>
  <c r="J305" i="8"/>
  <c r="L780" i="8"/>
  <c r="L205" i="8"/>
  <c r="L1111" i="8"/>
  <c r="K103" i="7"/>
  <c r="J509" i="8"/>
  <c r="L902" i="8"/>
  <c r="L941" i="8"/>
  <c r="L244" i="8"/>
  <c r="L568" i="8"/>
  <c r="L20" i="6"/>
  <c r="J793" i="8"/>
  <c r="D34" i="4"/>
  <c r="L824" i="8"/>
  <c r="L1076" i="8"/>
  <c r="K29" i="7"/>
  <c r="K132" i="7"/>
  <c r="L202" i="7"/>
  <c r="L455" i="8"/>
  <c r="L84" i="8"/>
  <c r="L87" i="7"/>
  <c r="J995" i="8"/>
  <c r="J169" i="7"/>
  <c r="J74" i="8"/>
  <c r="L814" i="8"/>
  <c r="L22" i="8"/>
  <c r="D274" i="8"/>
  <c r="L34" i="8"/>
  <c r="J526" i="8"/>
  <c r="L46" i="8"/>
  <c r="L472" i="8"/>
  <c r="K74" i="7"/>
  <c r="L459" i="8"/>
  <c r="K215" i="7"/>
  <c r="D726" i="8"/>
  <c r="L907" i="8"/>
  <c r="L273" i="8"/>
  <c r="K145" i="7"/>
  <c r="D172" i="7"/>
  <c r="L97" i="7"/>
  <c r="K166" i="7"/>
  <c r="L867" i="8"/>
  <c r="L466" i="8"/>
  <c r="D30" i="6"/>
  <c r="K176" i="7"/>
  <c r="L83" i="8"/>
  <c r="L182" i="8"/>
  <c r="L652" i="8"/>
  <c r="L107" i="7"/>
  <c r="J28" i="8"/>
  <c r="L14" i="7"/>
  <c r="D243" i="8"/>
  <c r="D555" i="8"/>
  <c r="J130" i="7"/>
  <c r="D141" i="7"/>
  <c r="D284" i="8"/>
  <c r="L75" i="8"/>
  <c r="J621" i="8"/>
  <c r="L16" i="6"/>
  <c r="J13" i="4"/>
  <c r="J740" i="8"/>
  <c r="L214" i="7"/>
  <c r="D647" i="8"/>
  <c r="J794" i="8"/>
  <c r="D341" i="8"/>
  <c r="J358" i="8"/>
  <c r="J181" i="7"/>
  <c r="J1057" i="8"/>
  <c r="L166" i="7"/>
  <c r="J49" i="7"/>
  <c r="L54" i="7"/>
  <c r="L1045" i="8"/>
  <c r="J124" i="7"/>
  <c r="L353" i="8"/>
  <c r="L330" i="8"/>
  <c r="L848" i="8"/>
  <c r="L60" i="7"/>
  <c r="L791" i="8"/>
  <c r="L241" i="8"/>
  <c r="L624" i="8"/>
  <c r="L820" i="8"/>
  <c r="D975" i="8"/>
  <c r="L34" i="7"/>
  <c r="L470" i="8"/>
  <c r="L699" i="8"/>
  <c r="J706" i="8"/>
  <c r="K162" i="7"/>
  <c r="J1016" i="8"/>
  <c r="L94" i="7"/>
  <c r="D22" i="7"/>
  <c r="J23" i="7"/>
  <c r="D168" i="7"/>
  <c r="J72" i="7"/>
  <c r="J594" i="8"/>
  <c r="L1044" i="8"/>
  <c r="L650" i="8"/>
  <c r="L153" i="8"/>
  <c r="K181" i="7"/>
  <c r="K11" i="6"/>
  <c r="L137" i="7"/>
  <c r="L715" i="8"/>
  <c r="L138" i="7"/>
  <c r="J20" i="7"/>
  <c r="D494" i="8"/>
  <c r="L569" i="8"/>
  <c r="D813" i="8"/>
  <c r="J411" i="8"/>
  <c r="L860" i="8"/>
  <c r="L904" i="8"/>
  <c r="L82" i="8"/>
  <c r="J1072" i="8"/>
  <c r="L217" i="8"/>
  <c r="L497" i="8"/>
  <c r="L141" i="7"/>
  <c r="D24" i="6"/>
  <c r="L942" i="8"/>
  <c r="J200" i="7"/>
  <c r="D314" i="8"/>
  <c r="K639" i="8"/>
  <c r="L643" i="8"/>
  <c r="K320" i="8"/>
  <c r="K42" i="7"/>
  <c r="K124" i="8"/>
  <c r="L119" i="8"/>
  <c r="L977" i="8"/>
  <c r="K637" i="8"/>
  <c r="K570" i="8"/>
  <c r="L559" i="8"/>
  <c r="L175" i="8"/>
  <c r="L1086" i="8"/>
  <c r="K597" i="8"/>
  <c r="K878" i="8"/>
  <c r="L751" i="8"/>
  <c r="K66" i="7"/>
  <c r="L207" i="8"/>
  <c r="K703" i="8"/>
  <c r="L15" i="4"/>
  <c r="D439" i="8"/>
  <c r="K557" i="8"/>
  <c r="K1023" i="8"/>
  <c r="K544" i="8"/>
  <c r="D514" i="8"/>
  <c r="L980" i="8"/>
  <c r="L21" i="4"/>
  <c r="D81" i="7"/>
  <c r="K978" i="8"/>
  <c r="K1130" i="8"/>
  <c r="K250" i="8"/>
  <c r="L265" i="8"/>
  <c r="L1017" i="8"/>
  <c r="K576" i="8"/>
  <c r="K862" i="8"/>
  <c r="K591" i="8"/>
  <c r="K27" i="4"/>
  <c r="K788" i="8"/>
  <c r="K573" i="8"/>
  <c r="L253" i="8"/>
  <c r="K122" i="8"/>
  <c r="K126" i="7"/>
  <c r="K352" i="8"/>
  <c r="L64" i="7"/>
  <c r="L584" i="8"/>
  <c r="K34" i="4"/>
  <c r="K55" i="7"/>
  <c r="K734" i="8"/>
  <c r="K785" i="8"/>
  <c r="K71" i="8"/>
  <c r="K1075" i="8"/>
  <c r="K801" i="8"/>
  <c r="D225" i="8"/>
  <c r="L179" i="7"/>
  <c r="K98" i="8"/>
  <c r="L745" i="8"/>
  <c r="K765" i="8"/>
  <c r="K275" i="8"/>
  <c r="K384" i="8"/>
  <c r="L140" i="7"/>
  <c r="L1127" i="8"/>
  <c r="K20" i="8"/>
  <c r="L991" i="8"/>
  <c r="K904" i="8"/>
  <c r="D142" i="8"/>
  <c r="L1061" i="8"/>
  <c r="L218" i="8"/>
  <c r="L105" i="8"/>
  <c r="L422" i="8"/>
  <c r="D65" i="8"/>
  <c r="L223" i="8"/>
  <c r="L29" i="8"/>
  <c r="D206" i="8"/>
  <c r="L48" i="7"/>
  <c r="L192" i="7"/>
  <c r="L189" i="7"/>
  <c r="K479" i="8"/>
  <c r="K74" i="8"/>
  <c r="D484" i="8"/>
  <c r="L285" i="8"/>
  <c r="K31" i="8"/>
  <c r="L33" i="6"/>
  <c r="K414" i="8"/>
  <c r="L91" i="7"/>
  <c r="K85" i="7"/>
  <c r="K17" i="7"/>
  <c r="K178" i="7"/>
  <c r="K19" i="7"/>
  <c r="K25" i="7"/>
  <c r="K113" i="7"/>
  <c r="K117" i="7"/>
  <c r="K18" i="7"/>
  <c r="K54" i="7"/>
  <c r="K91" i="7"/>
  <c r="K152" i="7"/>
  <c r="K144" i="7"/>
  <c r="L22" i="1"/>
  <c r="K18" i="4"/>
  <c r="K36" i="4"/>
  <c r="L32" i="4"/>
  <c r="L16" i="4"/>
  <c r="L11" i="4"/>
  <c r="K1088" i="8"/>
  <c r="K510" i="8"/>
  <c r="K907" i="8"/>
  <c r="K158" i="8"/>
  <c r="K554" i="8"/>
  <c r="K215" i="8"/>
  <c r="K770" i="8"/>
  <c r="K575" i="8"/>
  <c r="K1013" i="8"/>
  <c r="K208" i="8"/>
  <c r="K993" i="8"/>
  <c r="K42" i="8"/>
  <c r="K146" i="8"/>
  <c r="K364" i="8"/>
  <c r="K178" i="8"/>
  <c r="K379" i="8"/>
  <c r="K480" i="8"/>
  <c r="K439" i="8"/>
  <c r="K419" i="8"/>
  <c r="K400" i="8"/>
  <c r="K335" i="8"/>
  <c r="K695" i="8"/>
  <c r="K715" i="8"/>
  <c r="K361" i="8"/>
  <c r="K769" i="8"/>
  <c r="K759" i="8"/>
  <c r="K187" i="8"/>
  <c r="K666" i="8"/>
  <c r="K506" i="8"/>
  <c r="K469" i="8"/>
  <c r="K1012" i="8"/>
  <c r="K1080" i="8"/>
  <c r="K1072" i="8"/>
  <c r="K1084" i="8"/>
  <c r="K162" i="8"/>
  <c r="K70" i="8"/>
  <c r="K1066" i="8"/>
  <c r="K422" i="8"/>
  <c r="K711" i="8"/>
  <c r="K103" i="8"/>
  <c r="K401" i="8"/>
  <c r="K1073" i="8"/>
  <c r="K902" i="8"/>
  <c r="K828" i="8"/>
  <c r="K580" i="8"/>
  <c r="J672" i="8"/>
  <c r="D42" i="8"/>
  <c r="J203" i="7"/>
  <c r="J95" i="7"/>
  <c r="J320" i="8"/>
  <c r="J532" i="8"/>
  <c r="D692" i="8"/>
  <c r="J250" i="8"/>
  <c r="D949" i="8"/>
  <c r="J126" i="7"/>
  <c r="J383" i="8"/>
  <c r="J719" i="8"/>
  <c r="J776" i="8"/>
  <c r="J618" i="8"/>
  <c r="J468" i="8"/>
  <c r="D686" i="8"/>
  <c r="D990" i="8"/>
  <c r="J209" i="8"/>
  <c r="J877" i="8"/>
  <c r="J637" i="8"/>
  <c r="D1067" i="8"/>
  <c r="D186" i="7"/>
  <c r="L724" i="8"/>
  <c r="J801" i="8"/>
  <c r="D282" i="8"/>
  <c r="L503" i="8"/>
  <c r="L371" i="8"/>
  <c r="J131" i="7"/>
  <c r="J313" i="8"/>
  <c r="J715" i="8"/>
  <c r="D809" i="8"/>
  <c r="L137" i="8"/>
  <c r="L654" i="8"/>
  <c r="D121" i="8"/>
  <c r="L517" i="8"/>
  <c r="J676" i="8"/>
  <c r="J533" i="8"/>
  <c r="D855" i="8"/>
  <c r="D14" i="7"/>
  <c r="D206" i="7"/>
  <c r="L113" i="8"/>
  <c r="L121" i="8"/>
  <c r="J103" i="8"/>
  <c r="L905" i="8"/>
  <c r="D621" i="8"/>
  <c r="L757" i="8"/>
  <c r="J329" i="8"/>
  <c r="D604" i="8"/>
  <c r="L393" i="8"/>
  <c r="L1039" i="8"/>
  <c r="L817" i="8"/>
  <c r="D498" i="8"/>
  <c r="L1096" i="8"/>
  <c r="L192" i="8"/>
  <c r="D642" i="8"/>
  <c r="L384" i="8"/>
  <c r="L1054" i="8"/>
  <c r="K22" i="6"/>
  <c r="K14" i="7"/>
  <c r="K23" i="7"/>
  <c r="L769" i="8"/>
  <c r="J707" i="8"/>
  <c r="J71" i="7"/>
  <c r="J1061" i="8"/>
  <c r="L901" i="8"/>
  <c r="L781" i="8"/>
  <c r="K206" i="7"/>
  <c r="D112" i="7"/>
  <c r="J1084" i="8"/>
  <c r="L23" i="8"/>
  <c r="D131" i="7"/>
  <c r="L100" i="7"/>
  <c r="L834" i="8"/>
  <c r="L63" i="7"/>
  <c r="L597" i="8"/>
  <c r="J24" i="8"/>
  <c r="L95" i="7"/>
  <c r="L40" i="7"/>
  <c r="D944" i="8"/>
  <c r="J652" i="8"/>
  <c r="L39" i="8"/>
  <c r="J640" i="8"/>
  <c r="L35" i="8"/>
  <c r="L173" i="7"/>
  <c r="D993" i="8"/>
  <c r="L74" i="7"/>
  <c r="L25" i="7"/>
  <c r="L629" i="8"/>
  <c r="K52" i="7"/>
  <c r="J155" i="7"/>
  <c r="L197" i="8"/>
  <c r="L561" i="8"/>
  <c r="L45" i="7"/>
  <c r="L34" i="6"/>
  <c r="L310" i="8"/>
  <c r="K13" i="5"/>
  <c r="L1067" i="8"/>
  <c r="J944" i="8"/>
  <c r="L15" i="1"/>
  <c r="L710" i="8"/>
  <c r="L469" i="8"/>
  <c r="L948" i="8"/>
  <c r="D458" i="8"/>
  <c r="L200" i="7"/>
  <c r="D585" i="8"/>
  <c r="L987" i="8"/>
  <c r="L114" i="7"/>
  <c r="L679" i="8"/>
  <c r="L136" i="7"/>
  <c r="L342" i="8"/>
  <c r="J212" i="8"/>
  <c r="D716" i="8"/>
  <c r="L109" i="7"/>
  <c r="L31" i="4"/>
  <c r="J978" i="8"/>
  <c r="L490" i="8"/>
  <c r="K25" i="4"/>
  <c r="K189" i="7"/>
  <c r="L921" i="8"/>
  <c r="D84" i="7"/>
  <c r="L207" i="7"/>
  <c r="L1050" i="8"/>
  <c r="L71" i="7"/>
  <c r="L336" i="8"/>
  <c r="L232" i="8"/>
  <c r="L101" i="7"/>
  <c r="D194" i="7"/>
  <c r="K906" i="8"/>
  <c r="K697" i="8"/>
  <c r="L600" i="8"/>
  <c r="L1088" i="8"/>
  <c r="L523" i="8"/>
  <c r="K105" i="7"/>
  <c r="K314" i="8"/>
  <c r="K209" i="8"/>
  <c r="L877" i="8"/>
  <c r="D1068" i="8"/>
  <c r="K982" i="8"/>
  <c r="L158" i="7"/>
  <c r="K19" i="4"/>
  <c r="D271" i="8"/>
  <c r="D317" i="8"/>
  <c r="L266" i="8"/>
  <c r="K753" i="8"/>
  <c r="K520" i="8"/>
  <c r="K970" i="8"/>
  <c r="K735" i="8"/>
  <c r="L1078" i="8"/>
  <c r="K945" i="8"/>
  <c r="L631" i="8"/>
  <c r="L419" i="8"/>
  <c r="L945" i="8"/>
  <c r="K572" i="8"/>
  <c r="K595" i="8"/>
  <c r="K278" i="8"/>
  <c r="K218" i="8"/>
  <c r="K404" i="8"/>
  <c r="D244" i="8"/>
  <c r="L243" i="8"/>
  <c r="L681" i="8"/>
  <c r="J327" i="8"/>
  <c r="K647" i="8"/>
  <c r="D845" i="8"/>
  <c r="L593" i="8"/>
  <c r="K200" i="8"/>
  <c r="K974" i="8"/>
  <c r="K135" i="8"/>
  <c r="L155" i="8"/>
  <c r="K984" i="8"/>
  <c r="K265" i="8"/>
  <c r="K462" i="8"/>
  <c r="L491" i="8"/>
  <c r="K536" i="8"/>
  <c r="J553" i="8"/>
  <c r="L1026" i="8"/>
  <c r="K642" i="8"/>
  <c r="K1015" i="8"/>
  <c r="L215" i="8"/>
  <c r="L111" i="7"/>
  <c r="K621" i="8"/>
  <c r="L444" i="8"/>
  <c r="K500" i="8"/>
  <c r="K381" i="8"/>
  <c r="K926" i="8"/>
  <c r="L13" i="5"/>
  <c r="L215" i="7"/>
  <c r="K15" i="7"/>
  <c r="K143" i="7"/>
  <c r="K81" i="7"/>
  <c r="K185" i="7"/>
  <c r="K192" i="7"/>
  <c r="K49" i="7"/>
  <c r="K33" i="7"/>
  <c r="K149" i="7"/>
  <c r="K196" i="7"/>
  <c r="K110" i="7"/>
  <c r="L11" i="1"/>
  <c r="K26" i="4"/>
  <c r="K23" i="4"/>
  <c r="L37" i="4"/>
  <c r="L28" i="4"/>
  <c r="K1137" i="8"/>
  <c r="K953" i="8"/>
  <c r="K342" i="8"/>
  <c r="K776" i="8"/>
  <c r="K619" i="8"/>
  <c r="K670" i="8"/>
  <c r="K446" i="8"/>
  <c r="K763" i="8"/>
  <c r="K535" i="8"/>
  <c r="K865" i="8"/>
  <c r="K177" i="8"/>
  <c r="K1124" i="8"/>
  <c r="K331" i="8"/>
  <c r="K559" i="8"/>
  <c r="K134" i="8"/>
  <c r="K601" i="8"/>
  <c r="K719" i="8"/>
  <c r="K302" i="8"/>
  <c r="K975" i="8"/>
  <c r="K527" i="8"/>
  <c r="K403" i="8"/>
  <c r="K76" i="8"/>
  <c r="K684" i="8"/>
  <c r="K339" i="8"/>
  <c r="K205" i="8"/>
  <c r="K323" i="8"/>
  <c r="K464" i="8"/>
  <c r="K152" i="8"/>
  <c r="K829" i="8"/>
  <c r="D808" i="8"/>
  <c r="J691" i="8"/>
  <c r="J429" i="8"/>
  <c r="D827" i="8"/>
  <c r="J175" i="7"/>
  <c r="J681" i="8"/>
  <c r="J591" i="8"/>
  <c r="J399" i="8"/>
  <c r="J312" i="8"/>
  <c r="D1130" i="8"/>
  <c r="J151" i="8"/>
  <c r="D960" i="8"/>
  <c r="D117" i="8"/>
  <c r="D43" i="7"/>
  <c r="J937" i="8"/>
  <c r="D267" i="8"/>
  <c r="D150" i="8"/>
  <c r="L746" i="8"/>
  <c r="J37" i="4"/>
  <c r="J1134" i="8"/>
  <c r="J315" i="8"/>
  <c r="D343" i="8"/>
  <c r="J388" i="8"/>
  <c r="J285" i="8"/>
  <c r="D264" i="8"/>
  <c r="L771" i="8"/>
  <c r="J1077" i="8"/>
  <c r="L109" i="8"/>
  <c r="L689" i="8"/>
  <c r="J777" i="8"/>
  <c r="D712" i="8"/>
  <c r="J176" i="7"/>
  <c r="D798" i="8"/>
  <c r="D60" i="7"/>
  <c r="L86" i="8"/>
  <c r="D1046" i="8"/>
  <c r="J749" i="8"/>
  <c r="D1037" i="8"/>
  <c r="L489" i="8"/>
  <c r="L803" i="8"/>
  <c r="L1128" i="8"/>
  <c r="L521" i="8"/>
  <c r="D922" i="8"/>
  <c r="J947" i="8"/>
  <c r="L15" i="8"/>
  <c r="L573" i="8"/>
  <c r="J314" i="8"/>
  <c r="J992" i="8"/>
  <c r="L366" i="8"/>
  <c r="L571" i="8"/>
  <c r="L263" i="8"/>
  <c r="J504" i="8"/>
  <c r="D18" i="6"/>
  <c r="J213" i="7"/>
  <c r="L245" i="8"/>
  <c r="L134" i="8"/>
  <c r="D207" i="7"/>
  <c r="L394" i="8"/>
  <c r="L841" i="8"/>
  <c r="L117" i="8"/>
  <c r="J1119" i="8"/>
  <c r="L621" i="8"/>
  <c r="L615" i="8"/>
  <c r="J202" i="7"/>
  <c r="L1095" i="8"/>
  <c r="J86" i="8"/>
  <c r="L1009" i="8"/>
  <c r="L1003" i="8"/>
  <c r="L737" i="8"/>
  <c r="D879" i="8"/>
  <c r="L717" i="8"/>
  <c r="L304" i="8"/>
  <c r="J486" i="8"/>
  <c r="L251" i="8"/>
  <c r="L857" i="8"/>
  <c r="D73" i="7"/>
  <c r="D1110" i="8"/>
  <c r="L674" i="8"/>
  <c r="J107" i="7"/>
  <c r="L939" i="8"/>
  <c r="L163" i="8"/>
  <c r="L849" i="8"/>
  <c r="L1038" i="8"/>
  <c r="L112" i="8"/>
  <c r="J76" i="7"/>
  <c r="L185" i="8"/>
  <c r="L481" i="8"/>
  <c r="J786" i="8"/>
  <c r="D803" i="8"/>
  <c r="L911" i="8"/>
  <c r="J984" i="8"/>
  <c r="L196" i="7"/>
  <c r="D464" i="8"/>
  <c r="L1040" i="8"/>
  <c r="L747" i="8"/>
  <c r="L160" i="8"/>
  <c r="D27" i="4"/>
  <c r="L318" i="8"/>
  <c r="L282" i="8"/>
  <c r="D228" i="8"/>
  <c r="J166" i="7"/>
  <c r="J632" i="8"/>
  <c r="K38" i="7"/>
  <c r="J885" i="8"/>
  <c r="L333" i="8"/>
  <c r="L22" i="7"/>
  <c r="D182" i="7"/>
  <c r="L397" i="8"/>
  <c r="L193" i="7"/>
  <c r="L8" i="4"/>
  <c r="L13" i="7"/>
  <c r="D491" i="8"/>
  <c r="J562" i="8"/>
  <c r="L655" i="8"/>
  <c r="L852" i="8"/>
  <c r="J1032" i="8"/>
  <c r="D127" i="8"/>
  <c r="J233" i="8"/>
  <c r="L121" i="7"/>
  <c r="L789" i="8"/>
  <c r="D74" i="8"/>
  <c r="L686" i="8"/>
  <c r="L728" i="8"/>
  <c r="L1060" i="8"/>
  <c r="L777" i="8"/>
  <c r="L1133" i="8"/>
  <c r="K170" i="7"/>
  <c r="K732" i="8"/>
  <c r="K337" i="8"/>
  <c r="L813" i="8"/>
  <c r="K913" i="8"/>
  <c r="D81" i="8"/>
  <c r="J408" i="8"/>
  <c r="L482" i="8"/>
  <c r="L135" i="7"/>
  <c r="K915" i="8"/>
  <c r="L425" i="8"/>
  <c r="L19" i="1"/>
  <c r="K367" i="8"/>
  <c r="K599" i="8"/>
  <c r="D205" i="8"/>
  <c r="L242" i="8"/>
  <c r="L134" i="7"/>
  <c r="K1123" i="8"/>
  <c r="L876" i="8"/>
  <c r="K725" i="8"/>
  <c r="D781" i="8"/>
  <c r="K856" i="8"/>
  <c r="L119" i="7"/>
  <c r="K895" i="8"/>
  <c r="L881" i="8"/>
  <c r="L530" i="8"/>
  <c r="L284" i="8"/>
  <c r="L252" i="8"/>
  <c r="L357" i="8"/>
  <c r="K11" i="5"/>
  <c r="K905" i="8"/>
  <c r="K1059" i="8"/>
  <c r="L156" i="7"/>
  <c r="K881" i="8"/>
  <c r="K270" i="8"/>
  <c r="K574" i="8"/>
  <c r="K844" i="8"/>
  <c r="K1037" i="8"/>
  <c r="D357" i="8"/>
  <c r="K1138" i="8"/>
  <c r="K534" i="8"/>
  <c r="L670" i="8"/>
  <c r="K1038" i="8"/>
  <c r="L898" i="8"/>
  <c r="D546" i="8"/>
  <c r="K249" i="8"/>
  <c r="J649" i="8"/>
  <c r="D222" i="8"/>
  <c r="L772" i="8"/>
  <c r="L294" i="8"/>
  <c r="K835" i="8"/>
  <c r="K193" i="8"/>
  <c r="K836" i="8"/>
  <c r="K145" i="8"/>
  <c r="J256" i="8"/>
  <c r="K891" i="8"/>
  <c r="K1092" i="8"/>
  <c r="K612" i="8"/>
  <c r="L14" i="5"/>
  <c r="K163" i="7"/>
  <c r="K153" i="7"/>
  <c r="K175" i="7"/>
  <c r="K130" i="7"/>
  <c r="K210" i="7"/>
  <c r="K82" i="7"/>
  <c r="K101" i="7"/>
  <c r="K159" i="7"/>
  <c r="K140" i="7"/>
  <c r="K86" i="7"/>
  <c r="K46" i="7"/>
  <c r="L16" i="1"/>
  <c r="K37" i="4"/>
  <c r="K16" i="4"/>
  <c r="L42" i="4"/>
  <c r="L36" i="4"/>
  <c r="K96" i="8"/>
  <c r="K605" i="8"/>
  <c r="K1007" i="8"/>
  <c r="K452" i="8"/>
  <c r="K932" i="8"/>
  <c r="K95" i="8"/>
  <c r="K530" i="8"/>
  <c r="K645" i="8"/>
  <c r="K78" i="8"/>
  <c r="K50" i="8"/>
  <c r="K927" i="8"/>
  <c r="K1094" i="8"/>
  <c r="K386" i="8"/>
  <c r="K238" i="8"/>
  <c r="K108" i="8"/>
  <c r="K657" i="8"/>
  <c r="K1051" i="8"/>
  <c r="K241" i="8"/>
  <c r="K329" i="8"/>
  <c r="K483" i="8"/>
  <c r="K820" i="8"/>
  <c r="K13" i="8"/>
  <c r="K244" i="8"/>
  <c r="K1049" i="8"/>
  <c r="K372" i="8"/>
  <c r="K806" i="8"/>
  <c r="K685" i="8"/>
  <c r="K216" i="8"/>
  <c r="K449" i="8"/>
  <c r="K411" i="8"/>
  <c r="K260" i="8"/>
  <c r="K317" i="8"/>
  <c r="K489" i="8"/>
  <c r="K88" i="8"/>
  <c r="K766" i="8"/>
  <c r="K150" i="8"/>
  <c r="K32" i="8"/>
  <c r="K1089" i="8"/>
  <c r="K330" i="8"/>
  <c r="K986" i="8"/>
  <c r="K959" i="8"/>
  <c r="K447" i="8"/>
  <c r="K203" i="8"/>
  <c r="K744" i="8"/>
  <c r="K258" i="8"/>
  <c r="K1021" i="8"/>
  <c r="K831" i="8"/>
  <c r="K917" i="8"/>
  <c r="K374" i="8"/>
  <c r="K163" i="8"/>
  <c r="K22" i="8"/>
  <c r="K791" i="8"/>
  <c r="K285" i="8"/>
  <c r="K159" i="8"/>
  <c r="D399" i="8"/>
  <c r="D489" i="8"/>
  <c r="J724" i="8"/>
  <c r="D902" i="8"/>
  <c r="J349" i="8"/>
  <c r="J57" i="7"/>
  <c r="D859" i="8"/>
  <c r="J31" i="8"/>
  <c r="J964" i="8"/>
  <c r="J74" i="7"/>
  <c r="J336" i="8"/>
  <c r="J520" i="8"/>
  <c r="J382" i="8"/>
  <c r="J52" i="7"/>
  <c r="D877" i="8"/>
  <c r="J851" i="8"/>
  <c r="D13" i="8"/>
  <c r="J100" i="7"/>
  <c r="J979" i="8"/>
  <c r="D88" i="7"/>
  <c r="J344" i="8"/>
  <c r="D835" i="8"/>
  <c r="D39" i="8"/>
  <c r="D116" i="7"/>
  <c r="L435" i="8"/>
  <c r="J829" i="8"/>
  <c r="L750" i="8"/>
  <c r="L451" i="8"/>
  <c r="D240" i="8"/>
  <c r="J38" i="8"/>
  <c r="D728" i="8"/>
  <c r="D30" i="7"/>
  <c r="L690" i="8"/>
  <c r="D620" i="8"/>
  <c r="L168" i="8"/>
  <c r="J975" i="8"/>
  <c r="L580" i="8"/>
  <c r="L181" i="8"/>
  <c r="L323" i="8"/>
  <c r="D719" i="8"/>
  <c r="D25" i="4"/>
  <c r="L193" i="8"/>
  <c r="J527" i="8"/>
  <c r="D854" i="8"/>
  <c r="D62" i="8"/>
  <c r="L165" i="8"/>
  <c r="D695" i="8"/>
  <c r="D102" i="7"/>
  <c r="D132" i="8"/>
  <c r="L407" i="8"/>
  <c r="L380" i="8"/>
  <c r="L880" i="8"/>
  <c r="L117" i="7"/>
  <c r="L260" i="8"/>
  <c r="L261" i="8"/>
  <c r="L169" i="7"/>
  <c r="L186" i="7"/>
  <c r="J73" i="8"/>
  <c r="D30" i="4"/>
  <c r="L139" i="7"/>
  <c r="L1027" i="8"/>
  <c r="J87" i="7"/>
  <c r="L645" i="8"/>
  <c r="D181" i="7"/>
  <c r="K200" i="7"/>
  <c r="L288" i="8"/>
  <c r="L248" i="8"/>
  <c r="L17" i="6"/>
  <c r="J16" i="1"/>
  <c r="L103" i="7"/>
  <c r="L127" i="7"/>
  <c r="L122" i="7"/>
  <c r="L906" i="8"/>
  <c r="D508" i="8"/>
  <c r="L71" i="8"/>
  <c r="L461" i="8"/>
  <c r="L432" i="8"/>
  <c r="L108" i="8"/>
  <c r="K8" i="4"/>
  <c r="L204" i="7"/>
  <c r="D750" i="8"/>
  <c r="L835" i="8"/>
  <c r="D66" i="7"/>
  <c r="L1014" i="8"/>
  <c r="K67" i="7"/>
  <c r="L48" i="8"/>
  <c r="L915" i="8"/>
  <c r="K44" i="7"/>
  <c r="L177" i="8"/>
  <c r="L833" i="8"/>
  <c r="J701" i="8"/>
  <c r="L108" i="7"/>
  <c r="D108" i="7"/>
  <c r="L124" i="7"/>
  <c r="L479" i="8"/>
  <c r="L762" i="8"/>
  <c r="L234" i="8"/>
  <c r="L308" i="8"/>
  <c r="L158" i="8"/>
  <c r="L634" i="8"/>
  <c r="L963" i="8"/>
  <c r="D495" i="8"/>
  <c r="L1035" i="8"/>
  <c r="L739" i="8"/>
  <c r="K104" i="7"/>
  <c r="L591" i="8"/>
  <c r="L794" i="8"/>
  <c r="J191" i="7"/>
  <c r="D958" i="8"/>
  <c r="L1043" i="8"/>
  <c r="L884" i="8"/>
  <c r="L864" i="8"/>
  <c r="J410" i="8"/>
  <c r="D547" i="8"/>
  <c r="D205" i="7"/>
  <c r="J14" i="8"/>
  <c r="D351" i="8"/>
  <c r="K169" i="7"/>
  <c r="L705" i="8"/>
  <c r="L493" i="8"/>
  <c r="L770" i="8"/>
  <c r="L741" i="8"/>
  <c r="J83" i="8"/>
  <c r="L1059" i="8"/>
  <c r="L587" i="8"/>
  <c r="K8" i="8"/>
  <c r="K351" i="8"/>
  <c r="K202" i="8"/>
  <c r="K713" i="8"/>
  <c r="K686" i="8"/>
  <c r="K156" i="7"/>
  <c r="L33" i="8"/>
  <c r="L187" i="7"/>
  <c r="L23" i="4"/>
  <c r="D65" i="7"/>
  <c r="K1009" i="8"/>
  <c r="L562" i="8"/>
  <c r="J67" i="8"/>
  <c r="L632" i="8"/>
  <c r="L17" i="7"/>
  <c r="K578" i="8"/>
  <c r="K107" i="8"/>
  <c r="K810" i="8"/>
  <c r="K217" i="8"/>
  <c r="L812" i="8"/>
  <c r="L1031" i="8"/>
  <c r="L579" i="8"/>
  <c r="L458" i="8"/>
  <c r="K682" i="8"/>
  <c r="K649" i="8"/>
  <c r="K1117" i="8"/>
  <c r="K357" i="8"/>
  <c r="L199" i="8"/>
  <c r="L151" i="7"/>
  <c r="K783" i="8"/>
  <c r="K610" i="8"/>
  <c r="L879" i="8"/>
  <c r="D296" i="8"/>
  <c r="K405" i="8"/>
  <c r="K186" i="7"/>
  <c r="K118" i="8"/>
  <c r="L431" i="8"/>
  <c r="J165" i="8"/>
  <c r="K468" i="8"/>
  <c r="K16" i="7"/>
  <c r="K815" i="8"/>
  <c r="L221" i="8"/>
  <c r="K179" i="7"/>
  <c r="K36" i="7"/>
  <c r="L578" i="8"/>
  <c r="L118" i="7"/>
  <c r="K1110" i="8"/>
  <c r="L131" i="7"/>
  <c r="L628" i="8"/>
  <c r="K864" i="8"/>
  <c r="K50" i="7"/>
  <c r="J81" i="7"/>
  <c r="L162" i="8"/>
  <c r="K633" i="8"/>
  <c r="D844" i="8"/>
  <c r="D1034" i="8"/>
  <c r="K707" i="8"/>
  <c r="K196" i="8"/>
  <c r="L1083" i="8"/>
  <c r="L129" i="7"/>
  <c r="K195" i="7"/>
  <c r="K138" i="7"/>
  <c r="K133" i="7"/>
  <c r="K191" i="7"/>
  <c r="K212" i="7"/>
  <c r="K60" i="7"/>
  <c r="K209" i="7"/>
  <c r="K71" i="7"/>
  <c r="K106" i="7"/>
  <c r="K95" i="7"/>
  <c r="L17" i="1"/>
  <c r="K33" i="4"/>
  <c r="K21" i="4"/>
  <c r="L14" i="4"/>
  <c r="L38" i="4"/>
  <c r="L35" i="4"/>
  <c r="K1131" i="8"/>
  <c r="K622" i="8"/>
  <c r="K128" i="8"/>
  <c r="K564" i="8"/>
  <c r="K1003" i="8"/>
  <c r="K846" i="8"/>
  <c r="K312" i="8"/>
  <c r="K808" i="8"/>
  <c r="K949" i="8"/>
  <c r="K870" i="8"/>
  <c r="K99" i="8"/>
  <c r="K1064" i="8"/>
  <c r="K1002" i="8"/>
  <c r="K512" i="8"/>
  <c r="K486" i="8"/>
  <c r="K157" i="8"/>
  <c r="K577" i="8"/>
  <c r="K1128" i="8"/>
  <c r="K283" i="8"/>
  <c r="K437" i="8"/>
  <c r="K277" i="8"/>
  <c r="K972" i="8"/>
  <c r="K272" i="8"/>
  <c r="K888" i="8"/>
  <c r="K343" i="8"/>
  <c r="K874" i="8"/>
  <c r="K44" i="8"/>
  <c r="K1006" i="8"/>
  <c r="K504" i="8"/>
  <c r="K79" i="8"/>
  <c r="K27" i="8"/>
  <c r="K306" i="8"/>
  <c r="K129" i="8"/>
  <c r="K518" i="8"/>
  <c r="K319" i="8"/>
  <c r="K546" i="8"/>
  <c r="K85" i="8"/>
  <c r="K523" i="8"/>
  <c r="K1133" i="8"/>
  <c r="K787" i="8"/>
  <c r="K430" i="8"/>
  <c r="K305" i="8"/>
  <c r="K476" i="8"/>
  <c r="K259" i="8"/>
  <c r="K1054" i="8"/>
  <c r="K747" i="8"/>
  <c r="K385" i="8"/>
  <c r="K547" i="8"/>
  <c r="K482" i="8"/>
  <c r="K689" i="8"/>
  <c r="K460" i="8"/>
  <c r="K1046" i="8"/>
  <c r="K17" i="8"/>
  <c r="K1048" i="8"/>
  <c r="K738" i="8"/>
  <c r="K453" i="8"/>
  <c r="K545" i="8"/>
  <c r="K137" i="8"/>
  <c r="K1058" i="8"/>
  <c r="K868" i="8"/>
  <c r="K924" i="8"/>
  <c r="K706" i="8"/>
  <c r="K1034" i="8"/>
  <c r="K57" i="8"/>
  <c r="K282" i="8"/>
  <c r="K463" i="8"/>
  <c r="K818" i="8"/>
  <c r="K624" i="8"/>
  <c r="K409" i="8"/>
  <c r="K82" i="8"/>
  <c r="K679" i="8"/>
  <c r="K173" i="8"/>
  <c r="K1125" i="8"/>
  <c r="K26" i="8"/>
  <c r="K313" i="8"/>
  <c r="K142" i="8"/>
  <c r="K470" i="8"/>
  <c r="K813" i="8"/>
  <c r="K279" i="8"/>
  <c r="K644" i="8"/>
  <c r="K1106" i="8"/>
  <c r="K980" i="8"/>
  <c r="K824" i="8"/>
  <c r="K854" i="8"/>
  <c r="K1071" i="8"/>
  <c r="K227" i="8"/>
  <c r="K14" i="8"/>
  <c r="K188" i="8"/>
  <c r="K1119" i="8"/>
  <c r="K213" i="8"/>
  <c r="K617" i="8"/>
  <c r="K75" i="8"/>
  <c r="K630" i="8"/>
  <c r="K1008" i="8"/>
  <c r="K869" i="8"/>
  <c r="K15" i="1"/>
  <c r="K23" i="1"/>
  <c r="D641" i="8"/>
  <c r="J659" i="8"/>
  <c r="J857" i="8"/>
  <c r="D807" i="8"/>
  <c r="D103" i="8"/>
  <c r="J577" i="8"/>
  <c r="J907" i="8"/>
  <c r="J161" i="8"/>
  <c r="D703" i="8"/>
  <c r="L485" i="8"/>
  <c r="D1025" i="8"/>
  <c r="D419" i="8"/>
  <c r="J394" i="8"/>
  <c r="D350" i="8"/>
  <c r="L886" i="8"/>
  <c r="L1130" i="8"/>
  <c r="D67" i="7"/>
  <c r="L764" i="8"/>
  <c r="D202" i="8"/>
  <c r="L305" i="8"/>
  <c r="L625" i="8"/>
  <c r="L994" i="8"/>
  <c r="D552" i="8"/>
  <c r="L437" i="8"/>
  <c r="J96" i="7"/>
  <c r="L1058" i="8"/>
  <c r="J180" i="7"/>
  <c r="J580" i="8"/>
  <c r="D590" i="8"/>
  <c r="L324" i="8"/>
  <c r="D864" i="8"/>
  <c r="J273" i="8"/>
  <c r="D66" i="8"/>
  <c r="D212" i="7"/>
  <c r="J251" i="8"/>
  <c r="L319" i="8"/>
  <c r="L227" i="8"/>
  <c r="L1094" i="8"/>
  <c r="L1023" i="8"/>
  <c r="D942" i="8"/>
  <c r="D171" i="8"/>
  <c r="L792" i="8"/>
  <c r="D51" i="7"/>
  <c r="K45" i="7"/>
  <c r="L210" i="7"/>
  <c r="L815" i="8"/>
  <c r="D400" i="8"/>
  <c r="L49" i="7"/>
  <c r="D147" i="8"/>
  <c r="J1121" i="8"/>
  <c r="K97" i="7"/>
  <c r="L90" i="7"/>
  <c r="L981" i="8"/>
  <c r="L67" i="7"/>
  <c r="D1106" i="8"/>
  <c r="L28" i="7"/>
  <c r="L11" i="6"/>
  <c r="L1108" i="8"/>
  <c r="L268" i="8"/>
  <c r="L454" i="8"/>
  <c r="L1077" i="8"/>
  <c r="L298" i="8"/>
  <c r="J590" i="8"/>
  <c r="L925" i="8"/>
  <c r="L12" i="8"/>
  <c r="K198" i="7"/>
  <c r="L36" i="7"/>
  <c r="L219" i="8"/>
  <c r="L450" i="8"/>
  <c r="D558" i="8"/>
  <c r="L946" i="8"/>
  <c r="L20" i="8"/>
  <c r="J602" i="8"/>
  <c r="L1136" i="8"/>
  <c r="J59" i="8"/>
  <c r="L665" i="8"/>
  <c r="J802" i="8"/>
  <c r="L303" i="8"/>
  <c r="L663" i="8"/>
  <c r="K251" i="8"/>
  <c r="K232" i="8"/>
  <c r="K225" i="8"/>
  <c r="K994" i="8"/>
  <c r="D599" i="8"/>
  <c r="L40" i="4"/>
  <c r="K426" i="8"/>
  <c r="L154" i="8"/>
  <c r="K354" i="8"/>
  <c r="L500" i="8"/>
  <c r="K231" i="8"/>
  <c r="K1029" i="8"/>
  <c r="K832" i="8"/>
  <c r="K1126" i="8"/>
  <c r="K58" i="8"/>
  <c r="L133" i="7"/>
  <c r="L153" i="7"/>
  <c r="D988" i="8"/>
  <c r="K579" i="8"/>
  <c r="L14" i="6"/>
  <c r="L50" i="8"/>
  <c r="K416" i="8"/>
  <c r="L953" i="8"/>
  <c r="K398" i="8"/>
  <c r="K745" i="8"/>
  <c r="K1118" i="8"/>
  <c r="L114" i="8"/>
  <c r="K487" i="8"/>
  <c r="D164" i="7"/>
  <c r="K1018" i="8"/>
  <c r="L379" i="8"/>
  <c r="K484" i="8"/>
  <c r="L194" i="7"/>
  <c r="K663" i="8"/>
  <c r="L190" i="8"/>
  <c r="L403" i="8"/>
  <c r="L149" i="7"/>
  <c r="K121" i="7"/>
  <c r="K171" i="7"/>
  <c r="K11" i="7"/>
  <c r="K183" i="7"/>
  <c r="K160" i="7"/>
  <c r="K96" i="7"/>
  <c r="L21" i="1"/>
  <c r="K22" i="4"/>
  <c r="L34" i="4"/>
  <c r="L39" i="4"/>
  <c r="K804" i="8"/>
  <c r="K410" i="8"/>
  <c r="K264" i="8"/>
  <c r="K388" i="8"/>
  <c r="K293" i="8"/>
  <c r="K287" i="8"/>
  <c r="K245" i="8"/>
  <c r="K811" i="8"/>
  <c r="K521" i="8"/>
  <c r="K350" i="8"/>
  <c r="K420" i="8"/>
  <c r="K566" i="8"/>
  <c r="K823" i="8"/>
  <c r="K80" i="8"/>
  <c r="K226" i="8"/>
  <c r="K607" i="8"/>
  <c r="K681" i="8"/>
  <c r="K87" i="8"/>
  <c r="K1030" i="8"/>
  <c r="K965" i="8"/>
  <c r="K149" i="8"/>
  <c r="K267" i="8"/>
  <c r="K432" i="8"/>
  <c r="K746" i="8"/>
  <c r="K694" i="8"/>
  <c r="K588" i="8"/>
  <c r="K37" i="8"/>
  <c r="K326" i="8"/>
  <c r="K233" i="8"/>
  <c r="K1044" i="8"/>
  <c r="K540" i="8"/>
  <c r="K344" i="8"/>
  <c r="K170" i="8"/>
  <c r="K954" i="8"/>
  <c r="K1086" i="8"/>
  <c r="K1061" i="8"/>
  <c r="K21" i="8"/>
  <c r="K920" i="8"/>
  <c r="K48" i="8"/>
  <c r="K541" i="8"/>
  <c r="K89" i="8"/>
  <c r="K457" i="8"/>
  <c r="K669" i="8"/>
  <c r="K77" i="8"/>
  <c r="K1090" i="8"/>
  <c r="K503" i="8"/>
  <c r="K861" i="8"/>
  <c r="K421" i="8"/>
  <c r="K36" i="8"/>
  <c r="K1041" i="8"/>
  <c r="K117" i="8"/>
  <c r="K394" i="8"/>
  <c r="K936" i="8"/>
  <c r="K52" i="8"/>
  <c r="K728" i="8"/>
  <c r="K1100" i="8"/>
  <c r="K717" i="8"/>
  <c r="K796" i="8"/>
  <c r="K450" i="8"/>
  <c r="K144" i="8"/>
  <c r="K109" i="8"/>
  <c r="K274" i="8"/>
  <c r="K871" i="8"/>
  <c r="K625" i="8"/>
  <c r="K198" i="8"/>
  <c r="K701" i="8"/>
  <c r="K807" i="8"/>
  <c r="K914" i="8"/>
  <c r="K328" i="8"/>
  <c r="K886" i="8"/>
  <c r="K555" i="8"/>
  <c r="K754" i="8"/>
  <c r="K501" i="8"/>
  <c r="K11" i="1"/>
  <c r="K848" i="8"/>
  <c r="K634" i="8"/>
  <c r="K496" i="8"/>
  <c r="K1134" i="8"/>
  <c r="K20" i="1"/>
  <c r="L18" i="1"/>
  <c r="K102" i="8"/>
  <c r="K362" i="8"/>
  <c r="K942" i="8"/>
  <c r="K756" i="8"/>
  <c r="K631" i="8"/>
  <c r="K723" i="8"/>
  <c r="K628" i="8"/>
  <c r="K859" i="8"/>
  <c r="K45" i="8"/>
  <c r="K1114" i="8"/>
  <c r="K812" i="8"/>
  <c r="K830" i="8"/>
  <c r="K558" i="8"/>
  <c r="K19" i="8"/>
  <c r="K655" i="8"/>
  <c r="K653" i="8"/>
  <c r="K17" i="1"/>
  <c r="J93" i="7"/>
  <c r="L825" i="8"/>
  <c r="D825" i="8"/>
  <c r="D199" i="7"/>
  <c r="L932" i="8"/>
  <c r="L11" i="7"/>
  <c r="L982" i="8"/>
  <c r="L588" i="8"/>
  <c r="D422" i="8"/>
  <c r="K37" i="6"/>
  <c r="D431" i="8"/>
  <c r="D983" i="8"/>
  <c r="L326" i="8"/>
  <c r="L863" i="8"/>
  <c r="D16" i="4"/>
  <c r="L944" i="8"/>
  <c r="K18" i="6"/>
  <c r="L13" i="1"/>
  <c r="K478" i="8"/>
  <c r="K349" i="8"/>
  <c r="L254" i="8"/>
  <c r="K392" i="8"/>
  <c r="K704" i="8"/>
  <c r="K866" i="8"/>
  <c r="D675" i="8"/>
  <c r="K817" i="8"/>
  <c r="L24" i="7"/>
  <c r="L354" i="8"/>
  <c r="L185" i="7"/>
  <c r="K214" i="7"/>
  <c r="K69" i="7"/>
  <c r="L33" i="4"/>
  <c r="K1014" i="8"/>
  <c r="K130" i="8"/>
  <c r="K189" i="8"/>
  <c r="K408" i="8"/>
  <c r="K97" i="8"/>
  <c r="K475" i="8"/>
  <c r="K1068" i="8"/>
  <c r="K268" i="8"/>
  <c r="K156" i="8"/>
  <c r="K327" i="8"/>
  <c r="K160" i="8"/>
  <c r="K281" i="8"/>
  <c r="K46" i="8"/>
  <c r="K929" i="8"/>
  <c r="K618" i="8"/>
  <c r="K243" i="8"/>
  <c r="K280" i="8"/>
  <c r="K582" i="8"/>
  <c r="K851" i="8"/>
  <c r="K998" i="8"/>
  <c r="K750" i="8"/>
  <c r="K15" i="8"/>
  <c r="K300" i="8"/>
  <c r="K641" i="8"/>
  <c r="J896" i="8"/>
  <c r="J280" i="8"/>
  <c r="D830" i="8"/>
  <c r="L286" i="8"/>
  <c r="J18" i="1"/>
  <c r="D438" i="8"/>
  <c r="J89" i="8"/>
  <c r="J139" i="7"/>
  <c r="D740" i="8"/>
  <c r="D956" i="8"/>
  <c r="K8" i="7"/>
  <c r="L416" i="8"/>
  <c r="J278" i="8"/>
  <c r="J211" i="8"/>
  <c r="J917" i="8"/>
  <c r="J932" i="8"/>
  <c r="L575" i="8"/>
  <c r="L868" i="8"/>
  <c r="L317" i="8"/>
  <c r="D299" i="8"/>
  <c r="D78" i="7"/>
  <c r="K122" i="7"/>
  <c r="L658" i="8"/>
  <c r="L1102" i="8"/>
  <c r="L554" i="8"/>
  <c r="K940" i="8"/>
  <c r="L818" i="8"/>
  <c r="K665" i="8"/>
  <c r="K1102" i="8"/>
  <c r="D125" i="7"/>
  <c r="K1028" i="8"/>
  <c r="K105" i="8"/>
  <c r="L334" i="8"/>
  <c r="L478" i="8"/>
  <c r="L45" i="8"/>
  <c r="L1117" i="8"/>
  <c r="K529" i="8"/>
  <c r="L1124" i="8"/>
  <c r="K98" i="7"/>
  <c r="K75" i="7"/>
  <c r="K29" i="4"/>
  <c r="K611" i="8"/>
  <c r="K650" i="8"/>
  <c r="K176" i="8"/>
  <c r="K219" i="8"/>
  <c r="K380" i="8"/>
  <c r="K700" i="8"/>
  <c r="K629" i="8"/>
  <c r="K716" i="8"/>
  <c r="K526" i="8"/>
  <c r="K992" i="8"/>
  <c r="K593" i="8"/>
  <c r="K569" i="8"/>
  <c r="K635" i="8"/>
  <c r="K996" i="8"/>
  <c r="K962" i="8"/>
  <c r="D39" i="6"/>
  <c r="D841" i="8"/>
  <c r="D379" i="8"/>
  <c r="J1135" i="8"/>
  <c r="J989" i="8"/>
  <c r="J873" i="8"/>
  <c r="D168" i="8"/>
  <c r="J903" i="8"/>
  <c r="J510" i="8"/>
  <c r="J558" i="8"/>
  <c r="J366" i="8"/>
  <c r="D54" i="8"/>
  <c r="L610" i="8"/>
  <c r="J100" i="8"/>
  <c r="D968" i="8"/>
  <c r="J811" i="8"/>
  <c r="L41" i="8"/>
  <c r="J419" i="8"/>
  <c r="J324" i="8"/>
  <c r="D302" i="8"/>
  <c r="J1052" i="8"/>
  <c r="L157" i="8"/>
  <c r="K30" i="6"/>
  <c r="J755" i="8"/>
  <c r="J171" i="8"/>
  <c r="L102" i="8"/>
  <c r="D19" i="4"/>
  <c r="D44" i="8"/>
  <c r="L418" i="8"/>
  <c r="J31" i="7"/>
  <c r="J596" i="8"/>
  <c r="J838" i="8"/>
  <c r="L21" i="6"/>
  <c r="K64" i="7"/>
  <c r="L1029" i="8"/>
  <c r="L1056" i="8"/>
  <c r="J1042" i="8"/>
  <c r="J350" i="8"/>
  <c r="L577" i="8"/>
  <c r="D43" i="8"/>
  <c r="L551" i="8"/>
  <c r="D42" i="7"/>
  <c r="D786" i="8"/>
  <c r="D68" i="7"/>
  <c r="J392" i="8"/>
  <c r="L307" i="8"/>
  <c r="L585" i="8"/>
  <c r="L35" i="7"/>
  <c r="K197" i="7"/>
  <c r="L296" i="8"/>
  <c r="L1068" i="8"/>
  <c r="L300" i="8"/>
  <c r="L262" i="8"/>
  <c r="L768" i="8"/>
  <c r="L110" i="8"/>
  <c r="L1008" i="8"/>
  <c r="L190" i="7"/>
  <c r="L155" i="7"/>
  <c r="L340" i="8"/>
  <c r="K36" i="6"/>
  <c r="D31" i="6"/>
  <c r="K53" i="7"/>
  <c r="L93" i="8"/>
  <c r="L297" i="8"/>
  <c r="K34" i="7"/>
  <c r="L465" i="8"/>
  <c r="L35" i="6"/>
  <c r="L893" i="8"/>
  <c r="K203" i="7"/>
  <c r="L212" i="7"/>
  <c r="D885" i="8"/>
  <c r="L596" i="8"/>
  <c r="L256" i="8"/>
  <c r="L829" i="8"/>
  <c r="K39" i="7"/>
  <c r="L704" i="8"/>
  <c r="L995" i="8"/>
  <c r="L671" i="8"/>
  <c r="L753" i="8"/>
  <c r="L468" i="8"/>
  <c r="J196" i="7"/>
  <c r="L837" i="8"/>
  <c r="K402" i="8"/>
  <c r="K656" i="8"/>
  <c r="L47" i="7"/>
  <c r="D17" i="6"/>
  <c r="K910" i="8"/>
  <c r="L170" i="8"/>
  <c r="L903" i="8"/>
  <c r="L88" i="7"/>
  <c r="L236" i="8"/>
  <c r="D787" i="8"/>
  <c r="K235" i="8"/>
  <c r="K494" i="8"/>
  <c r="D50" i="7"/>
  <c r="J34" i="7"/>
  <c r="J111" i="7"/>
  <c r="K561" i="8"/>
  <c r="K847" i="8"/>
  <c r="J1088" i="8"/>
  <c r="L421" i="8"/>
  <c r="K276" i="8"/>
  <c r="K141" i="8"/>
  <c r="J16" i="4"/>
  <c r="L533" i="8"/>
  <c r="L56" i="7"/>
  <c r="K677" i="8"/>
  <c r="K509" i="8"/>
  <c r="K375" i="8"/>
  <c r="L405" i="8"/>
  <c r="K855" i="8"/>
  <c r="K455" i="8"/>
  <c r="D34" i="7"/>
  <c r="D171" i="7"/>
  <c r="K239" i="8"/>
  <c r="L42" i="7"/>
  <c r="K205" i="7"/>
  <c r="K172" i="7"/>
  <c r="K21" i="7"/>
  <c r="K115" i="7"/>
  <c r="K202" i="7"/>
  <c r="K180" i="7"/>
  <c r="L20" i="1"/>
  <c r="K31" i="4"/>
  <c r="L12" i="4"/>
  <c r="L19" i="4"/>
  <c r="K581" i="8"/>
  <c r="K827" i="8"/>
  <c r="K62" i="8"/>
  <c r="K960" i="8"/>
  <c r="K762" i="8"/>
  <c r="K49" i="8"/>
  <c r="K338" i="8"/>
  <c r="K1024" i="8"/>
  <c r="K852" i="8"/>
  <c r="K1056" i="8"/>
  <c r="K485" i="8"/>
  <c r="K892" i="8"/>
  <c r="K741" i="8"/>
  <c r="K600" i="8"/>
  <c r="K522" i="8"/>
  <c r="K845" i="8"/>
  <c r="K1050" i="8"/>
  <c r="K513" i="8"/>
  <c r="K136" i="8"/>
  <c r="K988" i="8"/>
  <c r="K1099" i="8"/>
  <c r="K169" i="8"/>
  <c r="K819" i="8"/>
  <c r="K1032" i="8"/>
  <c r="K153" i="8"/>
  <c r="K1108" i="8"/>
  <c r="K549" i="8"/>
  <c r="K348" i="8"/>
  <c r="K958" i="8"/>
  <c r="K1112" i="8"/>
  <c r="K803" i="8"/>
  <c r="K632" i="8"/>
  <c r="K360" i="8"/>
  <c r="K784" i="8"/>
  <c r="K111" i="8"/>
  <c r="K909" i="8"/>
  <c r="K1074" i="8"/>
  <c r="K472" i="8"/>
  <c r="K931" i="8"/>
  <c r="K473" i="8"/>
  <c r="K18" i="8"/>
  <c r="K767" i="8"/>
  <c r="K106" i="8"/>
  <c r="K517" i="8"/>
  <c r="K565" i="8"/>
  <c r="K165" i="8"/>
  <c r="K1040" i="8"/>
  <c r="K789" i="8"/>
  <c r="K884" i="8"/>
  <c r="K373" i="8"/>
  <c r="K805" i="8"/>
  <c r="K793" i="8"/>
  <c r="K143" i="8"/>
  <c r="K393" i="8"/>
  <c r="K81" i="8"/>
  <c r="K353" i="8"/>
  <c r="K583" i="8"/>
  <c r="K939" i="8"/>
  <c r="K515" i="8"/>
  <c r="K433" i="8"/>
  <c r="K626" i="8"/>
  <c r="K550" i="8"/>
  <c r="K885" i="8"/>
  <c r="K1031" i="8"/>
  <c r="K443" i="8"/>
  <c r="K710" i="8"/>
  <c r="K898" i="8"/>
  <c r="K224" i="8"/>
  <c r="K325" i="8"/>
  <c r="L29" i="4"/>
  <c r="K950" i="8"/>
  <c r="K183" i="8"/>
  <c r="K341" i="8"/>
  <c r="K1053" i="8"/>
  <c r="K660" i="8"/>
  <c r="K481" i="8"/>
  <c r="K692" i="8"/>
  <c r="K263" i="8"/>
  <c r="K174" i="8"/>
  <c r="K843" i="8"/>
  <c r="K947" i="8"/>
  <c r="K989" i="8"/>
  <c r="K925" i="8"/>
  <c r="K490" i="8"/>
  <c r="K406" i="8"/>
  <c r="K465" i="8"/>
  <c r="K22" i="1"/>
  <c r="D775" i="8"/>
  <c r="L997" i="8"/>
  <c r="L204" i="8"/>
  <c r="L1022" i="8"/>
  <c r="L933" i="8"/>
  <c r="L931" i="8"/>
  <c r="L132" i="7"/>
  <c r="L43" i="7"/>
  <c r="L184" i="7"/>
  <c r="L1099" i="8"/>
  <c r="L899" i="8"/>
  <c r="K41" i="4"/>
  <c r="D428" i="8"/>
  <c r="L132" i="8"/>
  <c r="L216" i="8"/>
  <c r="K127" i="8"/>
  <c r="K1057" i="8"/>
  <c r="L46" i="7"/>
  <c r="K1010" i="8"/>
  <c r="K27" i="6"/>
  <c r="J47" i="7"/>
  <c r="K201" i="8"/>
  <c r="K821" i="8"/>
  <c r="L139" i="8"/>
  <c r="L460" i="8"/>
  <c r="K1045" i="8"/>
  <c r="K1083" i="8"/>
  <c r="K79" i="7"/>
  <c r="K43" i="7"/>
  <c r="K20" i="4"/>
  <c r="K739" i="8"/>
  <c r="K879" i="8"/>
  <c r="K1039" i="8"/>
  <c r="K34" i="8"/>
  <c r="K53" i="8"/>
  <c r="K38" i="8"/>
  <c r="K774" i="8"/>
  <c r="K777" i="8"/>
  <c r="K664" i="8"/>
  <c r="K524" i="8"/>
  <c r="K585" i="8"/>
  <c r="K1019" i="8"/>
  <c r="K83" i="8"/>
  <c r="K764" i="8"/>
  <c r="K474" i="8"/>
  <c r="K114" i="8"/>
  <c r="K1027" i="8"/>
  <c r="K616" i="8"/>
  <c r="K609" i="8"/>
  <c r="K295" i="8"/>
  <c r="K273" i="8"/>
  <c r="K1000" i="8"/>
  <c r="K863" i="8"/>
  <c r="K12" i="1"/>
  <c r="J182" i="8"/>
  <c r="J230" i="8"/>
  <c r="D36" i="6"/>
  <c r="J991" i="8"/>
  <c r="D166" i="8"/>
  <c r="L811" i="8"/>
  <c r="D355" i="8"/>
  <c r="D148" i="8"/>
  <c r="J41" i="4"/>
  <c r="L702" i="8"/>
  <c r="L467" i="8"/>
  <c r="J721" i="8"/>
  <c r="L1030" i="8"/>
  <c r="L312" i="8"/>
  <c r="L11" i="5"/>
  <c r="D138" i="7"/>
  <c r="L1112" i="8"/>
  <c r="L606" i="8"/>
  <c r="K12" i="7"/>
  <c r="L112" i="7"/>
  <c r="K47" i="7"/>
  <c r="L1087" i="8"/>
  <c r="L1065" i="8"/>
  <c r="L636" i="8"/>
  <c r="L278" i="8"/>
  <c r="L98" i="8"/>
  <c r="L962" i="8"/>
  <c r="K589" i="8"/>
  <c r="L76" i="8"/>
  <c r="J968" i="8"/>
  <c r="K661" i="8"/>
  <c r="K120" i="8"/>
  <c r="L787" i="8"/>
  <c r="K893" i="8"/>
  <c r="K101" i="8"/>
  <c r="L274" i="8"/>
  <c r="K333" i="8"/>
  <c r="J29" i="4"/>
  <c r="K177" i="7"/>
  <c r="K76" i="7"/>
  <c r="K15" i="4"/>
  <c r="K100" i="8"/>
  <c r="K345" i="8"/>
  <c r="K492" i="8"/>
  <c r="K451" i="8"/>
  <c r="K434" i="8"/>
  <c r="K166" i="8"/>
  <c r="K1016" i="8"/>
  <c r="K620" i="8"/>
  <c r="K674" i="8"/>
  <c r="K867" i="8"/>
  <c r="K532" i="8"/>
  <c r="K11" i="8"/>
  <c r="K730" i="8"/>
  <c r="K839" i="8"/>
  <c r="K93" i="8"/>
  <c r="J573" i="8"/>
  <c r="D220" i="8"/>
  <c r="J611" i="8"/>
  <c r="J711" i="8"/>
  <c r="J445" i="8"/>
  <c r="D828" i="8"/>
  <c r="D815" i="8"/>
  <c r="J78" i="8"/>
  <c r="J114" i="7"/>
  <c r="D468" i="8"/>
  <c r="J645" i="8"/>
  <c r="D651" i="8"/>
  <c r="J716" i="8"/>
  <c r="J1090" i="8"/>
  <c r="L532" i="8"/>
  <c r="D528" i="8"/>
  <c r="J40" i="4"/>
  <c r="J940" i="8"/>
  <c r="D200" i="8"/>
  <c r="L471" i="8"/>
  <c r="D15" i="7"/>
  <c r="D25" i="6"/>
  <c r="L964" i="8"/>
  <c r="L582" i="8"/>
  <c r="L957" i="8"/>
  <c r="D48" i="7"/>
  <c r="D545" i="8"/>
  <c r="D500" i="8"/>
  <c r="J99" i="8"/>
  <c r="L688" i="8"/>
  <c r="D198" i="7"/>
  <c r="L527" i="8"/>
  <c r="K165" i="7"/>
  <c r="L30" i="7"/>
  <c r="K201" i="7"/>
  <c r="J158" i="8"/>
  <c r="L1115" i="8"/>
  <c r="D195" i="7"/>
  <c r="L574" i="8"/>
  <c r="L50" i="7"/>
  <c r="L136" i="8"/>
  <c r="K48" i="7"/>
  <c r="L169" i="8"/>
  <c r="D122" i="7"/>
  <c r="D596" i="8"/>
  <c r="K31" i="7"/>
  <c r="L76" i="7"/>
  <c r="L673" i="8"/>
  <c r="L668" i="8"/>
  <c r="L203" i="7"/>
  <c r="L164" i="7"/>
  <c r="J34" i="4"/>
  <c r="L356" i="8"/>
  <c r="L546" i="8"/>
  <c r="L564" i="8"/>
  <c r="L69" i="7"/>
  <c r="L145" i="8"/>
  <c r="J22" i="1"/>
  <c r="L287" i="8"/>
  <c r="D18" i="7"/>
  <c r="L27" i="7"/>
  <c r="L377" i="8"/>
  <c r="D17" i="7"/>
  <c r="K111" i="7"/>
  <c r="L187" i="8"/>
  <c r="L373" i="8"/>
  <c r="K62" i="7"/>
  <c r="L892" i="8"/>
  <c r="D139" i="7"/>
  <c r="K142" i="7"/>
  <c r="L930" i="8"/>
  <c r="L275" i="8"/>
  <c r="L31" i="6"/>
  <c r="K112" i="7"/>
  <c r="K127" i="7"/>
  <c r="L445" i="8"/>
  <c r="L971" i="8"/>
  <c r="L874" i="8"/>
  <c r="K261" i="8"/>
  <c r="K59" i="8"/>
  <c r="L316" i="8"/>
  <c r="K128" i="7"/>
  <c r="D50" i="8"/>
  <c r="L360" i="8"/>
  <c r="K948" i="8"/>
  <c r="K104" i="8"/>
  <c r="K316" i="8"/>
  <c r="K240" i="8"/>
  <c r="K125" i="8"/>
  <c r="K602" i="8"/>
  <c r="K25" i="8"/>
  <c r="K310" i="8"/>
  <c r="K456" i="8"/>
  <c r="L53" i="8"/>
  <c r="K1091" i="8"/>
  <c r="K221" i="8"/>
  <c r="K752" i="8"/>
  <c r="K1036" i="8"/>
  <c r="L14" i="8"/>
  <c r="K987" i="8"/>
  <c r="K112" i="8"/>
  <c r="K213" i="7"/>
  <c r="K64" i="8"/>
  <c r="K853" i="8"/>
  <c r="K1052" i="8"/>
  <c r="K399" i="8"/>
  <c r="L646" i="8"/>
  <c r="L269" i="8"/>
  <c r="L392" i="8"/>
  <c r="K12" i="8"/>
  <c r="K773" i="8"/>
  <c r="K758" i="8"/>
  <c r="K603" i="8"/>
  <c r="L672" i="8"/>
  <c r="K990" i="8"/>
  <c r="L39" i="7"/>
  <c r="K124" i="7"/>
  <c r="K57" i="7"/>
  <c r="K63" i="7"/>
  <c r="K77" i="7"/>
  <c r="K148" i="7"/>
  <c r="K87" i="7"/>
  <c r="L12" i="1"/>
  <c r="K39" i="4"/>
  <c r="L25" i="4"/>
  <c r="L26" i="4"/>
  <c r="K860" i="8"/>
  <c r="K1042" i="8"/>
  <c r="K722" i="8"/>
  <c r="K659" i="8"/>
  <c r="K749" i="8"/>
  <c r="K794" i="8"/>
  <c r="K378" i="8"/>
  <c r="K186" i="8"/>
  <c r="K121" i="8"/>
  <c r="K284" i="8"/>
  <c r="K448" i="8"/>
  <c r="K842" i="8"/>
  <c r="K369" i="8"/>
  <c r="K919" i="8"/>
  <c r="K594" i="8"/>
  <c r="K67" i="8"/>
  <c r="K790" i="8"/>
  <c r="K551" i="8"/>
  <c r="K179" i="8"/>
  <c r="K204" i="8"/>
  <c r="K359" i="8"/>
  <c r="K858" i="8"/>
  <c r="K676" i="8"/>
  <c r="K1069" i="8"/>
  <c r="K431" i="8"/>
  <c r="K976" i="8"/>
  <c r="K91" i="8"/>
  <c r="K1121" i="8"/>
  <c r="K435" i="8"/>
  <c r="K562" i="8"/>
  <c r="K257" i="8"/>
  <c r="K41" i="8"/>
  <c r="K1035" i="8"/>
  <c r="K567" i="8"/>
  <c r="K86" i="8"/>
  <c r="K355" i="8"/>
  <c r="K1082" i="8"/>
  <c r="K220" i="8"/>
  <c r="K113" i="8"/>
  <c r="K29" i="8"/>
  <c r="K834" i="8"/>
  <c r="K383" i="8"/>
  <c r="K560" i="8"/>
  <c r="K956" i="8"/>
  <c r="K636" i="8"/>
  <c r="K84" i="8"/>
  <c r="K1011" i="8"/>
  <c r="K525" i="8"/>
  <c r="K332" i="8"/>
  <c r="K139" i="8"/>
  <c r="K222" i="8"/>
  <c r="K623" i="8"/>
  <c r="K30" i="8"/>
  <c r="K211" i="8"/>
  <c r="K40" i="8"/>
  <c r="K921" i="8"/>
  <c r="K646" i="8"/>
  <c r="K73" i="8"/>
  <c r="K696" i="8"/>
  <c r="K199" i="8"/>
  <c r="K1132" i="8"/>
  <c r="K1076" i="8"/>
  <c r="K779" i="8"/>
  <c r="K269" i="8"/>
  <c r="K299" i="8"/>
  <c r="K571" i="8"/>
  <c r="K246" i="8"/>
  <c r="K944" i="8"/>
  <c r="K938" i="8"/>
  <c r="K957" i="8"/>
  <c r="K294" i="8"/>
  <c r="K727" i="8"/>
  <c r="K321" i="8"/>
  <c r="K19" i="1"/>
  <c r="D78" i="8"/>
  <c r="D919" i="8"/>
  <c r="D37" i="4"/>
  <c r="J194" i="7"/>
  <c r="J389" i="8"/>
  <c r="D1054" i="8"/>
  <c r="J930" i="8"/>
  <c r="D1039" i="8"/>
  <c r="J459" i="8"/>
  <c r="J357" i="8"/>
  <c r="J44" i="8"/>
  <c r="J261" i="8"/>
  <c r="D967" i="8"/>
  <c r="D92" i="8"/>
  <c r="J174" i="8"/>
  <c r="L918" i="8"/>
  <c r="J1011" i="8"/>
  <c r="D780" i="8"/>
  <c r="D277" i="8"/>
  <c r="L1049" i="8"/>
  <c r="D130" i="7"/>
  <c r="L793" i="8"/>
  <c r="D313" i="8"/>
  <c r="L1005" i="8"/>
  <c r="D23" i="8"/>
  <c r="L647" i="8"/>
  <c r="D1129" i="8"/>
  <c r="J760" i="8"/>
  <c r="L563" i="8"/>
  <c r="D591" i="8"/>
  <c r="J619" i="8"/>
  <c r="D213" i="7"/>
  <c r="L328" i="8"/>
  <c r="J200" i="8"/>
  <c r="L170" i="7"/>
  <c r="J697" i="8"/>
  <c r="D53" i="7"/>
  <c r="D434" i="8"/>
  <c r="K134" i="7"/>
  <c r="D530" i="8"/>
  <c r="L128" i="8"/>
  <c r="L473" i="8"/>
  <c r="D176" i="7"/>
  <c r="L325" i="8"/>
  <c r="D358" i="8"/>
  <c r="L290" i="8"/>
  <c r="L19" i="8"/>
  <c r="L1090" i="8"/>
  <c r="D265" i="8"/>
  <c r="L410" i="8"/>
  <c r="L748" i="8"/>
  <c r="D940" i="8"/>
  <c r="L98" i="7"/>
  <c r="L181" i="7"/>
  <c r="L423" i="8"/>
  <c r="J195" i="7"/>
  <c r="L87" i="8"/>
  <c r="L895" i="8"/>
  <c r="D513" i="8"/>
  <c r="D95" i="7"/>
  <c r="L828" i="8"/>
  <c r="L206" i="7"/>
  <c r="L725" i="8"/>
  <c r="D493" i="8"/>
  <c r="L144" i="7"/>
  <c r="L1138" i="8"/>
  <c r="D74" i="7"/>
  <c r="L140" i="8"/>
  <c r="L120" i="8"/>
  <c r="D984" i="8"/>
  <c r="L349" i="8"/>
  <c r="L21" i="7"/>
  <c r="J277" i="8"/>
  <c r="L30" i="4"/>
  <c r="D37" i="6"/>
  <c r="L31" i="7"/>
  <c r="L838" i="8"/>
  <c r="L128" i="7"/>
  <c r="L126" i="8"/>
  <c r="K171" i="8"/>
  <c r="K24" i="7"/>
  <c r="K542" i="8"/>
  <c r="D38" i="6"/>
  <c r="L917" i="8"/>
  <c r="K61" i="8"/>
  <c r="K552" i="8"/>
  <c r="K816" i="8"/>
  <c r="K301" i="8"/>
  <c r="D417" i="8"/>
  <c r="K999" i="8"/>
  <c r="K825" i="8"/>
  <c r="K377" i="8"/>
  <c r="L75" i="7"/>
  <c r="K736" i="8"/>
  <c r="L122" i="8"/>
  <c r="K952" i="8"/>
  <c r="K516" i="8"/>
  <c r="L131" i="8"/>
  <c r="D93" i="8"/>
  <c r="D258" i="8"/>
  <c r="L29" i="7"/>
  <c r="K876" i="8"/>
  <c r="L536" i="8"/>
  <c r="K14" i="6"/>
  <c r="J843" i="8"/>
  <c r="D467" i="8"/>
  <c r="D86" i="8"/>
  <c r="K391" i="8"/>
  <c r="J604" i="8"/>
  <c r="D12" i="7"/>
  <c r="K458" i="8"/>
  <c r="L442" i="8"/>
  <c r="L348" i="8"/>
  <c r="K648" i="8"/>
  <c r="K19" i="6"/>
  <c r="L163" i="7"/>
  <c r="K65" i="7"/>
  <c r="K13" i="7"/>
  <c r="K208" i="7"/>
  <c r="K174" i="7"/>
  <c r="K129" i="7"/>
  <c r="K118" i="7"/>
  <c r="K38" i="4"/>
  <c r="K737" i="8"/>
  <c r="K511" i="8"/>
  <c r="K780" i="8"/>
  <c r="K916" i="8"/>
  <c r="K54" i="8"/>
  <c r="K568" i="8"/>
  <c r="K436" i="8"/>
  <c r="K651" i="8"/>
  <c r="K184" i="8"/>
  <c r="K195" i="8"/>
  <c r="K370" i="8"/>
  <c r="K857" i="8"/>
  <c r="K951" i="8"/>
  <c r="K652" i="8"/>
  <c r="K971" i="8"/>
  <c r="K1101" i="8"/>
  <c r="K346" i="8"/>
  <c r="K508" i="8"/>
  <c r="K65" i="8"/>
  <c r="K908" i="8"/>
  <c r="K519" i="8"/>
  <c r="K930" i="8"/>
  <c r="K147" i="8"/>
  <c r="K253" i="8"/>
  <c r="K918" i="8"/>
  <c r="K654" i="8"/>
  <c r="K946" i="8"/>
  <c r="K799" i="8"/>
  <c r="K1103" i="8"/>
  <c r="K33" i="8"/>
  <c r="K47" i="8"/>
  <c r="K935" i="8"/>
  <c r="K883" i="8"/>
  <c r="K1077" i="8"/>
  <c r="K627" i="8"/>
  <c r="K733" i="8"/>
  <c r="K1017" i="8"/>
  <c r="K466" i="8"/>
  <c r="K322" i="8"/>
  <c r="K1022" i="8"/>
  <c r="K643" i="8"/>
  <c r="J680" i="8"/>
  <c r="D461" i="8"/>
  <c r="D383" i="8"/>
  <c r="J135" i="7"/>
  <c r="J362" i="8"/>
  <c r="D518" i="8"/>
  <c r="D623" i="8"/>
  <c r="D39" i="4"/>
  <c r="J89" i="7"/>
  <c r="D688" i="8"/>
  <c r="L1072" i="8"/>
  <c r="J330" i="8"/>
  <c r="D634" i="8"/>
  <c r="J166" i="8"/>
  <c r="J50" i="7"/>
  <c r="L928" i="8"/>
  <c r="L990" i="8"/>
  <c r="L412" i="8"/>
  <c r="L1101" i="8"/>
  <c r="J207" i="8"/>
  <c r="J986" i="8"/>
  <c r="D1049" i="8"/>
  <c r="J796" i="8"/>
  <c r="L960" i="8"/>
  <c r="D162" i="7"/>
  <c r="L495" i="8"/>
  <c r="L894" i="8"/>
  <c r="D130" i="8"/>
  <c r="L961" i="8"/>
  <c r="L1053" i="8"/>
  <c r="J731" i="8"/>
  <c r="L742" i="8"/>
  <c r="L62" i="8"/>
  <c r="J82" i="7"/>
  <c r="L1098" i="8"/>
  <c r="L446" i="8"/>
  <c r="D664" i="8"/>
  <c r="L162" i="7"/>
  <c r="K13" i="4"/>
  <c r="L529" i="8"/>
  <c r="L86" i="7"/>
  <c r="D21" i="6"/>
  <c r="K125" i="7"/>
  <c r="L293" i="8"/>
  <c r="K80" i="7"/>
  <c r="L519" i="8"/>
  <c r="L18" i="4"/>
  <c r="K538" i="8"/>
  <c r="K193" i="7"/>
  <c r="L337" i="8"/>
  <c r="L869" i="8"/>
  <c r="K563" i="8"/>
  <c r="K412" i="8"/>
  <c r="K590" i="8"/>
  <c r="K671" i="8"/>
  <c r="L920" i="8"/>
  <c r="K667" i="8"/>
  <c r="L240" i="8"/>
  <c r="L110" i="7"/>
  <c r="D462" i="8"/>
  <c r="K32" i="7"/>
  <c r="K114" i="7"/>
  <c r="K14" i="4"/>
  <c r="K119" i="8"/>
  <c r="K266" i="8"/>
  <c r="K1060" i="8"/>
  <c r="K985" i="8"/>
  <c r="K214" i="8"/>
  <c r="K587" i="8"/>
  <c r="K429" i="8"/>
  <c r="K798" i="8"/>
  <c r="K1095" i="8"/>
  <c r="K16" i="8"/>
  <c r="K720" i="8"/>
  <c r="K180" i="8"/>
  <c r="K230" i="8"/>
  <c r="K68" i="8"/>
  <c r="K1098" i="8"/>
  <c r="K537" i="8"/>
  <c r="K185" i="8"/>
  <c r="K740" i="8"/>
  <c r="K658" i="8"/>
  <c r="K850" i="8"/>
  <c r="K712" i="8"/>
  <c r="K181" i="8"/>
  <c r="K197" i="8"/>
  <c r="K286" i="8"/>
  <c r="K254" i="8"/>
  <c r="K498" i="8"/>
  <c r="K13" i="1"/>
  <c r="D628" i="8"/>
  <c r="J1012" i="8"/>
  <c r="J1099" i="8"/>
  <c r="L237" i="8"/>
  <c r="D23" i="7"/>
  <c r="D143" i="7"/>
  <c r="K38" i="6"/>
  <c r="L464" i="8"/>
  <c r="J125" i="8"/>
  <c r="L773" i="8"/>
  <c r="D133" i="7"/>
  <c r="L1075" i="8"/>
  <c r="L39" i="6"/>
  <c r="L701" i="8"/>
  <c r="L40" i="8"/>
  <c r="D368" i="8"/>
  <c r="J1137" i="8"/>
  <c r="L408" i="8"/>
  <c r="L950" i="8"/>
  <c r="L12" i="6"/>
  <c r="D40" i="8"/>
  <c r="L92" i="7"/>
  <c r="L238" i="8"/>
  <c r="L782" i="8"/>
  <c r="L501" i="8"/>
  <c r="K28" i="4"/>
  <c r="L89" i="7"/>
  <c r="K1043" i="8"/>
  <c r="L955" i="8"/>
  <c r="K172" i="8"/>
  <c r="K772" i="8"/>
  <c r="K502" i="8"/>
  <c r="L940" i="8"/>
  <c r="L174" i="8"/>
  <c r="L103" i="8"/>
  <c r="K132" i="8"/>
  <c r="K212" i="8"/>
  <c r="L22" i="4"/>
  <c r="L311" i="8"/>
  <c r="K131" i="7"/>
  <c r="K157" i="7"/>
  <c r="K22" i="7"/>
  <c r="L41" i="4"/>
  <c r="K424" i="8"/>
  <c r="K1047" i="8"/>
  <c r="K123" i="8"/>
  <c r="K1136" i="8"/>
  <c r="K35" i="8"/>
  <c r="K297" i="8"/>
  <c r="K1081" i="8"/>
  <c r="K298" i="8"/>
  <c r="K678" i="8"/>
  <c r="K531" i="8"/>
  <c r="K615" i="8"/>
  <c r="K507" i="8"/>
  <c r="K1122" i="8"/>
  <c r="K491" i="8"/>
  <c r="J816" i="8"/>
  <c r="J367" i="8"/>
  <c r="J154" i="7"/>
  <c r="J1101" i="8"/>
  <c r="J33" i="8"/>
  <c r="L239" i="8"/>
  <c r="L718" i="8"/>
  <c r="J267" i="8"/>
  <c r="J293" i="8"/>
  <c r="D298" i="8"/>
  <c r="L696" i="8"/>
  <c r="L576" i="8"/>
  <c r="L735" i="8"/>
  <c r="L51" i="8"/>
  <c r="L1036" i="8"/>
  <c r="L364" i="8"/>
  <c r="D125" i="8"/>
  <c r="L1105" i="8"/>
  <c r="D1056" i="8"/>
  <c r="L402" i="8"/>
  <c r="L99" i="7"/>
  <c r="D472" i="8"/>
  <c r="K459" i="8"/>
  <c r="K438" i="8"/>
  <c r="K880" i="8"/>
  <c r="K28" i="8"/>
  <c r="K308" i="8"/>
  <c r="K673" i="8"/>
  <c r="L270" i="8"/>
  <c r="K35" i="7"/>
  <c r="K73" i="7"/>
  <c r="L27" i="4"/>
  <c r="K116" i="8"/>
  <c r="K252" i="8"/>
  <c r="K1105" i="8"/>
  <c r="K365" i="8"/>
  <c r="K168" i="8"/>
  <c r="K289" i="8"/>
  <c r="K961" i="8"/>
  <c r="K92" i="8"/>
  <c r="K296" i="8"/>
  <c r="K1135" i="8"/>
  <c r="K1065" i="8"/>
  <c r="K596" i="8"/>
  <c r="K729" i="8"/>
  <c r="K1109" i="8"/>
  <c r="K900" i="8"/>
  <c r="K115" i="8"/>
  <c r="K110" i="8"/>
  <c r="K387" i="8"/>
  <c r="K702" i="8"/>
  <c r="K838" i="8"/>
  <c r="K192" i="8"/>
  <c r="K376" i="8"/>
  <c r="J1091" i="8"/>
  <c r="J365" i="8"/>
  <c r="L611" i="8"/>
  <c r="J287" i="8"/>
  <c r="L617" i="8"/>
  <c r="J183" i="7"/>
  <c r="D242" i="8"/>
  <c r="L47" i="8"/>
  <c r="J969" i="8"/>
  <c r="L32" i="6"/>
  <c r="L494" i="8"/>
  <c r="L210" i="8"/>
  <c r="L1091" i="8"/>
  <c r="L923" i="8"/>
  <c r="L836" i="8"/>
  <c r="K12" i="4"/>
  <c r="D92" i="7"/>
  <c r="L224" i="8"/>
  <c r="L708" i="8"/>
  <c r="L1046" i="8"/>
  <c r="K43" i="8"/>
  <c r="K237" i="8"/>
  <c r="L172" i="7"/>
  <c r="D149" i="7"/>
  <c r="K718" i="8"/>
  <c r="K397" i="8"/>
  <c r="D128" i="7"/>
  <c r="L171" i="8"/>
  <c r="J77" i="7"/>
  <c r="K182" i="7"/>
  <c r="K92" i="7"/>
  <c r="L24" i="4"/>
  <c r="K356" i="8"/>
  <c r="K934" i="8"/>
  <c r="K556" i="8"/>
  <c r="K206" i="8"/>
  <c r="K680" i="8"/>
  <c r="K726" i="8"/>
  <c r="K1104" i="8"/>
  <c r="K963" i="8"/>
  <c r="K983" i="8"/>
  <c r="K148" i="8"/>
  <c r="K613" i="8"/>
  <c r="K997" i="8"/>
  <c r="K368" i="8"/>
  <c r="K899" i="8"/>
  <c r="K39" i="8"/>
  <c r="K1062" i="8"/>
  <c r="K966" i="8"/>
  <c r="K977" i="8"/>
  <c r="K1055" i="8"/>
  <c r="K872" i="8"/>
  <c r="K705" i="8"/>
  <c r="K18" i="1"/>
  <c r="K493" i="8"/>
  <c r="K187" i="7"/>
  <c r="K751" i="8"/>
  <c r="K691" i="8"/>
  <c r="K1079" i="8"/>
  <c r="K256" i="8"/>
  <c r="K1070" i="8"/>
  <c r="K837" i="8"/>
  <c r="K1067" i="8"/>
  <c r="K66" i="8"/>
  <c r="K1111" i="8"/>
  <c r="K1087" i="8"/>
  <c r="K194" i="8"/>
  <c r="K442" i="8"/>
  <c r="J110" i="8"/>
  <c r="L882" i="8"/>
  <c r="L289" i="8"/>
  <c r="L914" i="8"/>
  <c r="J157" i="7"/>
  <c r="L927" i="8"/>
  <c r="J695" i="8"/>
  <c r="L70" i="7"/>
  <c r="L457" i="8"/>
  <c r="K797" i="8"/>
  <c r="K123" i="7"/>
  <c r="K688" i="8"/>
  <c r="K441" i="8"/>
  <c r="K614" i="8"/>
  <c r="K598" i="8"/>
  <c r="K873" i="8"/>
  <c r="K248" i="8"/>
  <c r="K56" i="8"/>
  <c r="K755" i="8"/>
  <c r="K778" i="8"/>
  <c r="K290" i="8"/>
  <c r="D580" i="8"/>
  <c r="J161" i="7"/>
  <c r="D738" i="8"/>
  <c r="D1086" i="8"/>
  <c r="J212" i="7"/>
  <c r="J97" i="7"/>
  <c r="J339" i="8"/>
  <c r="L693" i="8"/>
  <c r="L700" i="8"/>
  <c r="L13" i="6"/>
  <c r="L1011" i="8"/>
  <c r="D20" i="7"/>
  <c r="L774" i="8"/>
  <c r="L1125" i="8"/>
  <c r="K93" i="7"/>
  <c r="L508" i="8"/>
  <c r="K150" i="7"/>
  <c r="D263" i="8"/>
  <c r="D42" i="4"/>
  <c r="L831" i="8"/>
  <c r="J449" i="8"/>
  <c r="L592" i="8"/>
  <c r="K1005" i="8"/>
  <c r="L26" i="7"/>
  <c r="L345" i="8"/>
  <c r="K477" i="8"/>
  <c r="L692" i="8"/>
  <c r="D12" i="1"/>
  <c r="J209" i="7"/>
  <c r="K108" i="7"/>
  <c r="K27" i="7"/>
  <c r="K94" i="8"/>
  <c r="K303" i="8"/>
  <c r="K340" i="8"/>
  <c r="K894" i="8"/>
  <c r="K304" i="8"/>
  <c r="K687" i="8"/>
  <c r="K407" i="8"/>
  <c r="K690" i="8"/>
  <c r="K897" i="8"/>
  <c r="K262" i="8"/>
  <c r="K539" i="8"/>
  <c r="K182" i="8"/>
  <c r="K968" i="8"/>
  <c r="K528" i="8"/>
  <c r="K604" i="8"/>
  <c r="K675" i="8"/>
  <c r="K533" i="8"/>
  <c r="K826" i="8"/>
  <c r="K781" i="8"/>
  <c r="K161" i="8"/>
  <c r="K875" i="8"/>
  <c r="K1033" i="8"/>
  <c r="K21" i="1"/>
  <c r="J82" i="8"/>
  <c r="D505" i="8"/>
  <c r="L8" i="5"/>
  <c r="L973" i="8"/>
  <c r="L685" i="8"/>
  <c r="D814" i="8"/>
  <c r="D259" i="8"/>
  <c r="L149" i="8"/>
  <c r="L73" i="7"/>
  <c r="L919" i="8"/>
  <c r="D693" i="8"/>
  <c r="D1009" i="8"/>
  <c r="L120" i="7"/>
  <c r="J148" i="7"/>
  <c r="L754" i="8"/>
  <c r="L767" i="8"/>
  <c r="L474" i="8"/>
  <c r="L145" i="7"/>
  <c r="K17" i="4"/>
  <c r="L420" i="8"/>
  <c r="K901" i="8"/>
  <c r="L623" i="8"/>
  <c r="K396" i="8"/>
  <c r="K425" i="8"/>
  <c r="K1129" i="8"/>
  <c r="K1020" i="8"/>
  <c r="L642" i="8"/>
  <c r="K24" i="8"/>
  <c r="L148" i="7"/>
  <c r="K30" i="7"/>
  <c r="L23" i="1"/>
  <c r="K933" i="8"/>
  <c r="K683" i="8"/>
  <c r="K548" i="8"/>
  <c r="K672" i="8"/>
  <c r="K761" i="8"/>
  <c r="K236" i="8"/>
  <c r="K133" i="8"/>
  <c r="K234" i="8"/>
  <c r="K760" i="8"/>
  <c r="K606" i="8"/>
  <c r="K795" i="8"/>
  <c r="K371" i="8"/>
  <c r="K440" i="8"/>
  <c r="K307" i="8"/>
  <c r="K721" i="8"/>
  <c r="K229" i="8"/>
  <c r="K941" i="8"/>
  <c r="K207" i="8"/>
  <c r="K175" i="8"/>
  <c r="K155" i="8"/>
  <c r="K151" i="8"/>
  <c r="K786" i="8"/>
  <c r="K14" i="1"/>
  <c r="J555" i="8"/>
  <c r="J744" i="8"/>
  <c r="J197" i="8"/>
  <c r="J473" i="8"/>
  <c r="D853" i="8"/>
  <c r="D54" i="7"/>
  <c r="D639" i="8"/>
  <c r="L62" i="7"/>
  <c r="D218" i="8"/>
  <c r="K99" i="7"/>
  <c r="L844" i="8"/>
  <c r="L436" i="8"/>
  <c r="J265" i="8"/>
  <c r="L306" i="8"/>
  <c r="K16" i="6"/>
  <c r="L59" i="7"/>
  <c r="L93" i="7"/>
  <c r="J1096" i="8"/>
  <c r="D204" i="7"/>
  <c r="L389" i="8"/>
  <c r="K1120" i="8"/>
  <c r="L372" i="8"/>
  <c r="K131" i="8"/>
  <c r="K955" i="8"/>
  <c r="K417" i="8"/>
  <c r="L989" i="8"/>
  <c r="L130" i="7"/>
  <c r="K928" i="8"/>
  <c r="K922" i="8"/>
  <c r="K37" i="7"/>
  <c r="K42" i="4"/>
  <c r="K271" i="8"/>
  <c r="K488" i="8"/>
  <c r="K255" i="8"/>
  <c r="K1096" i="8"/>
  <c r="K698" i="8"/>
  <c r="K709" i="8"/>
  <c r="K315" i="8"/>
  <c r="K23" i="8"/>
  <c r="K389" i="8"/>
  <c r="K814" i="8"/>
  <c r="K543" i="8"/>
  <c r="K742" i="8"/>
  <c r="K896" i="8"/>
  <c r="K347" i="8"/>
  <c r="K63" i="8"/>
  <c r="K90" i="8"/>
  <c r="K731" i="8"/>
  <c r="K228" i="8"/>
  <c r="K969" i="8"/>
  <c r="K358" i="8"/>
  <c r="K242" i="8"/>
  <c r="K499" i="8"/>
  <c r="K16" i="1"/>
  <c r="J587" i="8"/>
  <c r="K29" i="6"/>
  <c r="D635" i="8"/>
  <c r="D134" i="8"/>
  <c r="J506" i="8"/>
  <c r="L697" i="8"/>
  <c r="D280" i="8"/>
  <c r="D1070" i="8"/>
  <c r="K116" i="7"/>
  <c r="L996" i="8"/>
  <c r="D93" i="7"/>
  <c r="J900" i="8"/>
  <c r="D884" i="8"/>
  <c r="D215" i="8"/>
  <c r="D757" i="8"/>
  <c r="J453" i="8"/>
  <c r="L832" i="8"/>
  <c r="D199" i="8"/>
  <c r="L972" i="8"/>
  <c r="K809" i="8"/>
  <c r="L779" i="8"/>
  <c r="K390" i="8"/>
  <c r="K553" i="8"/>
  <c r="L675" i="8"/>
  <c r="K708" i="8"/>
  <c r="K1127" i="8"/>
  <c r="L80" i="8"/>
  <c r="L749" i="8"/>
  <c r="L12" i="5"/>
  <c r="K164" i="7"/>
  <c r="K24" i="4"/>
  <c r="K991" i="8"/>
  <c r="K471" i="8"/>
  <c r="K1115" i="8"/>
  <c r="K1107" i="8"/>
  <c r="K324" i="8"/>
  <c r="K334" i="8"/>
  <c r="K584" i="8"/>
  <c r="K586" i="8"/>
  <c r="K964" i="8"/>
  <c r="K849" i="8"/>
  <c r="K882" i="8"/>
  <c r="K1004" i="8"/>
  <c r="K444" i="8"/>
  <c r="K743" i="8"/>
  <c r="K505" i="8"/>
  <c r="K495" i="8"/>
  <c r="K1025" i="8"/>
  <c r="K191" i="8"/>
  <c r="K693" i="8"/>
  <c r="K363" i="8"/>
  <c r="K55" i="8"/>
  <c r="K912" i="8"/>
  <c r="D1007" i="8"/>
  <c r="D172" i="8"/>
  <c r="L381" i="8"/>
  <c r="D592" i="8"/>
  <c r="L800" i="8"/>
  <c r="J80" i="7"/>
  <c r="D356" i="8"/>
  <c r="L24" i="6"/>
  <c r="L862" i="8"/>
  <c r="K41" i="7"/>
  <c r="L730" i="8"/>
  <c r="L1062" i="8"/>
  <c r="L565" i="8"/>
  <c r="L30" i="6"/>
  <c r="J29" i="7"/>
  <c r="L81" i="7"/>
  <c r="L622" i="8"/>
  <c r="L208" i="8"/>
  <c r="J738" i="8"/>
  <c r="L51" i="7"/>
  <c r="K1097" i="8"/>
  <c r="L25" i="6"/>
  <c r="L58" i="7"/>
  <c r="K210" i="8"/>
  <c r="K288" i="8"/>
  <c r="K51" i="8"/>
  <c r="L1131" i="8"/>
  <c r="K136" i="7"/>
  <c r="L20" i="4"/>
  <c r="K887" i="8"/>
  <c r="K154" i="8"/>
  <c r="K937" i="8"/>
  <c r="K841" i="8"/>
  <c r="K640" i="8"/>
  <c r="K775" i="8"/>
  <c r="K413" i="8"/>
  <c r="K415" i="8"/>
  <c r="K1113" i="8"/>
  <c r="K967" i="8"/>
  <c r="D823" i="8"/>
  <c r="D217" i="8"/>
  <c r="L488" i="8"/>
  <c r="J493" i="8"/>
  <c r="L854" i="8"/>
  <c r="J345" i="8"/>
  <c r="D103" i="7"/>
  <c r="L142" i="7"/>
  <c r="D440" i="8"/>
  <c r="L414" i="8"/>
  <c r="D191" i="7"/>
  <c r="L125" i="7"/>
  <c r="J322" i="8"/>
  <c r="K771" i="8"/>
  <c r="L14" i="1"/>
  <c r="L105" i="7"/>
  <c r="D61" i="7"/>
  <c r="L719" i="8"/>
  <c r="K155" i="7"/>
  <c r="L13" i="4"/>
  <c r="K1078" i="8"/>
  <c r="K167" i="8"/>
  <c r="K1001" i="8"/>
  <c r="K973" i="8"/>
  <c r="K309" i="8"/>
  <c r="K291" i="8"/>
  <c r="K164" i="8"/>
  <c r="K336" i="8"/>
  <c r="K223" i="8"/>
  <c r="K418" i="8"/>
  <c r="K454" i="8"/>
  <c r="K138" i="8"/>
  <c r="E61" i="7" l="1"/>
  <c r="H61" i="7"/>
  <c r="O61" i="7" s="1"/>
  <c r="G61" i="7"/>
  <c r="H14" i="1"/>
  <c r="O14" i="1" s="1"/>
  <c r="G191" i="7"/>
  <c r="E191" i="7"/>
  <c r="H191" i="7"/>
  <c r="O191" i="7" s="1"/>
  <c r="H440" i="8"/>
  <c r="E440" i="8"/>
  <c r="G440" i="8"/>
  <c r="G103" i="7"/>
  <c r="H103" i="7"/>
  <c r="O103" i="7" s="1"/>
  <c r="E103" i="7"/>
  <c r="G217" i="8"/>
  <c r="E217" i="8"/>
  <c r="H217" i="8"/>
  <c r="G823" i="8"/>
  <c r="E823" i="8"/>
  <c r="H823" i="8"/>
  <c r="H20" i="4"/>
  <c r="O20" i="4" s="1"/>
  <c r="E356" i="8"/>
  <c r="G356" i="8"/>
  <c r="H356" i="8"/>
  <c r="H592" i="8"/>
  <c r="E592" i="8"/>
  <c r="G592" i="8"/>
  <c r="E172" i="8"/>
  <c r="H172" i="8"/>
  <c r="G172" i="8"/>
  <c r="H1007" i="8"/>
  <c r="G1007" i="8"/>
  <c r="E1007" i="8"/>
  <c r="H199" i="8"/>
  <c r="G199" i="8"/>
  <c r="E199" i="8"/>
  <c r="G757" i="8"/>
  <c r="H757" i="8"/>
  <c r="E757" i="8"/>
  <c r="E215" i="8"/>
  <c r="G215" i="8"/>
  <c r="H215" i="8"/>
  <c r="H884" i="8"/>
  <c r="G884" i="8"/>
  <c r="E884" i="8"/>
  <c r="G93" i="7"/>
  <c r="H93" i="7"/>
  <c r="O93" i="7" s="1"/>
  <c r="E93" i="7"/>
  <c r="G1070" i="8"/>
  <c r="H1070" i="8"/>
  <c r="E1070" i="8"/>
  <c r="G280" i="8"/>
  <c r="H280" i="8"/>
  <c r="E280" i="8"/>
  <c r="H134" i="8"/>
  <c r="E134" i="8"/>
  <c r="G134" i="8"/>
  <c r="E635" i="8"/>
  <c r="G635" i="8"/>
  <c r="H635" i="8"/>
  <c r="G16" i="1"/>
  <c r="H204" i="7"/>
  <c r="O204" i="7" s="1"/>
  <c r="G204" i="7"/>
  <c r="E204" i="7"/>
  <c r="H218" i="8"/>
  <c r="E218" i="8"/>
  <c r="G218" i="8"/>
  <c r="E639" i="8"/>
  <c r="H639" i="8"/>
  <c r="G639" i="8"/>
  <c r="G54" i="7"/>
  <c r="E54" i="7"/>
  <c r="H54" i="7"/>
  <c r="O54" i="7" s="1"/>
  <c r="G853" i="8"/>
  <c r="H853" i="8"/>
  <c r="E853" i="8"/>
  <c r="G14" i="1"/>
  <c r="H23" i="1"/>
  <c r="O23" i="1" s="1"/>
  <c r="G17" i="4"/>
  <c r="H1009" i="8"/>
  <c r="E1009" i="8"/>
  <c r="G1009" i="8"/>
  <c r="E693" i="8"/>
  <c r="G693" i="8"/>
  <c r="H693" i="8"/>
  <c r="E259" i="8"/>
  <c r="H259" i="8"/>
  <c r="G259" i="8"/>
  <c r="G814" i="8"/>
  <c r="E814" i="8"/>
  <c r="H814" i="8"/>
  <c r="H505" i="8"/>
  <c r="E505" i="8"/>
  <c r="G505" i="8"/>
  <c r="G21" i="1"/>
  <c r="H12" i="1"/>
  <c r="O12" i="1" s="1"/>
  <c r="E12" i="1"/>
  <c r="G12" i="1"/>
  <c r="E42" i="4"/>
  <c r="H42" i="4"/>
  <c r="O42" i="4" s="1"/>
  <c r="G42" i="4"/>
  <c r="G263" i="8"/>
  <c r="H263" i="8"/>
  <c r="E263" i="8"/>
  <c r="H20" i="7"/>
  <c r="O20" i="7" s="1"/>
  <c r="G20" i="7"/>
  <c r="E20" i="7"/>
  <c r="H1086" i="8"/>
  <c r="E1086" i="8"/>
  <c r="G1086" i="8"/>
  <c r="E738" i="8"/>
  <c r="H738" i="8"/>
  <c r="G738" i="8"/>
  <c r="H580" i="8"/>
  <c r="E580" i="8"/>
  <c r="G580" i="8"/>
  <c r="G18" i="1"/>
  <c r="H128" i="7"/>
  <c r="O128" i="7" s="1"/>
  <c r="E128" i="7"/>
  <c r="G128" i="7"/>
  <c r="H149" i="7"/>
  <c r="O149" i="7" s="1"/>
  <c r="G149" i="7"/>
  <c r="E149" i="7"/>
  <c r="H92" i="7"/>
  <c r="O92" i="7" s="1"/>
  <c r="G92" i="7"/>
  <c r="E92" i="7"/>
  <c r="G242" i="8"/>
  <c r="H242" i="8"/>
  <c r="E242" i="8"/>
  <c r="H472" i="8"/>
  <c r="E472" i="8"/>
  <c r="G472" i="8"/>
  <c r="H1056" i="8"/>
  <c r="G1056" i="8"/>
  <c r="E1056" i="8"/>
  <c r="G125" i="8"/>
  <c r="E125" i="8"/>
  <c r="H125" i="8"/>
  <c r="G298" i="8"/>
  <c r="E298" i="8"/>
  <c r="H298" i="8"/>
  <c r="H22" i="4"/>
  <c r="O22" i="4" s="1"/>
  <c r="H40" i="8"/>
  <c r="G40" i="8"/>
  <c r="E40" i="8"/>
  <c r="G368" i="8"/>
  <c r="E368" i="8"/>
  <c r="H368" i="8"/>
  <c r="G133" i="7"/>
  <c r="E133" i="7"/>
  <c r="H133" i="7"/>
  <c r="O133" i="7" s="1"/>
  <c r="G143" i="7"/>
  <c r="H143" i="7"/>
  <c r="O143" i="7" s="1"/>
  <c r="E143" i="7"/>
  <c r="E23" i="7"/>
  <c r="G23" i="7"/>
  <c r="H23" i="7"/>
  <c r="O23" i="7" s="1"/>
  <c r="G628" i="8"/>
  <c r="E628" i="8"/>
  <c r="H628" i="8"/>
  <c r="G13" i="1"/>
  <c r="H462" i="8"/>
  <c r="G462" i="8"/>
  <c r="E462" i="8"/>
  <c r="G21" i="6"/>
  <c r="E21" i="6"/>
  <c r="H21" i="6"/>
  <c r="O21" i="6" s="1"/>
  <c r="E664" i="8"/>
  <c r="H664" i="8"/>
  <c r="G664" i="8"/>
  <c r="E130" i="8"/>
  <c r="H130" i="8"/>
  <c r="G130" i="8"/>
  <c r="E162" i="7"/>
  <c r="G162" i="7"/>
  <c r="H162" i="7"/>
  <c r="O162" i="7" s="1"/>
  <c r="G1049" i="8"/>
  <c r="H1049" i="8"/>
  <c r="E1049" i="8"/>
  <c r="G634" i="8"/>
  <c r="H634" i="8"/>
  <c r="E634" i="8"/>
  <c r="E688" i="8"/>
  <c r="G688" i="8"/>
  <c r="H688" i="8"/>
  <c r="G39" i="4"/>
  <c r="E39" i="4"/>
  <c r="H39" i="4"/>
  <c r="O39" i="4" s="1"/>
  <c r="H623" i="8"/>
  <c r="E623" i="8"/>
  <c r="G623" i="8"/>
  <c r="E518" i="8"/>
  <c r="G518" i="8"/>
  <c r="H518" i="8"/>
  <c r="E383" i="8"/>
  <c r="G383" i="8"/>
  <c r="H383" i="8"/>
  <c r="H461" i="8"/>
  <c r="G461" i="8"/>
  <c r="E461" i="8"/>
  <c r="G12" i="7"/>
  <c r="H12" i="7"/>
  <c r="O12" i="7" s="1"/>
  <c r="E12" i="7"/>
  <c r="E86" i="8"/>
  <c r="H86" i="8"/>
  <c r="G86" i="8"/>
  <c r="E467" i="8"/>
  <c r="H467" i="8"/>
  <c r="G467" i="8"/>
  <c r="E258" i="8"/>
  <c r="H258" i="8"/>
  <c r="G258" i="8"/>
  <c r="G93" i="8"/>
  <c r="H93" i="8"/>
  <c r="E93" i="8"/>
  <c r="E417" i="8"/>
  <c r="H417" i="8"/>
  <c r="G417" i="8"/>
  <c r="G38" i="6"/>
  <c r="H38" i="6"/>
  <c r="O38" i="6" s="1"/>
  <c r="E38" i="6"/>
  <c r="E37" i="6"/>
  <c r="G37" i="6"/>
  <c r="H37" i="6"/>
  <c r="O37" i="6" s="1"/>
  <c r="H984" i="8"/>
  <c r="G984" i="8"/>
  <c r="E984" i="8"/>
  <c r="E74" i="7"/>
  <c r="H74" i="7"/>
  <c r="O74" i="7" s="1"/>
  <c r="G74" i="7"/>
  <c r="H493" i="8"/>
  <c r="G493" i="8"/>
  <c r="E493" i="8"/>
  <c r="E95" i="7"/>
  <c r="G95" i="7"/>
  <c r="H95" i="7"/>
  <c r="O95" i="7" s="1"/>
  <c r="E513" i="8"/>
  <c r="H513" i="8"/>
  <c r="G513" i="8"/>
  <c r="G940" i="8"/>
  <c r="H940" i="8"/>
  <c r="E940" i="8"/>
  <c r="G265" i="8"/>
  <c r="H265" i="8"/>
  <c r="E265" i="8"/>
  <c r="H358" i="8"/>
  <c r="E358" i="8"/>
  <c r="G358" i="8"/>
  <c r="H176" i="7"/>
  <c r="O176" i="7" s="1"/>
  <c r="G176" i="7"/>
  <c r="E176" i="7"/>
  <c r="H530" i="8"/>
  <c r="G530" i="8"/>
  <c r="E530" i="8"/>
  <c r="H434" i="8"/>
  <c r="E434" i="8"/>
  <c r="G434" i="8"/>
  <c r="G53" i="7"/>
  <c r="E53" i="7"/>
  <c r="H53" i="7"/>
  <c r="O53" i="7" s="1"/>
  <c r="H213" i="7"/>
  <c r="O213" i="7" s="1"/>
  <c r="E213" i="7"/>
  <c r="G213" i="7"/>
  <c r="H591" i="8"/>
  <c r="G591" i="8"/>
  <c r="E591" i="8"/>
  <c r="H1129" i="8"/>
  <c r="G1129" i="8"/>
  <c r="E1129" i="8"/>
  <c r="E23" i="8"/>
  <c r="G23" i="8"/>
  <c r="H23" i="8"/>
  <c r="E313" i="8"/>
  <c r="G313" i="8"/>
  <c r="H313" i="8"/>
  <c r="E130" i="7"/>
  <c r="G130" i="7"/>
  <c r="H130" i="7"/>
  <c r="O130" i="7" s="1"/>
  <c r="E277" i="8"/>
  <c r="G277" i="8"/>
  <c r="H277" i="8"/>
  <c r="G780" i="8"/>
  <c r="E780" i="8"/>
  <c r="H780" i="8"/>
  <c r="E92" i="8"/>
  <c r="G92" i="8"/>
  <c r="H92" i="8"/>
  <c r="H967" i="8"/>
  <c r="G967" i="8"/>
  <c r="E967" i="8"/>
  <c r="G1039" i="8"/>
  <c r="E1039" i="8"/>
  <c r="H1039" i="8"/>
  <c r="H1054" i="8"/>
  <c r="G1054" i="8"/>
  <c r="E1054" i="8"/>
  <c r="G37" i="4"/>
  <c r="E37" i="4"/>
  <c r="H37" i="4"/>
  <c r="O37" i="4" s="1"/>
  <c r="H919" i="8"/>
  <c r="G919" i="8"/>
  <c r="E919" i="8"/>
  <c r="G78" i="8"/>
  <c r="E78" i="8"/>
  <c r="H78" i="8"/>
  <c r="G19" i="1"/>
  <c r="H50" i="8"/>
  <c r="G50" i="8"/>
  <c r="E50" i="8"/>
  <c r="G139" i="7"/>
  <c r="H139" i="7"/>
  <c r="O139" i="7" s="1"/>
  <c r="E139" i="7"/>
  <c r="H17" i="7"/>
  <c r="O17" i="7" s="1"/>
  <c r="E17" i="7"/>
  <c r="G17" i="7"/>
  <c r="G18" i="7"/>
  <c r="H18" i="7"/>
  <c r="O18" i="7" s="1"/>
  <c r="E18" i="7"/>
  <c r="E22" i="1"/>
  <c r="G596" i="8"/>
  <c r="H596" i="8"/>
  <c r="E596" i="8"/>
  <c r="E122" i="7"/>
  <c r="G122" i="7"/>
  <c r="H122" i="7"/>
  <c r="O122" i="7" s="1"/>
  <c r="E195" i="7"/>
  <c r="G195" i="7"/>
  <c r="H195" i="7"/>
  <c r="O195" i="7" s="1"/>
  <c r="E198" i="7"/>
  <c r="H198" i="7"/>
  <c r="O198" i="7" s="1"/>
  <c r="G198" i="7"/>
  <c r="E500" i="8"/>
  <c r="G500" i="8"/>
  <c r="H500" i="8"/>
  <c r="H545" i="8"/>
  <c r="G545" i="8"/>
  <c r="E545" i="8"/>
  <c r="H48" i="7"/>
  <c r="O48" i="7" s="1"/>
  <c r="G48" i="7"/>
  <c r="E48" i="7"/>
  <c r="H25" i="6"/>
  <c r="O25" i="6" s="1"/>
  <c r="G25" i="6"/>
  <c r="E25" i="6"/>
  <c r="H15" i="7"/>
  <c r="O15" i="7" s="1"/>
  <c r="E15" i="7"/>
  <c r="G15" i="7"/>
  <c r="H200" i="8"/>
  <c r="G200" i="8"/>
  <c r="E200" i="8"/>
  <c r="E528" i="8"/>
  <c r="H528" i="8"/>
  <c r="G528" i="8"/>
  <c r="G651" i="8"/>
  <c r="H651" i="8"/>
  <c r="E651" i="8"/>
  <c r="E468" i="8"/>
  <c r="H468" i="8"/>
  <c r="G468" i="8"/>
  <c r="G815" i="8"/>
  <c r="H815" i="8"/>
  <c r="E815" i="8"/>
  <c r="G828" i="8"/>
  <c r="H828" i="8"/>
  <c r="E828" i="8"/>
  <c r="G220" i="8"/>
  <c r="H220" i="8"/>
  <c r="E220" i="8"/>
  <c r="G15" i="4"/>
  <c r="E138" i="7"/>
  <c r="G138" i="7"/>
  <c r="H138" i="7"/>
  <c r="O138" i="7" s="1"/>
  <c r="E148" i="8"/>
  <c r="G148" i="8"/>
  <c r="H148" i="8"/>
  <c r="G355" i="8"/>
  <c r="H355" i="8"/>
  <c r="E355" i="8"/>
  <c r="H166" i="8"/>
  <c r="E166" i="8"/>
  <c r="G166" i="8"/>
  <c r="E36" i="6"/>
  <c r="H36" i="6"/>
  <c r="O36" i="6" s="1"/>
  <c r="G36" i="6"/>
  <c r="G20" i="4"/>
  <c r="E428" i="8"/>
  <c r="H428" i="8"/>
  <c r="G428" i="8"/>
  <c r="G775" i="8"/>
  <c r="E775" i="8"/>
  <c r="H775" i="8"/>
  <c r="G22" i="1"/>
  <c r="H20" i="1"/>
  <c r="O20" i="1" s="1"/>
  <c r="H171" i="7"/>
  <c r="O171" i="7" s="1"/>
  <c r="E171" i="7"/>
  <c r="G171" i="7"/>
  <c r="H34" i="7"/>
  <c r="O34" i="7" s="1"/>
  <c r="E34" i="7"/>
  <c r="G34" i="7"/>
  <c r="E50" i="7"/>
  <c r="H50" i="7"/>
  <c r="O50" i="7" s="1"/>
  <c r="G50" i="7"/>
  <c r="H787" i="8"/>
  <c r="G787" i="8"/>
  <c r="E787" i="8"/>
  <c r="H17" i="6"/>
  <c r="O17" i="6" s="1"/>
  <c r="E17" i="6"/>
  <c r="G17" i="6"/>
  <c r="H885" i="8"/>
  <c r="E885" i="8"/>
  <c r="G885" i="8"/>
  <c r="E31" i="6"/>
  <c r="G31" i="6"/>
  <c r="H31" i="6"/>
  <c r="O31" i="6" s="1"/>
  <c r="E68" i="7"/>
  <c r="G68" i="7"/>
  <c r="H68" i="7"/>
  <c r="O68" i="7" s="1"/>
  <c r="H786" i="8"/>
  <c r="G786" i="8"/>
  <c r="E786" i="8"/>
  <c r="E42" i="7"/>
  <c r="H42" i="7"/>
  <c r="O42" i="7" s="1"/>
  <c r="G42" i="7"/>
  <c r="H43" i="8"/>
  <c r="G43" i="8"/>
  <c r="E43" i="8"/>
  <c r="E44" i="8"/>
  <c r="H44" i="8"/>
  <c r="G44" i="8"/>
  <c r="H19" i="4"/>
  <c r="O19" i="4" s="1"/>
  <c r="E19" i="4"/>
  <c r="G19" i="4"/>
  <c r="H302" i="8"/>
  <c r="G302" i="8"/>
  <c r="E302" i="8"/>
  <c r="E968" i="8"/>
  <c r="H968" i="8"/>
  <c r="G968" i="8"/>
  <c r="H54" i="8"/>
  <c r="G54" i="8"/>
  <c r="E54" i="8"/>
  <c r="G168" i="8"/>
  <c r="E168" i="8"/>
  <c r="H168" i="8"/>
  <c r="G379" i="8"/>
  <c r="E379" i="8"/>
  <c r="H379" i="8"/>
  <c r="E841" i="8"/>
  <c r="H841" i="8"/>
  <c r="G841" i="8"/>
  <c r="E39" i="6"/>
  <c r="H39" i="6"/>
  <c r="O39" i="6" s="1"/>
  <c r="G39" i="6"/>
  <c r="E125" i="7"/>
  <c r="G125" i="7"/>
  <c r="H125" i="7"/>
  <c r="O125" i="7" s="1"/>
  <c r="E78" i="7"/>
  <c r="H78" i="7"/>
  <c r="O78" i="7" s="1"/>
  <c r="G78" i="7"/>
  <c r="E299" i="8"/>
  <c r="G299" i="8"/>
  <c r="H299" i="8"/>
  <c r="H956" i="8"/>
  <c r="G956" i="8"/>
  <c r="E956" i="8"/>
  <c r="E740" i="8"/>
  <c r="H740" i="8"/>
  <c r="G740" i="8"/>
  <c r="G438" i="8"/>
  <c r="E438" i="8"/>
  <c r="H438" i="8"/>
  <c r="E18" i="1"/>
  <c r="G830" i="8"/>
  <c r="H830" i="8"/>
  <c r="E830" i="8"/>
  <c r="G675" i="8"/>
  <c r="H675" i="8"/>
  <c r="E675" i="8"/>
  <c r="H13" i="1"/>
  <c r="O13" i="1" s="1"/>
  <c r="G16" i="4"/>
  <c r="E16" i="4"/>
  <c r="H16" i="4"/>
  <c r="O16" i="4" s="1"/>
  <c r="E983" i="8"/>
  <c r="H983" i="8"/>
  <c r="G983" i="8"/>
  <c r="E431" i="8"/>
  <c r="H431" i="8"/>
  <c r="G431" i="8"/>
  <c r="E422" i="8"/>
  <c r="G422" i="8"/>
  <c r="H422" i="8"/>
  <c r="G199" i="7"/>
  <c r="H199" i="7"/>
  <c r="O199" i="7" s="1"/>
  <c r="E199" i="7"/>
  <c r="E825" i="8"/>
  <c r="G825" i="8"/>
  <c r="H825" i="8"/>
  <c r="G17" i="1"/>
  <c r="H18" i="1"/>
  <c r="O18" i="1" s="1"/>
  <c r="G20" i="1"/>
  <c r="G11" i="1"/>
  <c r="G22" i="4"/>
  <c r="H21" i="1"/>
  <c r="O21" i="1" s="1"/>
  <c r="E164" i="7"/>
  <c r="G164" i="7"/>
  <c r="H164" i="7"/>
  <c r="O164" i="7" s="1"/>
  <c r="H988" i="8"/>
  <c r="E988" i="8"/>
  <c r="G988" i="8"/>
  <c r="G599" i="8"/>
  <c r="E599" i="8"/>
  <c r="H599" i="8"/>
  <c r="G558" i="8"/>
  <c r="H558" i="8"/>
  <c r="E558" i="8"/>
  <c r="E1106" i="8"/>
  <c r="H1106" i="8"/>
  <c r="G1106" i="8"/>
  <c r="H147" i="8"/>
  <c r="G147" i="8"/>
  <c r="E147" i="8"/>
  <c r="G400" i="8"/>
  <c r="E400" i="8"/>
  <c r="H400" i="8"/>
  <c r="G51" i="7"/>
  <c r="H51" i="7"/>
  <c r="O51" i="7" s="1"/>
  <c r="E51" i="7"/>
  <c r="H171" i="8"/>
  <c r="G171" i="8"/>
  <c r="E171" i="8"/>
  <c r="H942" i="8"/>
  <c r="G942" i="8"/>
  <c r="E942" i="8"/>
  <c r="G212" i="7"/>
  <c r="E212" i="7"/>
  <c r="H212" i="7"/>
  <c r="O212" i="7" s="1"/>
  <c r="H66" i="8"/>
  <c r="G66" i="8"/>
  <c r="E66" i="8"/>
  <c r="G864" i="8"/>
  <c r="E864" i="8"/>
  <c r="H864" i="8"/>
  <c r="E590" i="8"/>
  <c r="H590" i="8"/>
  <c r="G590" i="8"/>
  <c r="E552" i="8"/>
  <c r="G552" i="8"/>
  <c r="H552" i="8"/>
  <c r="G202" i="8"/>
  <c r="E202" i="8"/>
  <c r="H202" i="8"/>
  <c r="E67" i="7"/>
  <c r="H67" i="7"/>
  <c r="O67" i="7" s="1"/>
  <c r="G67" i="7"/>
  <c r="H350" i="8"/>
  <c r="G350" i="8"/>
  <c r="E350" i="8"/>
  <c r="H419" i="8"/>
  <c r="G419" i="8"/>
  <c r="E419" i="8"/>
  <c r="G1025" i="8"/>
  <c r="E1025" i="8"/>
  <c r="H1025" i="8"/>
  <c r="G703" i="8"/>
  <c r="H703" i="8"/>
  <c r="E703" i="8"/>
  <c r="H103" i="8"/>
  <c r="E103" i="8"/>
  <c r="G103" i="8"/>
  <c r="H807" i="8"/>
  <c r="G807" i="8"/>
  <c r="E807" i="8"/>
  <c r="E641" i="8"/>
  <c r="G641" i="8"/>
  <c r="H641" i="8"/>
  <c r="G23" i="1"/>
  <c r="G15" i="1"/>
  <c r="H17" i="1"/>
  <c r="O17" i="1" s="1"/>
  <c r="H1034" i="8"/>
  <c r="G1034" i="8"/>
  <c r="E1034" i="8"/>
  <c r="G844" i="8"/>
  <c r="H844" i="8"/>
  <c r="E844" i="8"/>
  <c r="H296" i="8"/>
  <c r="G296" i="8"/>
  <c r="E296" i="8"/>
  <c r="G65" i="7"/>
  <c r="E65" i="7"/>
  <c r="H65" i="7"/>
  <c r="O65" i="7" s="1"/>
  <c r="H23" i="4"/>
  <c r="O23" i="4" s="1"/>
  <c r="H351" i="8"/>
  <c r="E351" i="8"/>
  <c r="G351" i="8"/>
  <c r="E205" i="7"/>
  <c r="G205" i="7"/>
  <c r="H205" i="7"/>
  <c r="O205" i="7" s="1"/>
  <c r="G547" i="8"/>
  <c r="H547" i="8"/>
  <c r="E547" i="8"/>
  <c r="H958" i="8"/>
  <c r="E958" i="8"/>
  <c r="G958" i="8"/>
  <c r="E495" i="8"/>
  <c r="H495" i="8"/>
  <c r="G495" i="8"/>
  <c r="H108" i="7"/>
  <c r="O108" i="7" s="1"/>
  <c r="E108" i="7"/>
  <c r="G108" i="7"/>
  <c r="E66" i="7"/>
  <c r="G66" i="7"/>
  <c r="H66" i="7"/>
  <c r="O66" i="7" s="1"/>
  <c r="E750" i="8"/>
  <c r="H750" i="8"/>
  <c r="G750" i="8"/>
  <c r="H508" i="8"/>
  <c r="G508" i="8"/>
  <c r="E508" i="8"/>
  <c r="E16" i="1"/>
  <c r="H181" i="7"/>
  <c r="O181" i="7" s="1"/>
  <c r="E181" i="7"/>
  <c r="G181" i="7"/>
  <c r="E30" i="4"/>
  <c r="G30" i="4"/>
  <c r="H30" i="4"/>
  <c r="O30" i="4" s="1"/>
  <c r="G132" i="8"/>
  <c r="E132" i="8"/>
  <c r="H132" i="8"/>
  <c r="G102" i="7"/>
  <c r="E102" i="7"/>
  <c r="H102" i="7"/>
  <c r="O102" i="7" s="1"/>
  <c r="H695" i="8"/>
  <c r="G695" i="8"/>
  <c r="E695" i="8"/>
  <c r="H62" i="8"/>
  <c r="E62" i="8"/>
  <c r="G62" i="8"/>
  <c r="G854" i="8"/>
  <c r="H854" i="8"/>
  <c r="E854" i="8"/>
  <c r="E25" i="4"/>
  <c r="H25" i="4"/>
  <c r="O25" i="4" s="1"/>
  <c r="G25" i="4"/>
  <c r="E719" i="8"/>
  <c r="G719" i="8"/>
  <c r="H719" i="8"/>
  <c r="G620" i="8"/>
  <c r="H620" i="8"/>
  <c r="E620" i="8"/>
  <c r="E30" i="7"/>
  <c r="H30" i="7"/>
  <c r="O30" i="7" s="1"/>
  <c r="G30" i="7"/>
  <c r="H728" i="8"/>
  <c r="E728" i="8"/>
  <c r="G728" i="8"/>
  <c r="G240" i="8"/>
  <c r="H240" i="8"/>
  <c r="E240" i="8"/>
  <c r="H116" i="7"/>
  <c r="O116" i="7" s="1"/>
  <c r="G116" i="7"/>
  <c r="E116" i="7"/>
  <c r="G39" i="8"/>
  <c r="E39" i="8"/>
  <c r="H39" i="8"/>
  <c r="E835" i="8"/>
  <c r="H835" i="8"/>
  <c r="G835" i="8"/>
  <c r="H88" i="7"/>
  <c r="O88" i="7" s="1"/>
  <c r="G88" i="7"/>
  <c r="E88" i="7"/>
  <c r="H13" i="8"/>
  <c r="G13" i="8"/>
  <c r="E13" i="8"/>
  <c r="E877" i="8"/>
  <c r="G877" i="8"/>
  <c r="H877" i="8"/>
  <c r="E859" i="8"/>
  <c r="G859" i="8"/>
  <c r="H859" i="8"/>
  <c r="G902" i="8"/>
  <c r="H902" i="8"/>
  <c r="E902" i="8"/>
  <c r="H489" i="8"/>
  <c r="G489" i="8"/>
  <c r="E489" i="8"/>
  <c r="G399" i="8"/>
  <c r="E399" i="8"/>
  <c r="H399" i="8"/>
  <c r="H16" i="1"/>
  <c r="O16" i="1" s="1"/>
  <c r="H222" i="8"/>
  <c r="E222" i="8"/>
  <c r="G222" i="8"/>
  <c r="H546" i="8"/>
  <c r="E546" i="8"/>
  <c r="G546" i="8"/>
  <c r="G357" i="8"/>
  <c r="H357" i="8"/>
  <c r="E357" i="8"/>
  <c r="G781" i="8"/>
  <c r="H781" i="8"/>
  <c r="E781" i="8"/>
  <c r="G205" i="8"/>
  <c r="E205" i="8"/>
  <c r="H205" i="8"/>
  <c r="H19" i="1"/>
  <c r="O19" i="1" s="1"/>
  <c r="H81" i="8"/>
  <c r="G81" i="8"/>
  <c r="E81" i="8"/>
  <c r="E74" i="8"/>
  <c r="G74" i="8"/>
  <c r="H74" i="8"/>
  <c r="E127" i="8"/>
  <c r="G127" i="8"/>
  <c r="H127" i="8"/>
  <c r="G491" i="8"/>
  <c r="E491" i="8"/>
  <c r="H491" i="8"/>
  <c r="H182" i="7"/>
  <c r="O182" i="7" s="1"/>
  <c r="E182" i="7"/>
  <c r="G182" i="7"/>
  <c r="H228" i="8"/>
  <c r="G228" i="8"/>
  <c r="E228" i="8"/>
  <c r="G27" i="4"/>
  <c r="H27" i="4"/>
  <c r="O27" i="4" s="1"/>
  <c r="E27" i="4"/>
  <c r="H464" i="8"/>
  <c r="E464" i="8"/>
  <c r="G464" i="8"/>
  <c r="H803" i="8"/>
  <c r="G803" i="8"/>
  <c r="E803" i="8"/>
  <c r="G1110" i="8"/>
  <c r="E1110" i="8"/>
  <c r="H1110" i="8"/>
  <c r="E73" i="7"/>
  <c r="H73" i="7"/>
  <c r="O73" i="7" s="1"/>
  <c r="G73" i="7"/>
  <c r="H879" i="8"/>
  <c r="G879" i="8"/>
  <c r="E879" i="8"/>
  <c r="G207" i="7"/>
  <c r="E207" i="7"/>
  <c r="H207" i="7"/>
  <c r="O207" i="7" s="1"/>
  <c r="G18" i="6"/>
  <c r="E18" i="6"/>
  <c r="G922" i="8"/>
  <c r="H922" i="8"/>
  <c r="E922" i="8"/>
  <c r="E1037" i="8"/>
  <c r="G1037" i="8"/>
  <c r="H1037" i="8"/>
  <c r="E1046" i="8"/>
  <c r="H1046" i="8"/>
  <c r="G1046" i="8"/>
  <c r="G60" i="7"/>
  <c r="E60" i="7"/>
  <c r="H60" i="7"/>
  <c r="O60" i="7" s="1"/>
  <c r="G798" i="8"/>
  <c r="E798" i="8"/>
  <c r="H798" i="8"/>
  <c r="G712" i="8"/>
  <c r="H712" i="8"/>
  <c r="E712" i="8"/>
  <c r="E264" i="8"/>
  <c r="G264" i="8"/>
  <c r="H264" i="8"/>
  <c r="H343" i="8"/>
  <c r="E343" i="8"/>
  <c r="G343" i="8"/>
  <c r="H150" i="8"/>
  <c r="E150" i="8"/>
  <c r="G150" i="8"/>
  <c r="H267" i="8"/>
  <c r="G267" i="8"/>
  <c r="E267" i="8"/>
  <c r="E43" i="7"/>
  <c r="H43" i="7"/>
  <c r="O43" i="7" s="1"/>
  <c r="G43" i="7"/>
  <c r="E117" i="8"/>
  <c r="H117" i="8"/>
  <c r="G117" i="8"/>
  <c r="H960" i="8"/>
  <c r="E960" i="8"/>
  <c r="G960" i="8"/>
  <c r="E1130" i="8"/>
  <c r="H1130" i="8"/>
  <c r="G1130" i="8"/>
  <c r="E827" i="8"/>
  <c r="H827" i="8"/>
  <c r="G827" i="8"/>
  <c r="H808" i="8"/>
  <c r="G808" i="8"/>
  <c r="E808" i="8"/>
  <c r="G23" i="4"/>
  <c r="H11" i="1"/>
  <c r="O11" i="1" s="1"/>
  <c r="G845" i="8"/>
  <c r="H845" i="8"/>
  <c r="E845" i="8"/>
  <c r="G244" i="8"/>
  <c r="H244" i="8"/>
  <c r="E244" i="8"/>
  <c r="E317" i="8"/>
  <c r="H317" i="8"/>
  <c r="G317" i="8"/>
  <c r="H271" i="8"/>
  <c r="E271" i="8"/>
  <c r="G271" i="8"/>
  <c r="E1068" i="8"/>
  <c r="G1068" i="8"/>
  <c r="H1068" i="8"/>
  <c r="E194" i="7"/>
  <c r="H194" i="7"/>
  <c r="O194" i="7" s="1"/>
  <c r="G194" i="7"/>
  <c r="E84" i="7"/>
  <c r="G84" i="7"/>
  <c r="H84" i="7"/>
  <c r="O84" i="7" s="1"/>
  <c r="E716" i="8"/>
  <c r="G716" i="8"/>
  <c r="H716" i="8"/>
  <c r="E585" i="8"/>
  <c r="G585" i="8"/>
  <c r="H585" i="8"/>
  <c r="G458" i="8"/>
  <c r="E458" i="8"/>
  <c r="H458" i="8"/>
  <c r="H15" i="1"/>
  <c r="O15" i="1" s="1"/>
  <c r="G993" i="8"/>
  <c r="H993" i="8"/>
  <c r="E993" i="8"/>
  <c r="G944" i="8"/>
  <c r="H944" i="8"/>
  <c r="E944" i="8"/>
  <c r="H131" i="7"/>
  <c r="O131" i="7" s="1"/>
  <c r="E131" i="7"/>
  <c r="G131" i="7"/>
  <c r="G112" i="7"/>
  <c r="H112" i="7"/>
  <c r="O112" i="7" s="1"/>
  <c r="E112" i="7"/>
  <c r="E642" i="8"/>
  <c r="H642" i="8"/>
  <c r="G642" i="8"/>
  <c r="E498" i="8"/>
  <c r="G498" i="8"/>
  <c r="H498" i="8"/>
  <c r="G604" i="8"/>
  <c r="E604" i="8"/>
  <c r="H604" i="8"/>
  <c r="H621" i="8"/>
  <c r="G621" i="8"/>
  <c r="E621" i="8"/>
  <c r="G206" i="7"/>
  <c r="H206" i="7"/>
  <c r="O206" i="7" s="1"/>
  <c r="E206" i="7"/>
  <c r="E14" i="7"/>
  <c r="H14" i="7"/>
  <c r="O14" i="7" s="1"/>
  <c r="G14" i="7"/>
  <c r="H855" i="8"/>
  <c r="G855" i="8"/>
  <c r="E855" i="8"/>
  <c r="G121" i="8"/>
  <c r="E121" i="8"/>
  <c r="H121" i="8"/>
  <c r="H809" i="8"/>
  <c r="G809" i="8"/>
  <c r="E809" i="8"/>
  <c r="G282" i="8"/>
  <c r="H282" i="8"/>
  <c r="E282" i="8"/>
  <c r="E186" i="7"/>
  <c r="G186" i="7"/>
  <c r="H186" i="7"/>
  <c r="O186" i="7" s="1"/>
  <c r="G1067" i="8"/>
  <c r="H1067" i="8"/>
  <c r="E1067" i="8"/>
  <c r="E990" i="8"/>
  <c r="H990" i="8"/>
  <c r="G990" i="8"/>
  <c r="G686" i="8"/>
  <c r="H686" i="8"/>
  <c r="E686" i="8"/>
  <c r="E949" i="8"/>
  <c r="G949" i="8"/>
  <c r="H949" i="8"/>
  <c r="E692" i="8"/>
  <c r="G692" i="8"/>
  <c r="H692" i="8"/>
  <c r="G42" i="8"/>
  <c r="E42" i="8"/>
  <c r="H42" i="8"/>
  <c r="H11" i="4"/>
  <c r="O11" i="4" s="1"/>
  <c r="H22" i="1"/>
  <c r="O22" i="1" s="1"/>
  <c r="G484" i="8"/>
  <c r="H484" i="8"/>
  <c r="E484" i="8"/>
  <c r="H206" i="8"/>
  <c r="G206" i="8"/>
  <c r="E206" i="8"/>
  <c r="E65" i="8"/>
  <c r="H65" i="8"/>
  <c r="G65" i="8"/>
  <c r="E142" i="8"/>
  <c r="G142" i="8"/>
  <c r="H142" i="8"/>
  <c r="G225" i="8"/>
  <c r="H225" i="8"/>
  <c r="E225" i="8"/>
  <c r="H81" i="7"/>
  <c r="O81" i="7" s="1"/>
  <c r="G81" i="7"/>
  <c r="E81" i="7"/>
  <c r="G514" i="8"/>
  <c r="E514" i="8"/>
  <c r="H514" i="8"/>
  <c r="G439" i="8"/>
  <c r="E439" i="8"/>
  <c r="H439" i="8"/>
  <c r="H15" i="4"/>
  <c r="O15" i="4" s="1"/>
  <c r="H314" i="8"/>
  <c r="E314" i="8"/>
  <c r="G314" i="8"/>
  <c r="H24" i="6"/>
  <c r="O24" i="6" s="1"/>
  <c r="E24" i="6"/>
  <c r="G24" i="6"/>
  <c r="E813" i="8"/>
  <c r="G813" i="8"/>
  <c r="H813" i="8"/>
  <c r="H494" i="8"/>
  <c r="E494" i="8"/>
  <c r="G494" i="8"/>
  <c r="E168" i="7"/>
  <c r="H168" i="7"/>
  <c r="O168" i="7" s="1"/>
  <c r="G168" i="7"/>
  <c r="E22" i="7"/>
  <c r="G22" i="7"/>
  <c r="H22" i="7"/>
  <c r="O22" i="7" s="1"/>
  <c r="E975" i="8"/>
  <c r="G975" i="8"/>
  <c r="H975" i="8"/>
  <c r="H341" i="8"/>
  <c r="G341" i="8"/>
  <c r="E341" i="8"/>
  <c r="G647" i="8"/>
  <c r="E647" i="8"/>
  <c r="H647" i="8"/>
  <c r="G284" i="8"/>
  <c r="E284" i="8"/>
  <c r="H284" i="8"/>
  <c r="G141" i="7"/>
  <c r="H141" i="7"/>
  <c r="O141" i="7" s="1"/>
  <c r="E141" i="7"/>
  <c r="G555" i="8"/>
  <c r="E555" i="8"/>
  <c r="H555" i="8"/>
  <c r="G243" i="8"/>
  <c r="E243" i="8"/>
  <c r="H243" i="8"/>
  <c r="G30" i="6"/>
  <c r="E30" i="6"/>
  <c r="H30" i="6"/>
  <c r="O30" i="6" s="1"/>
  <c r="H172" i="7"/>
  <c r="O172" i="7" s="1"/>
  <c r="E172" i="7"/>
  <c r="G172" i="7"/>
  <c r="G726" i="8"/>
  <c r="E726" i="8"/>
  <c r="H726" i="8"/>
  <c r="E274" i="8"/>
  <c r="G274" i="8"/>
  <c r="H274" i="8"/>
  <c r="H34" i="4"/>
  <c r="O34" i="4" s="1"/>
  <c r="E34" i="4"/>
  <c r="G34" i="4"/>
  <c r="G544" i="8"/>
  <c r="E544" i="8"/>
  <c r="H544" i="8"/>
  <c r="H697" i="8"/>
  <c r="G697" i="8"/>
  <c r="E697" i="8"/>
  <c r="E210" i="8"/>
  <c r="H210" i="8"/>
  <c r="G210" i="8"/>
  <c r="G32" i="4"/>
  <c r="H32" i="4"/>
  <c r="O32" i="4" s="1"/>
  <c r="E32" i="4"/>
  <c r="E722" i="8"/>
  <c r="G722" i="8"/>
  <c r="H722" i="8"/>
  <c r="H83" i="8"/>
  <c r="G83" i="8"/>
  <c r="E83" i="8"/>
  <c r="G104" i="7"/>
  <c r="E104" i="7"/>
  <c r="H104" i="7"/>
  <c r="O104" i="7" s="1"/>
  <c r="E106" i="8"/>
  <c r="H106" i="8"/>
  <c r="G106" i="8"/>
  <c r="E136" i="8"/>
  <c r="H136" i="8"/>
  <c r="G136" i="8"/>
  <c r="H608" i="8"/>
  <c r="G608" i="8"/>
  <c r="E608" i="8"/>
  <c r="H201" i="8"/>
  <c r="G201" i="8"/>
  <c r="E201" i="8"/>
  <c r="E189" i="8"/>
  <c r="G189" i="8"/>
  <c r="H189" i="8"/>
  <c r="E369" i="8"/>
  <c r="G369" i="8"/>
  <c r="H369" i="8"/>
  <c r="G523" i="8"/>
  <c r="E523" i="8"/>
  <c r="H523" i="8"/>
  <c r="H21" i="7"/>
  <c r="O21" i="7" s="1"/>
  <c r="E21" i="7"/>
  <c r="G21" i="7"/>
  <c r="E527" i="8"/>
  <c r="G527" i="8"/>
  <c r="H527" i="8"/>
  <c r="H33" i="6"/>
  <c r="O33" i="6" s="1"/>
  <c r="G33" i="6"/>
  <c r="E33" i="6"/>
  <c r="E483" i="8"/>
  <c r="H483" i="8"/>
  <c r="G483" i="8"/>
  <c r="H793" i="8"/>
  <c r="G793" i="8"/>
  <c r="E793" i="8"/>
  <c r="H58" i="7"/>
  <c r="O58" i="7" s="1"/>
  <c r="G58" i="7"/>
  <c r="E58" i="7"/>
  <c r="E36" i="7"/>
  <c r="H36" i="7"/>
  <c r="O36" i="7" s="1"/>
  <c r="G36" i="7"/>
  <c r="E67" i="8"/>
  <c r="H67" i="8"/>
  <c r="G67" i="8"/>
  <c r="E1092" i="8"/>
  <c r="G1092" i="8"/>
  <c r="H1092" i="8"/>
  <c r="G27" i="6"/>
  <c r="H27" i="6"/>
  <c r="O27" i="6" s="1"/>
  <c r="E27" i="6"/>
  <c r="G744" i="8"/>
  <c r="H744" i="8"/>
  <c r="E744" i="8"/>
  <c r="G169" i="7"/>
  <c r="E169" i="7"/>
  <c r="H169" i="7"/>
  <c r="O169" i="7" s="1"/>
  <c r="H852" i="8"/>
  <c r="G852" i="8"/>
  <c r="E852" i="8"/>
  <c r="E730" i="8"/>
  <c r="H730" i="8"/>
  <c r="G730" i="8"/>
  <c r="H935" i="8"/>
  <c r="E935" i="8"/>
  <c r="G935" i="8"/>
  <c r="G183" i="7"/>
  <c r="H183" i="7"/>
  <c r="O183" i="7" s="1"/>
  <c r="E183" i="7"/>
  <c r="H281" i="8"/>
  <c r="E281" i="8"/>
  <c r="G281" i="8"/>
  <c r="H497" i="8"/>
  <c r="G497" i="8"/>
  <c r="E497" i="8"/>
  <c r="H587" i="8"/>
  <c r="G587" i="8"/>
  <c r="E587" i="8"/>
  <c r="E1036" i="8"/>
  <c r="G1036" i="8"/>
  <c r="H1036" i="8"/>
  <c r="G533" i="8"/>
  <c r="E533" i="8"/>
  <c r="H533" i="8"/>
  <c r="G563" i="8"/>
  <c r="H563" i="8"/>
  <c r="E563" i="8"/>
  <c r="E706" i="8"/>
  <c r="H706" i="8"/>
  <c r="G706" i="8"/>
  <c r="H435" i="8"/>
  <c r="E435" i="8"/>
  <c r="G435" i="8"/>
  <c r="E135" i="8"/>
  <c r="G135" i="8"/>
  <c r="H135" i="8"/>
  <c r="H17" i="4"/>
  <c r="O17" i="4" s="1"/>
  <c r="G13" i="5"/>
  <c r="E13" i="5"/>
  <c r="H13" i="5"/>
  <c r="O13" i="5" s="1"/>
  <c r="E542" i="8"/>
  <c r="H542" i="8"/>
  <c r="G542" i="8"/>
  <c r="G891" i="8"/>
  <c r="E891" i="8"/>
  <c r="H891" i="8"/>
  <c r="H89" i="8"/>
  <c r="E89" i="8"/>
  <c r="G89" i="8"/>
  <c r="H19" i="8"/>
  <c r="G19" i="8"/>
  <c r="E19" i="8"/>
  <c r="E180" i="8"/>
  <c r="G180" i="8"/>
  <c r="H180" i="8"/>
  <c r="G33" i="4"/>
  <c r="H33" i="4"/>
  <c r="O33" i="4" s="1"/>
  <c r="E33" i="4"/>
  <c r="H838" i="8"/>
  <c r="G838" i="8"/>
  <c r="E838" i="8"/>
  <c r="G71" i="7"/>
  <c r="E71" i="7"/>
  <c r="H71" i="7"/>
  <c r="O71" i="7" s="1"/>
  <c r="E20" i="6"/>
  <c r="G20" i="6"/>
  <c r="H20" i="6"/>
  <c r="O20" i="6" s="1"/>
  <c r="E47" i="7"/>
  <c r="H47" i="7"/>
  <c r="O47" i="7" s="1"/>
  <c r="G47" i="7"/>
  <c r="H89" i="7"/>
  <c r="O89" i="7" s="1"/>
  <c r="G89" i="7"/>
  <c r="E89" i="7"/>
  <c r="G75" i="7"/>
  <c r="E75" i="7"/>
  <c r="H75" i="7"/>
  <c r="O75" i="7" s="1"/>
  <c r="E447" i="8"/>
  <c r="H447" i="8"/>
  <c r="G447" i="8"/>
  <c r="E69" i="7"/>
  <c r="H69" i="7"/>
  <c r="O69" i="7" s="1"/>
  <c r="G69" i="7"/>
  <c r="G36" i="4"/>
  <c r="H36" i="4"/>
  <c r="O36" i="4" s="1"/>
  <c r="E36" i="4"/>
  <c r="G100" i="8"/>
  <c r="E100" i="8"/>
  <c r="H100" i="8"/>
  <c r="E53" i="8"/>
  <c r="G53" i="8"/>
  <c r="H53" i="8"/>
  <c r="H594" i="8"/>
  <c r="G594" i="8"/>
  <c r="E594" i="8"/>
  <c r="E11" i="5"/>
  <c r="H11" i="5"/>
  <c r="O11" i="5" s="1"/>
  <c r="G11" i="5"/>
  <c r="E129" i="7"/>
  <c r="H129" i="7"/>
  <c r="O129" i="7" s="1"/>
  <c r="G129" i="7"/>
  <c r="G907" i="8"/>
  <c r="H907" i="8"/>
  <c r="E907" i="8"/>
  <c r="H107" i="8"/>
  <c r="G107" i="8"/>
  <c r="E107" i="8"/>
  <c r="E700" i="8"/>
  <c r="H700" i="8"/>
  <c r="G700" i="8"/>
  <c r="G605" i="8"/>
  <c r="E605" i="8"/>
  <c r="H605" i="8"/>
  <c r="H232" i="8"/>
  <c r="E232" i="8"/>
  <c r="G232" i="8"/>
  <c r="E1104" i="8"/>
  <c r="H1104" i="8"/>
  <c r="G1104" i="8"/>
  <c r="H463" i="8"/>
  <c r="G463" i="8"/>
  <c r="E463" i="8"/>
  <c r="G1081" i="8"/>
  <c r="E1081" i="8"/>
  <c r="H1081" i="8"/>
  <c r="H91" i="8"/>
  <c r="G91" i="8"/>
  <c r="E91" i="8"/>
  <c r="H235" i="8"/>
  <c r="E235" i="8"/>
  <c r="G235" i="8"/>
  <c r="E377" i="8"/>
  <c r="H377" i="8"/>
  <c r="G377" i="8"/>
  <c r="E20" i="1"/>
  <c r="E606" i="8"/>
  <c r="H606" i="8"/>
  <c r="G606" i="8"/>
  <c r="G1115" i="8"/>
  <c r="H1115" i="8"/>
  <c r="E1115" i="8"/>
  <c r="G646" i="8"/>
  <c r="E646" i="8"/>
  <c r="H646" i="8"/>
  <c r="E257" i="8"/>
  <c r="G257" i="8"/>
  <c r="H257" i="8"/>
  <c r="G1078" i="8"/>
  <c r="E1078" i="8"/>
  <c r="H1078" i="8"/>
  <c r="E502" i="8"/>
  <c r="H502" i="8"/>
  <c r="G502" i="8"/>
  <c r="G1108" i="8"/>
  <c r="E1108" i="8"/>
  <c r="H1108" i="8"/>
  <c r="G971" i="8"/>
  <c r="E971" i="8"/>
  <c r="H971" i="8"/>
  <c r="E398" i="8"/>
  <c r="H398" i="8"/>
  <c r="G398" i="8"/>
  <c r="G72" i="8"/>
  <c r="G534" i="8"/>
  <c r="E534" i="8"/>
  <c r="H534" i="8"/>
  <c r="G645" i="8"/>
  <c r="H645" i="8"/>
  <c r="E645" i="8"/>
  <c r="H459" i="8"/>
  <c r="G459" i="8"/>
  <c r="E459" i="8"/>
  <c r="E97" i="8"/>
  <c r="G97" i="8"/>
  <c r="H97" i="8"/>
  <c r="E876" i="8"/>
  <c r="H876" i="8"/>
  <c r="G876" i="8"/>
  <c r="E142" i="7"/>
  <c r="G142" i="7"/>
  <c r="H142" i="7"/>
  <c r="O142" i="7" s="1"/>
  <c r="G190" i="7"/>
  <c r="E190" i="7"/>
  <c r="H190" i="7"/>
  <c r="O190" i="7" s="1"/>
  <c r="G35" i="7"/>
  <c r="H35" i="7"/>
  <c r="O35" i="7" s="1"/>
  <c r="E35" i="7"/>
  <c r="E34" i="6"/>
  <c r="H34" i="6"/>
  <c r="O34" i="6" s="1"/>
  <c r="G34" i="6"/>
  <c r="G56" i="7"/>
  <c r="H56" i="7"/>
  <c r="O56" i="7" s="1"/>
  <c r="E56" i="7"/>
  <c r="H178" i="7"/>
  <c r="O178" i="7" s="1"/>
  <c r="E178" i="7"/>
  <c r="G178" i="7"/>
  <c r="G94" i="7"/>
  <c r="H94" i="7"/>
  <c r="O94" i="7" s="1"/>
  <c r="E94" i="7"/>
  <c r="E14" i="1"/>
  <c r="H184" i="7"/>
  <c r="O184" i="7" s="1"/>
  <c r="E184" i="7"/>
  <c r="G184" i="7"/>
  <c r="G38" i="4"/>
  <c r="E38" i="4"/>
  <c r="H38" i="4"/>
  <c r="O38" i="4" s="1"/>
  <c r="H146" i="8"/>
  <c r="G146" i="8"/>
  <c r="E146" i="8"/>
  <c r="H35" i="4"/>
  <c r="O35" i="4" s="1"/>
  <c r="G35" i="4"/>
  <c r="E35" i="4"/>
  <c r="H868" i="8"/>
  <c r="E868" i="8"/>
  <c r="G868" i="8"/>
  <c r="E469" i="8"/>
  <c r="G469" i="8"/>
  <c r="H469" i="8"/>
  <c r="E40" i="6"/>
  <c r="G40" i="6"/>
  <c r="H40" i="6"/>
  <c r="O40" i="6" s="1"/>
  <c r="H289" i="8"/>
  <c r="E289" i="8"/>
  <c r="G289" i="8"/>
  <c r="E141" i="8"/>
  <c r="G141" i="8"/>
  <c r="H141" i="8"/>
  <c r="G29" i="6"/>
  <c r="H29" i="6"/>
  <c r="O29" i="6" s="1"/>
  <c r="E29" i="6"/>
  <c r="G76" i="7"/>
  <c r="H76" i="7"/>
  <c r="O76" i="7" s="1"/>
  <c r="E76" i="7"/>
  <c r="E19" i="1"/>
  <c r="E203" i="7"/>
  <c r="H203" i="7"/>
  <c r="O203" i="7" s="1"/>
  <c r="G203" i="7"/>
  <c r="E476" i="8"/>
  <c r="G476" i="8"/>
  <c r="H476" i="8"/>
  <c r="G432" i="8"/>
  <c r="E432" i="8"/>
  <c r="H432" i="8"/>
  <c r="H156" i="8"/>
  <c r="E156" i="8"/>
  <c r="G156" i="8"/>
  <c r="H12" i="6"/>
  <c r="O12" i="6" s="1"/>
  <c r="E12" i="6"/>
  <c r="G12" i="6"/>
  <c r="H637" i="8"/>
  <c r="G637" i="8"/>
  <c r="E637" i="8"/>
  <c r="G211" i="7"/>
  <c r="E211" i="7"/>
  <c r="H211" i="7"/>
  <c r="O211" i="7" s="1"/>
  <c r="H995" i="8"/>
  <c r="E995" i="8"/>
  <c r="G995" i="8"/>
  <c r="H181" i="8"/>
  <c r="G181" i="8"/>
  <c r="E181" i="8"/>
  <c r="E29" i="8"/>
  <c r="H29" i="8"/>
  <c r="G29" i="8"/>
  <c r="E185" i="7"/>
  <c r="G185" i="7"/>
  <c r="H185" i="7"/>
  <c r="O185" i="7" s="1"/>
  <c r="H279" i="8"/>
  <c r="G279" i="8"/>
  <c r="E279" i="8"/>
  <c r="E24" i="7"/>
  <c r="H24" i="7"/>
  <c r="O24" i="7" s="1"/>
  <c r="G24" i="7"/>
  <c r="H556" i="8"/>
  <c r="G556" i="8"/>
  <c r="E556" i="8"/>
  <c r="H687" i="8"/>
  <c r="G687" i="8"/>
  <c r="E687" i="8"/>
  <c r="G395" i="8"/>
  <c r="H395" i="8"/>
  <c r="E395" i="8"/>
  <c r="G679" i="8"/>
  <c r="E679" i="8"/>
  <c r="H679" i="8"/>
  <c r="G816" i="8"/>
  <c r="H816" i="8"/>
  <c r="E816" i="8"/>
  <c r="G931" i="8"/>
  <c r="H931" i="8"/>
  <c r="E931" i="8"/>
  <c r="E507" i="8"/>
  <c r="G507" i="8"/>
  <c r="H507" i="8"/>
  <c r="G207" i="8"/>
  <c r="H207" i="8"/>
  <c r="E207" i="8"/>
  <c r="H34" i="8"/>
  <c r="G34" i="8"/>
  <c r="E34" i="8"/>
  <c r="E140" i="8"/>
  <c r="H140" i="8"/>
  <c r="G140" i="8"/>
  <c r="E332" i="8"/>
  <c r="H332" i="8"/>
  <c r="G332" i="8"/>
  <c r="G920" i="8"/>
  <c r="E920" i="8"/>
  <c r="H920" i="8"/>
  <c r="E1094" i="8"/>
  <c r="H1094" i="8"/>
  <c r="G1094" i="8"/>
  <c r="G614" i="8"/>
  <c r="H614" i="8"/>
  <c r="E614" i="8"/>
  <c r="G1001" i="8"/>
  <c r="E1001" i="8"/>
  <c r="H1001" i="8"/>
  <c r="G582" i="8"/>
  <c r="H582" i="8"/>
  <c r="E582" i="8"/>
  <c r="G487" i="8"/>
  <c r="E487" i="8"/>
  <c r="H487" i="8"/>
  <c r="H46" i="8"/>
  <c r="E46" i="8"/>
  <c r="G46" i="8"/>
  <c r="G788" i="8"/>
  <c r="E788" i="8"/>
  <c r="H788" i="8"/>
  <c r="H847" i="8"/>
  <c r="G847" i="8"/>
  <c r="E847" i="8"/>
  <c r="E68" i="8"/>
  <c r="G68" i="8"/>
  <c r="H68" i="8"/>
  <c r="G32" i="6"/>
  <c r="E32" i="6"/>
  <c r="H32" i="6"/>
  <c r="O32" i="6" s="1"/>
  <c r="H860" i="8"/>
  <c r="E860" i="8"/>
  <c r="G860" i="8"/>
  <c r="E194" i="8"/>
  <c r="H194" i="8"/>
  <c r="G194" i="8"/>
  <c r="E307" i="8"/>
  <c r="H307" i="8"/>
  <c r="G307" i="8"/>
  <c r="E1101" i="8"/>
  <c r="G1101" i="8"/>
  <c r="H1101" i="8"/>
  <c r="E104" i="8"/>
  <c r="G104" i="8"/>
  <c r="H104" i="8"/>
  <c r="E346" i="8"/>
  <c r="G346" i="8"/>
  <c r="H346" i="8"/>
  <c r="E30" i="8"/>
  <c r="H30" i="8"/>
  <c r="G30" i="8"/>
  <c r="G11" i="4"/>
  <c r="E91" i="7"/>
  <c r="G91" i="7"/>
  <c r="H91" i="7"/>
  <c r="O91" i="7" s="1"/>
  <c r="G989" i="8"/>
  <c r="E989" i="8"/>
  <c r="H989" i="8"/>
  <c r="G1088" i="8"/>
  <c r="E1088" i="8"/>
  <c r="H1088" i="8"/>
  <c r="G77" i="7"/>
  <c r="E77" i="7"/>
  <c r="H77" i="7"/>
  <c r="O77" i="7" s="1"/>
  <c r="E69" i="8"/>
  <c r="H69" i="8"/>
  <c r="G69" i="8"/>
  <c r="E291" i="8"/>
  <c r="G291" i="8"/>
  <c r="H291" i="8"/>
  <c r="G444" i="8"/>
  <c r="H444" i="8"/>
  <c r="E444" i="8"/>
  <c r="G52" i="8"/>
  <c r="H52" i="8"/>
  <c r="E52" i="8"/>
  <c r="G402" i="8"/>
  <c r="E402" i="8"/>
  <c r="H402" i="8"/>
  <c r="H735" i="8"/>
  <c r="E735" i="8"/>
  <c r="G735" i="8"/>
  <c r="H924" i="8"/>
  <c r="E924" i="8"/>
  <c r="G924" i="8"/>
  <c r="E668" i="8"/>
  <c r="G668" i="8"/>
  <c r="H668" i="8"/>
  <c r="E71" i="8"/>
  <c r="H71" i="8"/>
  <c r="G71" i="8"/>
  <c r="H24" i="4"/>
  <c r="O24" i="4" s="1"/>
  <c r="G24" i="4"/>
  <c r="E24" i="4"/>
  <c r="E430" i="8"/>
  <c r="H430" i="8"/>
  <c r="G430" i="8"/>
  <c r="H35" i="6"/>
  <c r="O35" i="6" s="1"/>
  <c r="E35" i="6"/>
  <c r="G35" i="6"/>
  <c r="G82" i="7"/>
  <c r="H82" i="7"/>
  <c r="O82" i="7" s="1"/>
  <c r="E82" i="7"/>
  <c r="H961" i="8"/>
  <c r="G961" i="8"/>
  <c r="E961" i="8"/>
  <c r="E99" i="7"/>
  <c r="G99" i="7"/>
  <c r="H99" i="7"/>
  <c r="O99" i="7" s="1"/>
  <c r="E219" i="8"/>
  <c r="H219" i="8"/>
  <c r="G219" i="8"/>
  <c r="H110" i="7"/>
  <c r="O110" i="7" s="1"/>
  <c r="G110" i="7"/>
  <c r="E110" i="7"/>
  <c r="G208" i="7"/>
  <c r="E208" i="7"/>
  <c r="H208" i="7"/>
  <c r="O208" i="7" s="1"/>
  <c r="G191" i="8"/>
  <c r="H191" i="8"/>
  <c r="E191" i="8"/>
  <c r="E87" i="7"/>
  <c r="H87" i="7"/>
  <c r="O87" i="7" s="1"/>
  <c r="G87" i="7"/>
  <c r="G107" i="7"/>
  <c r="H107" i="7"/>
  <c r="O107" i="7" s="1"/>
  <c r="E107" i="7"/>
  <c r="H532" i="8"/>
  <c r="E532" i="8"/>
  <c r="G532" i="8"/>
  <c r="H962" i="8"/>
  <c r="G962" i="8"/>
  <c r="E962" i="8"/>
  <c r="H233" i="8"/>
  <c r="E233" i="8"/>
  <c r="G233" i="8"/>
  <c r="E454" i="8"/>
  <c r="H454" i="8"/>
  <c r="G454" i="8"/>
  <c r="G966" i="8"/>
  <c r="E966" i="8"/>
  <c r="H966" i="8"/>
  <c r="G423" i="8"/>
  <c r="E423" i="8"/>
  <c r="H423" i="8"/>
  <c r="E80" i="7"/>
  <c r="G80" i="7"/>
  <c r="H80" i="7"/>
  <c r="O80" i="7" s="1"/>
  <c r="E1060" i="8"/>
  <c r="G1060" i="8"/>
  <c r="H1060" i="8"/>
  <c r="H147" i="7"/>
  <c r="O147" i="7" s="1"/>
  <c r="E147" i="7"/>
  <c r="G147" i="7"/>
  <c r="H179" i="7"/>
  <c r="O179" i="7" s="1"/>
  <c r="E179" i="7"/>
  <c r="G179" i="7"/>
  <c r="E48" i="8"/>
  <c r="G48" i="8"/>
  <c r="H48" i="8"/>
  <c r="E13" i="7"/>
  <c r="H13" i="7"/>
  <c r="O13" i="7" s="1"/>
  <c r="G13" i="7"/>
  <c r="E909" i="8"/>
  <c r="H909" i="8"/>
  <c r="G909" i="8"/>
  <c r="E121" i="7"/>
  <c r="H121" i="7"/>
  <c r="O121" i="7" s="1"/>
  <c r="G121" i="7"/>
  <c r="H772" i="8"/>
  <c r="E772" i="8"/>
  <c r="G772" i="8"/>
  <c r="G739" i="8"/>
  <c r="H739" i="8"/>
  <c r="E739" i="8"/>
  <c r="E718" i="8"/>
  <c r="G718" i="8"/>
  <c r="H718" i="8"/>
  <c r="G424" i="8"/>
  <c r="H424" i="8"/>
  <c r="E424" i="8"/>
  <c r="E619" i="8"/>
  <c r="G619" i="8"/>
  <c r="H619" i="8"/>
  <c r="G437" i="8"/>
  <c r="E437" i="8"/>
  <c r="H437" i="8"/>
  <c r="H1035" i="8"/>
  <c r="E1035" i="8"/>
  <c r="G1035" i="8"/>
  <c r="E732" i="8"/>
  <c r="G732" i="8"/>
  <c r="H732" i="8"/>
  <c r="H1024" i="8"/>
  <c r="G1024" i="8"/>
  <c r="E1024" i="8"/>
  <c r="E1026" i="8"/>
  <c r="G1026" i="8"/>
  <c r="H1026" i="8"/>
  <c r="G1076" i="8"/>
  <c r="E1076" i="8"/>
  <c r="H1076" i="8"/>
  <c r="G774" i="8"/>
  <c r="H774" i="8"/>
  <c r="E774" i="8"/>
  <c r="G1061" i="8"/>
  <c r="H1061" i="8"/>
  <c r="E1061" i="8"/>
  <c r="G490" i="8"/>
  <c r="H490" i="8"/>
  <c r="E490" i="8"/>
  <c r="H340" i="8"/>
  <c r="G340" i="8"/>
  <c r="E340" i="8"/>
  <c r="H144" i="7"/>
  <c r="O144" i="7" s="1"/>
  <c r="G144" i="7"/>
  <c r="E144" i="7"/>
  <c r="E179" i="8"/>
  <c r="G179" i="8"/>
  <c r="H179" i="8"/>
  <c r="E1116" i="8"/>
  <c r="G1116" i="8"/>
  <c r="H1116" i="8"/>
  <c r="H466" i="8"/>
  <c r="E466" i="8"/>
  <c r="G466" i="8"/>
  <c r="E273" i="8"/>
  <c r="G273" i="8"/>
  <c r="H273" i="8"/>
  <c r="H846" i="8"/>
  <c r="E846" i="8"/>
  <c r="G846" i="8"/>
  <c r="G101" i="7"/>
  <c r="E101" i="7"/>
  <c r="H101" i="7"/>
  <c r="O101" i="7" s="1"/>
  <c r="E932" i="8"/>
  <c r="G932" i="8"/>
  <c r="H932" i="8"/>
  <c r="E756" i="8"/>
  <c r="G756" i="8"/>
  <c r="H756" i="8"/>
  <c r="G306" i="8"/>
  <c r="E306" i="8"/>
  <c r="H306" i="8"/>
  <c r="G72" i="7"/>
  <c r="H72" i="7"/>
  <c r="O72" i="7" s="1"/>
  <c r="E72" i="7"/>
  <c r="H143" i="8"/>
  <c r="G143" i="8"/>
  <c r="E143" i="8"/>
  <c r="H21" i="8"/>
  <c r="G21" i="8"/>
  <c r="E21" i="8"/>
  <c r="E96" i="8"/>
  <c r="H96" i="8"/>
  <c r="G96" i="8"/>
  <c r="G416" i="8"/>
  <c r="H416" i="8"/>
  <c r="E416" i="8"/>
  <c r="H1098" i="8"/>
  <c r="E1098" i="8"/>
  <c r="G1098" i="8"/>
  <c r="G478" i="8"/>
  <c r="H478" i="8"/>
  <c r="E478" i="8"/>
  <c r="H1121" i="8"/>
  <c r="G1121" i="8"/>
  <c r="E1121" i="8"/>
  <c r="E1016" i="8"/>
  <c r="H1016" i="8"/>
  <c r="G1016" i="8"/>
  <c r="H14" i="8"/>
  <c r="E14" i="8"/>
  <c r="G14" i="8"/>
  <c r="E126" i="7"/>
  <c r="H126" i="7"/>
  <c r="O126" i="7" s="1"/>
  <c r="G126" i="7"/>
  <c r="H123" i="7"/>
  <c r="O123" i="7" s="1"/>
  <c r="G123" i="7"/>
  <c r="E123" i="7"/>
  <c r="E33" i="7"/>
  <c r="H33" i="7"/>
  <c r="O33" i="7" s="1"/>
  <c r="G33" i="7"/>
  <c r="E321" i="8"/>
  <c r="G321" i="8"/>
  <c r="H321" i="8"/>
  <c r="H294" i="8"/>
  <c r="E294" i="8"/>
  <c r="G294" i="8"/>
  <c r="E17" i="1"/>
  <c r="H858" i="8"/>
  <c r="E858" i="8"/>
  <c r="G858" i="8"/>
  <c r="G557" i="8"/>
  <c r="H557" i="8"/>
  <c r="E557" i="8"/>
  <c r="E16" i="7"/>
  <c r="H16" i="7"/>
  <c r="O16" i="7" s="1"/>
  <c r="G16" i="7"/>
  <c r="H229" i="8"/>
  <c r="G229" i="8"/>
  <c r="E229" i="8"/>
  <c r="H579" i="8"/>
  <c r="G579" i="8"/>
  <c r="E579" i="8"/>
  <c r="G918" i="8"/>
  <c r="E918" i="8"/>
  <c r="H918" i="8"/>
  <c r="G310" i="8"/>
  <c r="H310" i="8"/>
  <c r="E310" i="8"/>
  <c r="G972" i="8"/>
  <c r="E972" i="8"/>
  <c r="H972" i="8"/>
  <c r="E504" i="8"/>
  <c r="H504" i="8"/>
  <c r="G504" i="8"/>
  <c r="E360" i="8"/>
  <c r="H360" i="8"/>
  <c r="G360" i="8"/>
  <c r="E41" i="4"/>
  <c r="G41" i="4"/>
  <c r="H41" i="4"/>
  <c r="O41" i="4" s="1"/>
  <c r="G1048" i="8"/>
  <c r="H1048" i="8"/>
  <c r="E1048" i="8"/>
  <c r="E100" i="7"/>
  <c r="H100" i="7"/>
  <c r="O100" i="7" s="1"/>
  <c r="G100" i="7"/>
  <c r="E13" i="4"/>
  <c r="H13" i="4"/>
  <c r="O13" i="4" s="1"/>
  <c r="G13" i="4"/>
  <c r="G157" i="8"/>
  <c r="E157" i="8"/>
  <c r="H157" i="8"/>
  <c r="G1013" i="8"/>
  <c r="E1013" i="8"/>
  <c r="H1013" i="8"/>
  <c r="E784" i="8"/>
  <c r="H784" i="8"/>
  <c r="G784" i="8"/>
  <c r="H1005" i="8"/>
  <c r="E1005" i="8"/>
  <c r="G1005" i="8"/>
  <c r="E768" i="8"/>
  <c r="H768" i="8"/>
  <c r="G768" i="8"/>
  <c r="H588" i="8"/>
  <c r="E588" i="8"/>
  <c r="G588" i="8"/>
  <c r="H981" i="8"/>
  <c r="G981" i="8"/>
  <c r="E981" i="8"/>
  <c r="E300" i="8"/>
  <c r="H300" i="8"/>
  <c r="G300" i="8"/>
  <c r="H761" i="8"/>
  <c r="G761" i="8"/>
  <c r="E761" i="8"/>
  <c r="E1122" i="8"/>
  <c r="H1122" i="8"/>
  <c r="G1122" i="8"/>
  <c r="H849" i="8"/>
  <c r="E849" i="8"/>
  <c r="G849" i="8"/>
  <c r="E964" i="8"/>
  <c r="H964" i="8"/>
  <c r="G964" i="8"/>
  <c r="E666" i="8"/>
  <c r="G666" i="8"/>
  <c r="H666" i="8"/>
  <c r="E1055" i="8"/>
  <c r="G1055" i="8"/>
  <c r="H1055" i="8"/>
  <c r="H654" i="8"/>
  <c r="E654" i="8"/>
  <c r="G654" i="8"/>
  <c r="E901" i="8"/>
  <c r="G901" i="8"/>
  <c r="H901" i="8"/>
  <c r="E86" i="7"/>
  <c r="H86" i="7"/>
  <c r="O86" i="7" s="1"/>
  <c r="G86" i="7"/>
  <c r="H193" i="8"/>
  <c r="G193" i="8"/>
  <c r="E193" i="8"/>
  <c r="H72" i="8"/>
  <c r="E333" i="8"/>
  <c r="H333" i="8"/>
  <c r="G333" i="8"/>
  <c r="G216" i="8"/>
  <c r="E216" i="8"/>
  <c r="H216" i="8"/>
  <c r="H154" i="8"/>
  <c r="E154" i="8"/>
  <c r="G154" i="8"/>
  <c r="E21" i="1"/>
  <c r="E678" i="8"/>
  <c r="H678" i="8"/>
  <c r="G678" i="8"/>
  <c r="H186" i="8"/>
  <c r="E186" i="8"/>
  <c r="G186" i="8"/>
  <c r="E278" i="8"/>
  <c r="G278" i="8"/>
  <c r="H278" i="8"/>
  <c r="H378" i="8"/>
  <c r="E378" i="8"/>
  <c r="G378" i="8"/>
  <c r="E79" i="7"/>
  <c r="G79" i="7"/>
  <c r="H79" i="7"/>
  <c r="O79" i="7" s="1"/>
  <c r="E44" i="7"/>
  <c r="H44" i="7"/>
  <c r="O44" i="7" s="1"/>
  <c r="G44" i="7"/>
  <c r="G526" i="8"/>
  <c r="E526" i="8"/>
  <c r="H526" i="8"/>
  <c r="H363" i="8"/>
  <c r="E363" i="8"/>
  <c r="G363" i="8"/>
  <c r="G477" i="8"/>
  <c r="H477" i="8"/>
  <c r="E477" i="8"/>
  <c r="G25" i="7"/>
  <c r="H25" i="7"/>
  <c r="O25" i="7" s="1"/>
  <c r="E25" i="7"/>
  <c r="H445" i="8"/>
  <c r="E445" i="8"/>
  <c r="G445" i="8"/>
  <c r="H239" i="8"/>
  <c r="E239" i="8"/>
  <c r="G239" i="8"/>
  <c r="E1085" i="8"/>
  <c r="G1085" i="8"/>
  <c r="H1085" i="8"/>
  <c r="H640" i="8"/>
  <c r="G640" i="8"/>
  <c r="E640" i="8"/>
  <c r="G632" i="8"/>
  <c r="H632" i="8"/>
  <c r="E632" i="8"/>
  <c r="G755" i="8"/>
  <c r="E755" i="8"/>
  <c r="H755" i="8"/>
  <c r="G690" i="8"/>
  <c r="H690" i="8"/>
  <c r="E690" i="8"/>
  <c r="H763" i="8"/>
  <c r="G763" i="8"/>
  <c r="E763" i="8"/>
  <c r="G203" i="8"/>
  <c r="E203" i="8"/>
  <c r="H203" i="8"/>
  <c r="E746" i="8"/>
  <c r="H746" i="8"/>
  <c r="G746" i="8"/>
  <c r="E506" i="8"/>
  <c r="H506" i="8"/>
  <c r="G506" i="8"/>
  <c r="H260" i="8"/>
  <c r="E260" i="8"/>
  <c r="G260" i="8"/>
  <c r="E913" i="8"/>
  <c r="G913" i="8"/>
  <c r="H913" i="8"/>
  <c r="G223" i="8"/>
  <c r="H223" i="8"/>
  <c r="E223" i="8"/>
  <c r="E627" i="8"/>
  <c r="G627" i="8"/>
  <c r="H627" i="8"/>
  <c r="E566" i="8"/>
  <c r="H566" i="8"/>
  <c r="G566" i="8"/>
  <c r="G224" i="8"/>
  <c r="H224" i="8"/>
  <c r="E224" i="8"/>
  <c r="E655" i="8"/>
  <c r="H655" i="8"/>
  <c r="G655" i="8"/>
  <c r="H649" i="8"/>
  <c r="G649" i="8"/>
  <c r="E649" i="8"/>
  <c r="E405" i="8"/>
  <c r="H405" i="8"/>
  <c r="G405" i="8"/>
  <c r="E381" i="8"/>
  <c r="H381" i="8"/>
  <c r="G381" i="8"/>
  <c r="E895" i="8"/>
  <c r="H895" i="8"/>
  <c r="G895" i="8"/>
  <c r="G325" i="8"/>
  <c r="H325" i="8"/>
  <c r="E325" i="8"/>
  <c r="H539" i="8"/>
  <c r="G539" i="8"/>
  <c r="E539" i="8"/>
  <c r="H897" i="8"/>
  <c r="E897" i="8"/>
  <c r="G897" i="8"/>
  <c r="E297" i="8"/>
  <c r="H297" i="8"/>
  <c r="G297" i="8"/>
  <c r="E758" i="8"/>
  <c r="H758" i="8"/>
  <c r="G758" i="8"/>
  <c r="G856" i="8"/>
  <c r="H856" i="8"/>
  <c r="E856" i="8"/>
  <c r="E1004" i="8"/>
  <c r="H1004" i="8"/>
  <c r="G1004" i="8"/>
  <c r="G180" i="7"/>
  <c r="H180" i="7"/>
  <c r="O180" i="7" s="1"/>
  <c r="E180" i="7"/>
  <c r="G669" i="8"/>
  <c r="E669" i="8"/>
  <c r="H669" i="8"/>
  <c r="H994" i="8"/>
  <c r="G994" i="8"/>
  <c r="E994" i="8"/>
  <c r="G938" i="8"/>
  <c r="H938" i="8"/>
  <c r="E938" i="8"/>
  <c r="G930" i="8"/>
  <c r="H930" i="8"/>
  <c r="E930" i="8"/>
  <c r="G496" i="8"/>
  <c r="E496" i="8"/>
  <c r="H496" i="8"/>
  <c r="E694" i="8"/>
  <c r="G694" i="8"/>
  <c r="H694" i="8"/>
  <c r="G359" i="8"/>
  <c r="E359" i="8"/>
  <c r="H359" i="8"/>
  <c r="E227" i="8"/>
  <c r="H227" i="8"/>
  <c r="G227" i="8"/>
  <c r="E17" i="8"/>
  <c r="H17" i="8"/>
  <c r="G17" i="8"/>
  <c r="E14" i="6"/>
  <c r="G14" i="6"/>
  <c r="H14" i="6"/>
  <c r="O14" i="6" s="1"/>
  <c r="E344" i="8"/>
  <c r="G344" i="8"/>
  <c r="H344" i="8"/>
  <c r="H40" i="4"/>
  <c r="O40" i="4" s="1"/>
  <c r="G40" i="4"/>
  <c r="E40" i="4"/>
  <c r="E31" i="8"/>
  <c r="G31" i="8"/>
  <c r="H31" i="8"/>
  <c r="E189" i="7"/>
  <c r="G189" i="7"/>
  <c r="H189" i="7"/>
  <c r="O189" i="7" s="1"/>
  <c r="E349" i="8"/>
  <c r="H349" i="8"/>
  <c r="G349" i="8"/>
  <c r="H1022" i="8"/>
  <c r="E1022" i="8"/>
  <c r="G1022" i="8"/>
  <c r="H105" i="7"/>
  <c r="O105" i="7" s="1"/>
  <c r="G105" i="7"/>
  <c r="E105" i="7"/>
  <c r="E149" i="8"/>
  <c r="H149" i="8"/>
  <c r="G149" i="8"/>
  <c r="G20" i="8"/>
  <c r="E20" i="8"/>
  <c r="H20" i="8"/>
  <c r="H245" i="8"/>
  <c r="G245" i="8"/>
  <c r="E245" i="8"/>
  <c r="E29" i="7"/>
  <c r="H29" i="7"/>
  <c r="O29" i="7" s="1"/>
  <c r="G29" i="7"/>
  <c r="E978" i="8"/>
  <c r="H978" i="8"/>
  <c r="G978" i="8"/>
  <c r="G618" i="8"/>
  <c r="H618" i="8"/>
  <c r="E618" i="8"/>
  <c r="G26" i="4"/>
  <c r="H26" i="4"/>
  <c r="O26" i="4" s="1"/>
  <c r="E26" i="4"/>
  <c r="G32" i="7"/>
  <c r="H32" i="7"/>
  <c r="O32" i="7" s="1"/>
  <c r="E32" i="7"/>
  <c r="E441" i="8"/>
  <c r="H441" i="8"/>
  <c r="G441" i="8"/>
  <c r="G470" i="8"/>
  <c r="E470" i="8"/>
  <c r="H470" i="8"/>
  <c r="E335" i="8"/>
  <c r="G335" i="8"/>
  <c r="H335" i="8"/>
  <c r="G312" i="8"/>
  <c r="E312" i="8"/>
  <c r="H312" i="8"/>
  <c r="E11" i="1"/>
  <c r="G1050" i="8"/>
  <c r="H1050" i="8"/>
  <c r="E1050" i="8"/>
  <c r="G382" i="8"/>
  <c r="H382" i="8"/>
  <c r="E382" i="8"/>
  <c r="G209" i="7"/>
  <c r="H209" i="7"/>
  <c r="O209" i="7" s="1"/>
  <c r="E209" i="7"/>
  <c r="G1119" i="8"/>
  <c r="H1119" i="8"/>
  <c r="E1119" i="8"/>
  <c r="G653" i="8"/>
  <c r="H653" i="8"/>
  <c r="E653" i="8"/>
  <c r="G999" i="8"/>
  <c r="E999" i="8"/>
  <c r="H999" i="8"/>
  <c r="G766" i="8"/>
  <c r="H766" i="8"/>
  <c r="E766" i="8"/>
  <c r="E946" i="8"/>
  <c r="G946" i="8"/>
  <c r="H946" i="8"/>
  <c r="G536" i="8"/>
  <c r="H536" i="8"/>
  <c r="E536" i="8"/>
  <c r="H516" i="8"/>
  <c r="E516" i="8"/>
  <c r="G516" i="8"/>
  <c r="H890" i="8"/>
  <c r="G890" i="8"/>
  <c r="E890" i="8"/>
  <c r="E948" i="8"/>
  <c r="G948" i="8"/>
  <c r="H948" i="8"/>
  <c r="H164" i="8"/>
  <c r="G164" i="8"/>
  <c r="E164" i="8"/>
  <c r="E51" i="8"/>
  <c r="H51" i="8"/>
  <c r="G51" i="8"/>
  <c r="G406" i="8"/>
  <c r="H406" i="8"/>
  <c r="E406" i="8"/>
  <c r="E73" i="8"/>
  <c r="G73" i="8"/>
  <c r="H73" i="8"/>
  <c r="G14" i="5"/>
  <c r="H14" i="5"/>
  <c r="O14" i="5" s="1"/>
  <c r="E14" i="5"/>
  <c r="E481" i="8"/>
  <c r="G481" i="8"/>
  <c r="H481" i="8"/>
  <c r="H1095" i="8"/>
  <c r="G1095" i="8"/>
  <c r="E1095" i="8"/>
  <c r="E80" i="8"/>
  <c r="G80" i="8"/>
  <c r="H80" i="8"/>
  <c r="E99" i="8"/>
  <c r="H99" i="8"/>
  <c r="G99" i="8"/>
  <c r="G301" i="8"/>
  <c r="E301" i="8"/>
  <c r="H301" i="8"/>
  <c r="G114" i="7"/>
  <c r="H114" i="7"/>
  <c r="O114" i="7" s="1"/>
  <c r="E114" i="7"/>
  <c r="G295" i="8"/>
  <c r="H295" i="8"/>
  <c r="E295" i="8"/>
  <c r="G667" i="8"/>
  <c r="E667" i="8"/>
  <c r="H667" i="8"/>
  <c r="E511" i="8"/>
  <c r="G511" i="8"/>
  <c r="H511" i="8"/>
  <c r="G161" i="7"/>
  <c r="H161" i="7"/>
  <c r="O161" i="7" s="1"/>
  <c r="E161" i="7"/>
  <c r="H120" i="7"/>
  <c r="O120" i="7" s="1"/>
  <c r="E120" i="7"/>
  <c r="G120" i="7"/>
  <c r="E261" i="8"/>
  <c r="H261" i="8"/>
  <c r="G261" i="8"/>
  <c r="G156" i="7"/>
  <c r="E156" i="7"/>
  <c r="H156" i="7"/>
  <c r="O156" i="7" s="1"/>
  <c r="E140" i="7"/>
  <c r="H140" i="7"/>
  <c r="O140" i="7" s="1"/>
  <c r="G140" i="7"/>
  <c r="H200" i="7"/>
  <c r="O200" i="7" s="1"/>
  <c r="E200" i="7"/>
  <c r="G200" i="7"/>
  <c r="G676" i="8"/>
  <c r="E676" i="8"/>
  <c r="H676" i="8"/>
  <c r="G112" i="8"/>
  <c r="H112" i="8"/>
  <c r="E112" i="8"/>
  <c r="G328" i="8"/>
  <c r="H328" i="8"/>
  <c r="E328" i="8"/>
  <c r="G725" i="8"/>
  <c r="H725" i="8"/>
  <c r="E725" i="8"/>
  <c r="H285" i="8"/>
  <c r="G285" i="8"/>
  <c r="E285" i="8"/>
  <c r="G1014" i="8"/>
  <c r="E1014" i="8"/>
  <c r="H1014" i="8"/>
  <c r="G15" i="8"/>
  <c r="E15" i="8"/>
  <c r="H15" i="8"/>
  <c r="H26" i="6"/>
  <c r="O26" i="6" s="1"/>
  <c r="E26" i="6"/>
  <c r="G26" i="6"/>
  <c r="E1123" i="8"/>
  <c r="G1123" i="8"/>
  <c r="H1123" i="8"/>
  <c r="E550" i="8"/>
  <c r="H550" i="8"/>
  <c r="G550" i="8"/>
  <c r="G190" i="8"/>
  <c r="E190" i="8"/>
  <c r="H190" i="8"/>
  <c r="H1010" i="8"/>
  <c r="E1010" i="8"/>
  <c r="G1010" i="8"/>
  <c r="E376" i="8"/>
  <c r="G376" i="8"/>
  <c r="H376" i="8"/>
  <c r="E1097" i="8"/>
  <c r="G1097" i="8"/>
  <c r="H1097" i="8"/>
  <c r="E85" i="7"/>
  <c r="H85" i="7"/>
  <c r="O85" i="7" s="1"/>
  <c r="G85" i="7"/>
  <c r="E701" i="8"/>
  <c r="G701" i="8"/>
  <c r="H701" i="8"/>
  <c r="G39" i="7"/>
  <c r="E39" i="7"/>
  <c r="H39" i="7"/>
  <c r="O39" i="7" s="1"/>
  <c r="G529" i="8"/>
  <c r="E529" i="8"/>
  <c r="H529" i="8"/>
  <c r="G315" i="8"/>
  <c r="H315" i="8"/>
  <c r="E315" i="8"/>
  <c r="G145" i="8"/>
  <c r="E145" i="8"/>
  <c r="H145" i="8"/>
  <c r="H311" i="8"/>
  <c r="G311" i="8"/>
  <c r="E311" i="8"/>
  <c r="G925" i="8"/>
  <c r="H925" i="8"/>
  <c r="E925" i="8"/>
  <c r="E1030" i="8"/>
  <c r="H1030" i="8"/>
  <c r="G1030" i="8"/>
  <c r="H723" i="8"/>
  <c r="G723" i="8"/>
  <c r="E723" i="8"/>
  <c r="G479" i="8"/>
  <c r="H479" i="8"/>
  <c r="E479" i="8"/>
  <c r="G959" i="8"/>
  <c r="E959" i="8"/>
  <c r="H959" i="8"/>
  <c r="E609" i="8"/>
  <c r="H609" i="8"/>
  <c r="G609" i="8"/>
  <c r="H953" i="8"/>
  <c r="E953" i="8"/>
  <c r="G953" i="8"/>
  <c r="E685" i="8"/>
  <c r="G685" i="8"/>
  <c r="H685" i="8"/>
  <c r="H759" i="8"/>
  <c r="E759" i="8"/>
  <c r="G759" i="8"/>
  <c r="G196" i="8"/>
  <c r="H196" i="8"/>
  <c r="E196" i="8"/>
  <c r="G319" i="8"/>
  <c r="E319" i="8"/>
  <c r="H319" i="8"/>
  <c r="H644" i="8"/>
  <c r="E644" i="8"/>
  <c r="G644" i="8"/>
  <c r="H810" i="8"/>
  <c r="G810" i="8"/>
  <c r="E810" i="8"/>
  <c r="G153" i="8"/>
  <c r="H153" i="8"/>
  <c r="E153" i="8"/>
  <c r="E123" i="8"/>
  <c r="G123" i="8"/>
  <c r="H123" i="8"/>
  <c r="H894" i="8"/>
  <c r="G894" i="8"/>
  <c r="E894" i="8"/>
  <c r="H59" i="8"/>
  <c r="G59" i="8"/>
  <c r="E59" i="8"/>
  <c r="H448" i="8"/>
  <c r="E448" i="8"/>
  <c r="G448" i="8"/>
  <c r="E336" i="8"/>
  <c r="G336" i="8"/>
  <c r="H336" i="8"/>
  <c r="G237" i="8"/>
  <c r="H237" i="8"/>
  <c r="E237" i="8"/>
  <c r="H562" i="8"/>
  <c r="G562" i="8"/>
  <c r="E562" i="8"/>
  <c r="E146" i="7"/>
  <c r="H146" i="7"/>
  <c r="O146" i="7" s="1"/>
  <c r="G146" i="7"/>
  <c r="G611" i="8"/>
  <c r="E611" i="8"/>
  <c r="H611" i="8"/>
  <c r="G866" i="8"/>
  <c r="H866" i="8"/>
  <c r="E866" i="8"/>
  <c r="G15" i="6"/>
  <c r="E15" i="6"/>
  <c r="H15" i="6"/>
  <c r="O15" i="6" s="1"/>
  <c r="G64" i="7"/>
  <c r="E64" i="7"/>
  <c r="H64" i="7"/>
  <c r="O64" i="7" s="1"/>
  <c r="H616" i="8"/>
  <c r="E616" i="8"/>
  <c r="G616" i="8"/>
  <c r="G1112" i="8"/>
  <c r="H1112" i="8"/>
  <c r="E1112" i="8"/>
  <c r="H109" i="7"/>
  <c r="O109" i="7" s="1"/>
  <c r="G109" i="7"/>
  <c r="E109" i="7"/>
  <c r="E40" i="7"/>
  <c r="H40" i="7"/>
  <c r="O40" i="7" s="1"/>
  <c r="G40" i="7"/>
  <c r="G192" i="7"/>
  <c r="H192" i="7"/>
  <c r="O192" i="7" s="1"/>
  <c r="E192" i="7"/>
  <c r="H1137" i="8"/>
  <c r="E1137" i="8"/>
  <c r="G1137" i="8"/>
  <c r="G13" i="6"/>
  <c r="E13" i="6"/>
  <c r="H13" i="6"/>
  <c r="O13" i="6" s="1"/>
  <c r="G173" i="7"/>
  <c r="H173" i="7"/>
  <c r="O173" i="7" s="1"/>
  <c r="E173" i="7"/>
  <c r="E59" i="7"/>
  <c r="G59" i="7"/>
  <c r="H59" i="7"/>
  <c r="O59" i="7" s="1"/>
  <c r="H969" i="8"/>
  <c r="E969" i="8"/>
  <c r="G969" i="8"/>
  <c r="G1071" i="8"/>
  <c r="E1071" i="8"/>
  <c r="H1071" i="8"/>
  <c r="H832" i="8"/>
  <c r="G832" i="8"/>
  <c r="E832" i="8"/>
  <c r="E950" i="8"/>
  <c r="G950" i="8"/>
  <c r="H950" i="8"/>
  <c r="H985" i="8"/>
  <c r="E985" i="8"/>
  <c r="G985" i="8"/>
  <c r="E522" i="8"/>
  <c r="G522" i="8"/>
  <c r="H522" i="8"/>
  <c r="E1015" i="8"/>
  <c r="G1015" i="8"/>
  <c r="H1015" i="8"/>
  <c r="G62" i="7"/>
  <c r="H62" i="7"/>
  <c r="O62" i="7" s="1"/>
  <c r="E62" i="7"/>
  <c r="E24" i="8"/>
  <c r="H24" i="8"/>
  <c r="G24" i="8"/>
  <c r="E330" i="8"/>
  <c r="G330" i="8"/>
  <c r="H330" i="8"/>
  <c r="H671" i="8"/>
  <c r="G671" i="8"/>
  <c r="E671" i="8"/>
  <c r="E52" i="7"/>
  <c r="H52" i="7"/>
  <c r="O52" i="7" s="1"/>
  <c r="G52" i="7"/>
  <c r="G790" i="8"/>
  <c r="E790" i="8"/>
  <c r="H790" i="8"/>
  <c r="G408" i="8"/>
  <c r="H408" i="8"/>
  <c r="E408" i="8"/>
  <c r="H132" i="7"/>
  <c r="O132" i="7" s="1"/>
  <c r="E132" i="7"/>
  <c r="G132" i="7"/>
  <c r="G329" i="8"/>
  <c r="H329" i="8"/>
  <c r="E329" i="8"/>
  <c r="H451" i="8"/>
  <c r="G451" i="8"/>
  <c r="E451" i="8"/>
  <c r="G167" i="8"/>
  <c r="H167" i="8"/>
  <c r="E167" i="8"/>
  <c r="G287" i="8"/>
  <c r="E287" i="8"/>
  <c r="H287" i="8"/>
  <c r="H118" i="8"/>
  <c r="E118" i="8"/>
  <c r="G118" i="8"/>
  <c r="H231" i="8"/>
  <c r="G231" i="8"/>
  <c r="E231" i="8"/>
  <c r="E178" i="8"/>
  <c r="H178" i="8"/>
  <c r="G178" i="8"/>
  <c r="E622" i="8"/>
  <c r="H622" i="8"/>
  <c r="G622" i="8"/>
  <c r="H630" i="8"/>
  <c r="E630" i="8"/>
  <c r="G630" i="8"/>
  <c r="H283" i="8"/>
  <c r="E283" i="8"/>
  <c r="G283" i="8"/>
  <c r="E455" i="8"/>
  <c r="H455" i="8"/>
  <c r="G455" i="8"/>
  <c r="G70" i="7"/>
  <c r="E70" i="7"/>
  <c r="H70" i="7"/>
  <c r="O70" i="7" s="1"/>
  <c r="G318" i="8"/>
  <c r="E318" i="8"/>
  <c r="H318" i="8"/>
  <c r="G388" i="8"/>
  <c r="E388" i="8"/>
  <c r="H388" i="8"/>
  <c r="G906" i="8"/>
  <c r="E906" i="8"/>
  <c r="H906" i="8"/>
  <c r="H403" i="8"/>
  <c r="G403" i="8"/>
  <c r="E403" i="8"/>
  <c r="G404" i="8"/>
  <c r="H404" i="8"/>
  <c r="E404" i="8"/>
  <c r="G1131" i="8"/>
  <c r="E1131" i="8"/>
  <c r="H1131" i="8"/>
  <c r="H943" i="8"/>
  <c r="G943" i="8"/>
  <c r="E943" i="8"/>
  <c r="H764" i="8"/>
  <c r="G764" i="8"/>
  <c r="E764" i="8"/>
  <c r="E1008" i="8"/>
  <c r="G1008" i="8"/>
  <c r="H1008" i="8"/>
  <c r="H682" i="8"/>
  <c r="G682" i="8"/>
  <c r="E682" i="8"/>
  <c r="H354" i="8"/>
  <c r="G354" i="8"/>
  <c r="E354" i="8"/>
  <c r="G791" i="8"/>
  <c r="H791" i="8"/>
  <c r="E791" i="8"/>
  <c r="G1023" i="8"/>
  <c r="H1023" i="8"/>
  <c r="E1023" i="8"/>
  <c r="E1064" i="8"/>
  <c r="G1064" i="8"/>
  <c r="H1064" i="8"/>
  <c r="G175" i="8"/>
  <c r="E175" i="8"/>
  <c r="H175" i="8"/>
  <c r="E119" i="7"/>
  <c r="H119" i="7"/>
  <c r="O119" i="7" s="1"/>
  <c r="G119" i="7"/>
  <c r="E113" i="8"/>
  <c r="G113" i="8"/>
  <c r="H113" i="8"/>
  <c r="H631" i="8"/>
  <c r="G631" i="8"/>
  <c r="E631" i="8"/>
  <c r="G167" i="7"/>
  <c r="E167" i="7"/>
  <c r="H167" i="7"/>
  <c r="O167" i="7" s="1"/>
  <c r="E571" i="8"/>
  <c r="H571" i="8"/>
  <c r="G571" i="8"/>
  <c r="E29" i="4"/>
  <c r="H29" i="4"/>
  <c r="O29" i="4" s="1"/>
  <c r="G29" i="4"/>
  <c r="G407" i="8"/>
  <c r="E407" i="8"/>
  <c r="H407" i="8"/>
  <c r="E16" i="6"/>
  <c r="H16" i="6"/>
  <c r="O16" i="6" s="1"/>
  <c r="G16" i="6"/>
  <c r="H173" i="8"/>
  <c r="G173" i="8"/>
  <c r="E173" i="8"/>
  <c r="H1117" i="8"/>
  <c r="E1117" i="8"/>
  <c r="G1117" i="8"/>
  <c r="E593" i="8"/>
  <c r="H593" i="8"/>
  <c r="G593" i="8"/>
  <c r="H286" i="8"/>
  <c r="G286" i="8"/>
  <c r="E286" i="8"/>
  <c r="E370" i="8"/>
  <c r="H370" i="8"/>
  <c r="G370" i="8"/>
  <c r="E811" i="8"/>
  <c r="H811" i="8"/>
  <c r="G811" i="8"/>
  <c r="H510" i="8"/>
  <c r="E510" i="8"/>
  <c r="G510" i="8"/>
  <c r="E187" i="8"/>
  <c r="G187" i="8"/>
  <c r="H187" i="8"/>
  <c r="H410" i="8"/>
  <c r="E410" i="8"/>
  <c r="G410" i="8"/>
  <c r="H160" i="7"/>
  <c r="O160" i="7" s="1"/>
  <c r="G160" i="7"/>
  <c r="E160" i="7"/>
  <c r="G880" i="8"/>
  <c r="E880" i="8"/>
  <c r="H880" i="8"/>
  <c r="H872" i="8"/>
  <c r="E872" i="8"/>
  <c r="G872" i="8"/>
  <c r="H83" i="7"/>
  <c r="O83" i="7" s="1"/>
  <c r="E83" i="7"/>
  <c r="G83" i="7"/>
  <c r="G158" i="7"/>
  <c r="H158" i="7"/>
  <c r="O158" i="7" s="1"/>
  <c r="E158" i="7"/>
  <c r="G386" i="8"/>
  <c r="E386" i="8"/>
  <c r="H386" i="8"/>
  <c r="H22" i="8"/>
  <c r="E22" i="8"/>
  <c r="G22" i="8"/>
  <c r="G198" i="8"/>
  <c r="H198" i="8"/>
  <c r="E198" i="8"/>
  <c r="H27" i="7"/>
  <c r="O27" i="7" s="1"/>
  <c r="E27" i="7"/>
  <c r="G27" i="7"/>
  <c r="E1082" i="8"/>
  <c r="H1082" i="8"/>
  <c r="G1082" i="8"/>
  <c r="E28" i="4"/>
  <c r="H28" i="4"/>
  <c r="O28" i="4" s="1"/>
  <c r="G28" i="4"/>
  <c r="E55" i="7"/>
  <c r="G55" i="7"/>
  <c r="H55" i="7"/>
  <c r="O55" i="7" s="1"/>
  <c r="E865" i="8"/>
  <c r="H865" i="8"/>
  <c r="G865" i="8"/>
  <c r="E155" i="7"/>
  <c r="H155" i="7"/>
  <c r="O155" i="7" s="1"/>
  <c r="G155" i="7"/>
  <c r="E702" i="8"/>
  <c r="G702" i="8"/>
  <c r="H702" i="8"/>
  <c r="G49" i="7"/>
  <c r="H49" i="7"/>
  <c r="O49" i="7" s="1"/>
  <c r="E49" i="7"/>
  <c r="H411" i="8"/>
  <c r="G411" i="8"/>
  <c r="E411" i="8"/>
  <c r="H138" i="8"/>
  <c r="G138" i="8"/>
  <c r="E138" i="8"/>
  <c r="H320" i="8"/>
  <c r="E320" i="8"/>
  <c r="G320" i="8"/>
  <c r="H209" i="8"/>
  <c r="G209" i="8"/>
  <c r="E209" i="8"/>
  <c r="H31" i="7"/>
  <c r="O31" i="7" s="1"/>
  <c r="G31" i="7"/>
  <c r="E31" i="7"/>
  <c r="E905" i="8"/>
  <c r="G905" i="8"/>
  <c r="H905" i="8"/>
  <c r="G170" i="7"/>
  <c r="E170" i="7"/>
  <c r="H170" i="7"/>
  <c r="O170" i="7" s="1"/>
  <c r="E33" i="8"/>
  <c r="G33" i="8"/>
  <c r="H33" i="8"/>
  <c r="G512" i="8"/>
  <c r="E512" i="8"/>
  <c r="H512" i="8"/>
  <c r="E1029" i="8"/>
  <c r="H1029" i="8"/>
  <c r="G1029" i="8"/>
  <c r="E327" i="8"/>
  <c r="G327" i="8"/>
  <c r="H327" i="8"/>
  <c r="G182" i="8"/>
  <c r="H182" i="8"/>
  <c r="E182" i="8"/>
  <c r="G160" i="8"/>
  <c r="H160" i="8"/>
  <c r="E160" i="8"/>
  <c r="E955" i="8"/>
  <c r="G955" i="8"/>
  <c r="H955" i="8"/>
  <c r="E120" i="8"/>
  <c r="H120" i="8"/>
  <c r="G120" i="8"/>
  <c r="G822" i="8"/>
  <c r="H822" i="8"/>
  <c r="E822" i="8"/>
  <c r="E747" i="8"/>
  <c r="G747" i="8"/>
  <c r="H747" i="8"/>
  <c r="H196" i="7"/>
  <c r="O196" i="7" s="1"/>
  <c r="E196" i="7"/>
  <c r="G196" i="7"/>
  <c r="E331" i="8"/>
  <c r="G331" i="8"/>
  <c r="H331" i="8"/>
  <c r="E113" i="7"/>
  <c r="G113" i="7"/>
  <c r="H113" i="7"/>
  <c r="O113" i="7" s="1"/>
  <c r="E770" i="8"/>
  <c r="G770" i="8"/>
  <c r="H770" i="8"/>
  <c r="G1043" i="8"/>
  <c r="H1043" i="8"/>
  <c r="E1043" i="8"/>
  <c r="E1000" i="8"/>
  <c r="G1000" i="8"/>
  <c r="H1000" i="8"/>
  <c r="G951" i="8"/>
  <c r="H951" i="8"/>
  <c r="E951" i="8"/>
  <c r="H384" i="8"/>
  <c r="E384" i="8"/>
  <c r="G384" i="8"/>
  <c r="E805" i="8"/>
  <c r="G805" i="8"/>
  <c r="H805" i="8"/>
  <c r="E773" i="8"/>
  <c r="H773" i="8"/>
  <c r="G773" i="8"/>
  <c r="E375" i="8"/>
  <c r="G375" i="8"/>
  <c r="H375" i="8"/>
  <c r="E1065" i="8"/>
  <c r="H1065" i="8"/>
  <c r="G1065" i="8"/>
  <c r="H374" i="8"/>
  <c r="G374" i="8"/>
  <c r="E374" i="8"/>
  <c r="H929" i="8"/>
  <c r="G929" i="8"/>
  <c r="E929" i="8"/>
  <c r="E914" i="8"/>
  <c r="G914" i="8"/>
  <c r="H914" i="8"/>
  <c r="G974" i="8"/>
  <c r="E974" i="8"/>
  <c r="H974" i="8"/>
  <c r="E610" i="8"/>
  <c r="H610" i="8"/>
  <c r="G610" i="8"/>
  <c r="G711" i="8"/>
  <c r="E711" i="8"/>
  <c r="H711" i="8"/>
  <c r="G293" i="8"/>
  <c r="H293" i="8"/>
  <c r="E293" i="8"/>
  <c r="G1113" i="8"/>
  <c r="E1113" i="8"/>
  <c r="H1113" i="8"/>
  <c r="H741" i="8"/>
  <c r="E741" i="8"/>
  <c r="G741" i="8"/>
  <c r="G414" i="8"/>
  <c r="H414" i="8"/>
  <c r="E414" i="8"/>
  <c r="E22" i="6"/>
  <c r="H22" i="6"/>
  <c r="O22" i="6" s="1"/>
  <c r="G22" i="6"/>
  <c r="G18" i="8"/>
  <c r="E18" i="8"/>
  <c r="H18" i="8"/>
  <c r="G633" i="8"/>
  <c r="H633" i="8"/>
  <c r="E633" i="8"/>
  <c r="H636" i="8"/>
  <c r="G636" i="8"/>
  <c r="E636" i="8"/>
  <c r="H731" i="8"/>
  <c r="E731" i="8"/>
  <c r="G731" i="8"/>
  <c r="G486" i="8"/>
  <c r="E486" i="8"/>
  <c r="H486" i="8"/>
  <c r="G159" i="7"/>
  <c r="E159" i="7"/>
  <c r="H159" i="7"/>
  <c r="O159" i="7" s="1"/>
  <c r="G122" i="8"/>
  <c r="H122" i="8"/>
  <c r="E122" i="8"/>
  <c r="H553" i="8"/>
  <c r="E553" i="8"/>
  <c r="G553" i="8"/>
  <c r="E127" i="7"/>
  <c r="H127" i="7"/>
  <c r="O127" i="7" s="1"/>
  <c r="G127" i="7"/>
  <c r="H394" i="8"/>
  <c r="G394" i="8"/>
  <c r="E394" i="8"/>
  <c r="H334" i="8"/>
  <c r="G334" i="8"/>
  <c r="E334" i="8"/>
  <c r="H643" i="8"/>
  <c r="G643" i="8"/>
  <c r="E643" i="8"/>
  <c r="H696" i="8"/>
  <c r="E696" i="8"/>
  <c r="G696" i="8"/>
  <c r="G85" i="8"/>
  <c r="E85" i="8"/>
  <c r="H85" i="8"/>
  <c r="G898" i="8"/>
  <c r="E898" i="8"/>
  <c r="H898" i="8"/>
  <c r="E1120" i="8"/>
  <c r="G1120" i="8"/>
  <c r="H1120" i="8"/>
  <c r="G248" i="8"/>
  <c r="E248" i="8"/>
  <c r="H248" i="8"/>
  <c r="E973" i="8"/>
  <c r="G973" i="8"/>
  <c r="H973" i="8"/>
  <c r="E415" i="8"/>
  <c r="G415" i="8"/>
  <c r="H415" i="8"/>
  <c r="G97" i="7"/>
  <c r="E97" i="7"/>
  <c r="H97" i="7"/>
  <c r="O97" i="7" s="1"/>
  <c r="G1090" i="8"/>
  <c r="E1090" i="8"/>
  <c r="H1090" i="8"/>
  <c r="H28" i="7"/>
  <c r="O28" i="7" s="1"/>
  <c r="G28" i="7"/>
  <c r="E28" i="7"/>
  <c r="H166" i="7"/>
  <c r="O166" i="7" s="1"/>
  <c r="E166" i="7"/>
  <c r="G166" i="7"/>
  <c r="E90" i="7"/>
  <c r="H90" i="7"/>
  <c r="O90" i="7" s="1"/>
  <c r="G90" i="7"/>
  <c r="G617" i="8"/>
  <c r="E617" i="8"/>
  <c r="H617" i="8"/>
  <c r="G453" i="8"/>
  <c r="E453" i="8"/>
  <c r="H453" i="8"/>
  <c r="G1058" i="8"/>
  <c r="E1058" i="8"/>
  <c r="H1058" i="8"/>
  <c r="H1038" i="8"/>
  <c r="E1038" i="8"/>
  <c r="G1038" i="8"/>
  <c r="E799" i="8"/>
  <c r="G799" i="8"/>
  <c r="H799" i="8"/>
  <c r="H157" i="7"/>
  <c r="O157" i="7" s="1"/>
  <c r="E157" i="7"/>
  <c r="G157" i="7"/>
  <c r="E471" i="8"/>
  <c r="H471" i="8"/>
  <c r="G471" i="8"/>
  <c r="E124" i="7"/>
  <c r="G124" i="7"/>
  <c r="H124" i="7"/>
  <c r="O124" i="7" s="1"/>
  <c r="G188" i="7"/>
  <c r="E188" i="7"/>
  <c r="H188" i="7"/>
  <c r="O188" i="7" s="1"/>
  <c r="H57" i="8"/>
  <c r="E57" i="8"/>
  <c r="G57" i="8"/>
  <c r="H848" i="8"/>
  <c r="G848" i="8"/>
  <c r="E848" i="8"/>
  <c r="E598" i="8"/>
  <c r="H598" i="8"/>
  <c r="G598" i="8"/>
  <c r="H409" i="8"/>
  <c r="G409" i="8"/>
  <c r="E409" i="8"/>
  <c r="G537" i="8"/>
  <c r="H537" i="8"/>
  <c r="E537" i="8"/>
  <c r="H163" i="8"/>
  <c r="E163" i="8"/>
  <c r="G163" i="8"/>
  <c r="H684" i="8"/>
  <c r="G684" i="8"/>
  <c r="E684" i="8"/>
  <c r="E137" i="7"/>
  <c r="H137" i="7"/>
  <c r="O137" i="7" s="1"/>
  <c r="G137" i="7"/>
  <c r="H1103" i="8"/>
  <c r="E1103" i="8"/>
  <c r="G1103" i="8"/>
  <c r="G745" i="8"/>
  <c r="E745" i="8"/>
  <c r="H745" i="8"/>
  <c r="H473" i="8"/>
  <c r="E473" i="8"/>
  <c r="G473" i="8"/>
  <c r="E1019" i="8"/>
  <c r="G1019" i="8"/>
  <c r="H1019" i="8"/>
  <c r="G568" i="8"/>
  <c r="H568" i="8"/>
  <c r="E568" i="8"/>
  <c r="E1069" i="8"/>
  <c r="H1069" i="8"/>
  <c r="G1069" i="8"/>
  <c r="E998" i="8"/>
  <c r="H998" i="8"/>
  <c r="G998" i="8"/>
  <c r="G241" i="8"/>
  <c r="H241" i="8"/>
  <c r="E241" i="8"/>
  <c r="G612" i="8"/>
  <c r="E612" i="8"/>
  <c r="H612" i="8"/>
  <c r="G32" i="8"/>
  <c r="H32" i="8"/>
  <c r="E32" i="8"/>
  <c r="G934" i="8"/>
  <c r="H934" i="8"/>
  <c r="E934" i="8"/>
  <c r="H708" i="8"/>
  <c r="E708" i="8"/>
  <c r="G708" i="8"/>
  <c r="H174" i="7"/>
  <c r="O174" i="7" s="1"/>
  <c r="G174" i="7"/>
  <c r="E174" i="7"/>
  <c r="G46" i="7"/>
  <c r="H46" i="7"/>
  <c r="O46" i="7" s="1"/>
  <c r="E46" i="7"/>
  <c r="G658" i="8"/>
  <c r="H658" i="8"/>
  <c r="E658" i="8"/>
  <c r="G250" i="8"/>
  <c r="E250" i="8"/>
  <c r="H250" i="8"/>
  <c r="G197" i="7"/>
  <c r="E197" i="7"/>
  <c r="H197" i="7"/>
  <c r="O197" i="7" s="1"/>
  <c r="E521" i="8"/>
  <c r="H521" i="8"/>
  <c r="G521" i="8"/>
  <c r="G211" i="8"/>
  <c r="H211" i="8"/>
  <c r="E211" i="8"/>
  <c r="H869" i="8"/>
  <c r="E869" i="8"/>
  <c r="G869" i="8"/>
  <c r="E465" i="8"/>
  <c r="G465" i="8"/>
  <c r="H465" i="8"/>
  <c r="H899" i="8"/>
  <c r="G899" i="8"/>
  <c r="E899" i="8"/>
  <c r="G63" i="8"/>
  <c r="E63" i="8"/>
  <c r="H63" i="8"/>
  <c r="H204" i="8"/>
  <c r="E204" i="8"/>
  <c r="G204" i="8"/>
  <c r="H795" i="8"/>
  <c r="G795" i="8"/>
  <c r="E795" i="8"/>
  <c r="H850" i="8"/>
  <c r="G850" i="8"/>
  <c r="E850" i="8"/>
  <c r="E1033" i="8"/>
  <c r="G1033" i="8"/>
  <c r="H1033" i="8"/>
  <c r="E134" i="7"/>
  <c r="G134" i="7"/>
  <c r="H134" i="7"/>
  <c r="O134" i="7" s="1"/>
  <c r="G857" i="8"/>
  <c r="E857" i="8"/>
  <c r="H857" i="8"/>
  <c r="E412" i="8"/>
  <c r="H412" i="8"/>
  <c r="G412" i="8"/>
  <c r="H887" i="8"/>
  <c r="G887" i="8"/>
  <c r="E887" i="8"/>
  <c r="E109" i="8"/>
  <c r="G109" i="8"/>
  <c r="H109" i="8"/>
  <c r="G117" i="7"/>
  <c r="E117" i="7"/>
  <c r="H117" i="7"/>
  <c r="O117" i="7" s="1"/>
  <c r="G921" i="8"/>
  <c r="H921" i="8"/>
  <c r="E921" i="8"/>
  <c r="H256" i="8"/>
  <c r="E256" i="8"/>
  <c r="G256" i="8"/>
  <c r="E689" i="8"/>
  <c r="H689" i="8"/>
  <c r="G689" i="8"/>
  <c r="H389" i="8"/>
  <c r="G389" i="8"/>
  <c r="E389" i="8"/>
  <c r="E576" i="8"/>
  <c r="G576" i="8"/>
  <c r="H576" i="8"/>
  <c r="H460" i="8"/>
  <c r="G460" i="8"/>
  <c r="E460" i="8"/>
  <c r="H23" i="6"/>
  <c r="O23" i="6" s="1"/>
  <c r="E23" i="6"/>
  <c r="G23" i="6"/>
  <c r="E12" i="5"/>
  <c r="H12" i="5"/>
  <c r="O12" i="5" s="1"/>
  <c r="H108" i="8"/>
  <c r="G108" i="8"/>
  <c r="E108" i="8"/>
  <c r="G947" i="8"/>
  <c r="E947" i="8"/>
  <c r="H947" i="8"/>
  <c r="H1080" i="8"/>
  <c r="E1080" i="8"/>
  <c r="G1080" i="8"/>
  <c r="H820" i="8"/>
  <c r="G820" i="8"/>
  <c r="E820" i="8"/>
  <c r="H94" i="8"/>
  <c r="G94" i="8"/>
  <c r="E94" i="8"/>
  <c r="E1031" i="8"/>
  <c r="G1031" i="8"/>
  <c r="H1031" i="8"/>
  <c r="G161" i="8"/>
  <c r="E161" i="8"/>
  <c r="H161" i="8"/>
  <c r="E105" i="8"/>
  <c r="G105" i="8"/>
  <c r="H105" i="8"/>
  <c r="H559" i="8"/>
  <c r="G559" i="8"/>
  <c r="E559" i="8"/>
  <c r="H474" i="8"/>
  <c r="E474" i="8"/>
  <c r="G474" i="8"/>
  <c r="G31" i="4"/>
  <c r="H31" i="4"/>
  <c r="O31" i="4" s="1"/>
  <c r="E31" i="4"/>
  <c r="G366" i="8"/>
  <c r="E366" i="8"/>
  <c r="H366" i="8"/>
  <c r="E840" i="8"/>
  <c r="G840" i="8"/>
  <c r="H840" i="8"/>
  <c r="H269" i="8"/>
  <c r="G269" i="8"/>
  <c r="E269" i="8"/>
  <c r="E28" i="8"/>
  <c r="H28" i="8"/>
  <c r="G28" i="8"/>
  <c r="H831" i="8"/>
  <c r="E831" i="8"/>
  <c r="G831" i="8"/>
  <c r="E38" i="7"/>
  <c r="H38" i="7"/>
  <c r="O38" i="7" s="1"/>
  <c r="G38" i="7"/>
  <c r="H1073" i="8"/>
  <c r="G1073" i="8"/>
  <c r="E1073" i="8"/>
  <c r="G187" i="7"/>
  <c r="H187" i="7"/>
  <c r="O187" i="7" s="1"/>
  <c r="E187" i="7"/>
  <c r="G997" i="8"/>
  <c r="H997" i="8"/>
  <c r="E997" i="8"/>
  <c r="G829" i="8"/>
  <c r="E829" i="8"/>
  <c r="H829" i="8"/>
  <c r="G1102" i="8"/>
  <c r="H1102" i="8"/>
  <c r="E1102" i="8"/>
  <c r="G371" i="8"/>
  <c r="E371" i="8"/>
  <c r="H371" i="8"/>
  <c r="G517" i="8"/>
  <c r="E517" i="8"/>
  <c r="H517" i="8"/>
  <c r="E1107" i="8"/>
  <c r="H1107" i="8"/>
  <c r="G1107" i="8"/>
  <c r="E1063" i="8"/>
  <c r="H1063" i="8"/>
  <c r="G1063" i="8"/>
  <c r="E578" i="8"/>
  <c r="G578" i="8"/>
  <c r="H578" i="8"/>
  <c r="H551" i="8"/>
  <c r="G551" i="8"/>
  <c r="E551" i="8"/>
  <c r="H56" i="8"/>
  <c r="E56" i="8"/>
  <c r="G56" i="8"/>
  <c r="H391" i="8"/>
  <c r="E391" i="8"/>
  <c r="G391" i="8"/>
  <c r="E96" i="7"/>
  <c r="H96" i="7"/>
  <c r="O96" i="7" s="1"/>
  <c r="G96" i="7"/>
  <c r="E691" i="8"/>
  <c r="H691" i="8"/>
  <c r="G691" i="8"/>
  <c r="H14" i="4"/>
  <c r="O14" i="4" s="1"/>
  <c r="E14" i="4"/>
  <c r="G14" i="4"/>
  <c r="H37" i="8"/>
  <c r="G37" i="8"/>
  <c r="E37" i="8"/>
  <c r="E326" i="8"/>
  <c r="H326" i="8"/>
  <c r="G326" i="8"/>
  <c r="G564" i="8"/>
  <c r="E564" i="8"/>
  <c r="H564" i="8"/>
  <c r="G197" i="8"/>
  <c r="H197" i="8"/>
  <c r="E197" i="8"/>
  <c r="G210" i="7"/>
  <c r="E210" i="7"/>
  <c r="H210" i="7"/>
  <c r="O210" i="7" s="1"/>
  <c r="H753" i="8"/>
  <c r="E753" i="8"/>
  <c r="G753" i="8"/>
  <c r="E570" i="8"/>
  <c r="H570" i="8"/>
  <c r="G570" i="8"/>
  <c r="G1032" i="8"/>
  <c r="E1032" i="8"/>
  <c r="H1032" i="8"/>
  <c r="G674" i="8"/>
  <c r="E674" i="8"/>
  <c r="H674" i="8"/>
  <c r="E509" i="8"/>
  <c r="H509" i="8"/>
  <c r="G509" i="8"/>
  <c r="H49" i="8"/>
  <c r="E49" i="8"/>
  <c r="G49" i="8"/>
  <c r="G397" i="8"/>
  <c r="E397" i="8"/>
  <c r="H397" i="8"/>
  <c r="H152" i="7"/>
  <c r="O152" i="7" s="1"/>
  <c r="G152" i="7"/>
  <c r="E152" i="7"/>
  <c r="H111" i="7"/>
  <c r="O111" i="7" s="1"/>
  <c r="E111" i="7"/>
  <c r="G111" i="7"/>
  <c r="E928" i="8"/>
  <c r="H928" i="8"/>
  <c r="G928" i="8"/>
  <c r="H659" i="8"/>
  <c r="E659" i="8"/>
  <c r="G659" i="8"/>
  <c r="E426" i="8"/>
  <c r="H426" i="8"/>
  <c r="G426" i="8"/>
  <c r="H662" i="8"/>
  <c r="G662" i="8"/>
  <c r="E662" i="8"/>
  <c r="G25" i="8"/>
  <c r="H25" i="8"/>
  <c r="E25" i="8"/>
  <c r="E380" i="8"/>
  <c r="G380" i="8"/>
  <c r="H380" i="8"/>
  <c r="E396" i="8"/>
  <c r="H396" i="8"/>
  <c r="G396" i="8"/>
  <c r="E875" i="8"/>
  <c r="H875" i="8"/>
  <c r="G875" i="8"/>
  <c r="E912" i="8"/>
  <c r="H912" i="8"/>
  <c r="G912" i="8"/>
  <c r="H767" i="8"/>
  <c r="E767" i="8"/>
  <c r="G767" i="8"/>
  <c r="H903" i="8"/>
  <c r="E903" i="8"/>
  <c r="G903" i="8"/>
  <c r="H796" i="8"/>
  <c r="E796" i="8"/>
  <c r="G796" i="8"/>
  <c r="E115" i="7"/>
  <c r="H115" i="7"/>
  <c r="O115" i="7" s="1"/>
  <c r="G115" i="7"/>
  <c r="H153" i="7"/>
  <c r="O153" i="7" s="1"/>
  <c r="G153" i="7"/>
  <c r="E153" i="7"/>
  <c r="E23" i="1"/>
  <c r="H154" i="7"/>
  <c r="O154" i="7" s="1"/>
  <c r="E154" i="7"/>
  <c r="G154" i="7"/>
  <c r="E90" i="8"/>
  <c r="G90" i="8"/>
  <c r="H90" i="8"/>
  <c r="E136" i="7"/>
  <c r="G136" i="7"/>
  <c r="H136" i="7"/>
  <c r="O136" i="7" s="1"/>
  <c r="H36" i="8"/>
  <c r="G36" i="8"/>
  <c r="E36" i="8"/>
  <c r="H126" i="8"/>
  <c r="E126" i="8"/>
  <c r="G126" i="8"/>
  <c r="H577" i="8"/>
  <c r="E577" i="8"/>
  <c r="G577" i="8"/>
  <c r="H18" i="4"/>
  <c r="O18" i="4" s="1"/>
  <c r="G18" i="4"/>
  <c r="E18" i="4"/>
  <c r="H175" i="7"/>
  <c r="O175" i="7" s="1"/>
  <c r="G175" i="7"/>
  <c r="E175" i="7"/>
  <c r="G683" i="8"/>
  <c r="E683" i="8"/>
  <c r="H683" i="8"/>
  <c r="H792" i="8"/>
  <c r="G792" i="8"/>
  <c r="E792" i="8"/>
  <c r="G817" i="8"/>
  <c r="H817" i="8"/>
  <c r="E817" i="8"/>
  <c r="H177" i="8"/>
  <c r="G177" i="8"/>
  <c r="E177" i="8"/>
  <c r="G393" i="8"/>
  <c r="H393" i="8"/>
  <c r="E393" i="8"/>
  <c r="G177" i="7"/>
  <c r="H177" i="7"/>
  <c r="O177" i="7" s="1"/>
  <c r="E177" i="7"/>
  <c r="E57" i="7"/>
  <c r="H57" i="7"/>
  <c r="O57" i="7" s="1"/>
  <c r="G57" i="7"/>
  <c r="E159" i="8"/>
  <c r="G159" i="8"/>
  <c r="H159" i="8"/>
  <c r="G135" i="7"/>
  <c r="E135" i="7"/>
  <c r="H135" i="7"/>
  <c r="O135" i="7" s="1"/>
  <c r="G886" i="8"/>
  <c r="H886" i="8"/>
  <c r="E886" i="8"/>
  <c r="E19" i="7"/>
  <c r="H19" i="7"/>
  <c r="O19" i="7" s="1"/>
  <c r="G19" i="7"/>
  <c r="H945" i="8"/>
  <c r="E945" i="8"/>
  <c r="G945" i="8"/>
  <c r="H900" i="8"/>
  <c r="E900" i="8"/>
  <c r="G900" i="8"/>
  <c r="H390" i="8"/>
  <c r="E390" i="8"/>
  <c r="G390" i="8"/>
  <c r="G1042" i="8"/>
  <c r="E1042" i="8"/>
  <c r="H1042" i="8"/>
  <c r="E715" i="8"/>
  <c r="G715" i="8"/>
  <c r="H715" i="8"/>
  <c r="G874" i="8"/>
  <c r="E874" i="8"/>
  <c r="H874" i="8"/>
  <c r="H144" i="8"/>
  <c r="E144" i="8"/>
  <c r="G144" i="8"/>
  <c r="H76" i="8"/>
  <c r="E76" i="8"/>
  <c r="G76" i="8"/>
  <c r="G986" i="8"/>
  <c r="H986" i="8"/>
  <c r="E986" i="8"/>
  <c r="H812" i="8"/>
  <c r="E812" i="8"/>
  <c r="G812" i="8"/>
  <c r="H713" i="8"/>
  <c r="G713" i="8"/>
  <c r="E713" i="8"/>
  <c r="G213" i="8"/>
  <c r="H213" i="8"/>
  <c r="E213" i="8"/>
  <c r="G602" i="8"/>
  <c r="E602" i="8"/>
  <c r="H602" i="8"/>
  <c r="G88" i="8"/>
  <c r="E88" i="8"/>
  <c r="H88" i="8"/>
  <c r="G87" i="8"/>
  <c r="H87" i="8"/>
  <c r="E87" i="8"/>
  <c r="E600" i="8"/>
  <c r="G600" i="8"/>
  <c r="H600" i="8"/>
  <c r="H1084" i="8"/>
  <c r="G1084" i="8"/>
  <c r="E1084" i="8"/>
  <c r="G129" i="8"/>
  <c r="E129" i="8"/>
  <c r="H129" i="8"/>
  <c r="H425" i="8"/>
  <c r="G425" i="8"/>
  <c r="E425" i="8"/>
  <c r="G871" i="8"/>
  <c r="H871" i="8"/>
  <c r="E871" i="8"/>
  <c r="E710" i="8"/>
  <c r="G710" i="8"/>
  <c r="H710" i="8"/>
  <c r="H581" i="8"/>
  <c r="E581" i="8"/>
  <c r="G581" i="8"/>
  <c r="G677" i="8"/>
  <c r="H677" i="8"/>
  <c r="E677" i="8"/>
  <c r="E12" i="4"/>
  <c r="G12" i="4"/>
  <c r="H12" i="4"/>
  <c r="O12" i="4" s="1"/>
  <c r="E77" i="8"/>
  <c r="G77" i="8"/>
  <c r="H77" i="8"/>
  <c r="G1093" i="8"/>
  <c r="H1093" i="8"/>
  <c r="E1093" i="8"/>
  <c r="H896" i="8"/>
  <c r="E896" i="8"/>
  <c r="G896" i="8"/>
  <c r="G163" i="7"/>
  <c r="H163" i="7"/>
  <c r="O163" i="7" s="1"/>
  <c r="E163" i="7"/>
  <c r="H11" i="7"/>
  <c r="E11" i="7"/>
  <c r="G11" i="7"/>
  <c r="G275" i="8"/>
  <c r="H275" i="8"/>
  <c r="E275" i="8"/>
  <c r="E115" i="8"/>
  <c r="H115" i="8"/>
  <c r="G115" i="8"/>
  <c r="H98" i="7"/>
  <c r="O98" i="7" s="1"/>
  <c r="G98" i="7"/>
  <c r="E98" i="7"/>
  <c r="E937" i="8"/>
  <c r="H937" i="8"/>
  <c r="G937" i="8"/>
  <c r="G45" i="8"/>
  <c r="H45" i="8"/>
  <c r="E45" i="8"/>
  <c r="H742" i="8"/>
  <c r="E742" i="8"/>
  <c r="G742" i="8"/>
  <c r="E833" i="8"/>
  <c r="G833" i="8"/>
  <c r="H833" i="8"/>
  <c r="E519" i="8"/>
  <c r="G519" i="8"/>
  <c r="H519" i="8"/>
  <c r="G169" i="8"/>
  <c r="H169" i="8"/>
  <c r="E169" i="8"/>
  <c r="H1041" i="8"/>
  <c r="G1041" i="8"/>
  <c r="E1041" i="8"/>
  <c r="G45" i="7"/>
  <c r="H45" i="7"/>
  <c r="O45" i="7" s="1"/>
  <c r="E45" i="7"/>
  <c r="G145" i="7"/>
  <c r="H145" i="7"/>
  <c r="O145" i="7" s="1"/>
  <c r="E145" i="7"/>
  <c r="E41" i="8"/>
  <c r="G41" i="8"/>
  <c r="H41" i="8"/>
  <c r="H673" i="8"/>
  <c r="G673" i="8"/>
  <c r="E673" i="8"/>
  <c r="E1028" i="8"/>
  <c r="H1028" i="8"/>
  <c r="G1028" i="8"/>
  <c r="H201" i="7"/>
  <c r="O201" i="7" s="1"/>
  <c r="E201" i="7"/>
  <c r="G201" i="7"/>
  <c r="G162" i="8"/>
  <c r="H162" i="8"/>
  <c r="E162" i="8"/>
  <c r="G1096" i="8"/>
  <c r="H1096" i="8"/>
  <c r="E1096" i="8"/>
  <c r="H303" i="8"/>
  <c r="G303" i="8"/>
  <c r="E303" i="8"/>
  <c r="H727" i="8"/>
  <c r="G727" i="8"/>
  <c r="E727" i="8"/>
  <c r="G661" i="8"/>
  <c r="H661" i="8"/>
  <c r="E661" i="8"/>
  <c r="H762" i="8"/>
  <c r="G762" i="8"/>
  <c r="E762" i="8"/>
  <c r="E720" i="8"/>
  <c r="G720" i="8"/>
  <c r="H720" i="8"/>
  <c r="H724" i="8"/>
  <c r="E724" i="8"/>
  <c r="G724" i="8"/>
  <c r="H38" i="8"/>
  <c r="G38" i="8"/>
  <c r="E38" i="8"/>
  <c r="E55" i="8"/>
  <c r="H55" i="8"/>
  <c r="G55" i="8"/>
  <c r="G272" i="8"/>
  <c r="E272" i="8"/>
  <c r="H272" i="8"/>
  <c r="E183" i="8"/>
  <c r="H183" i="8"/>
  <c r="G183" i="8"/>
  <c r="E656" i="8"/>
  <c r="G656" i="8"/>
  <c r="H656" i="8"/>
  <c r="H1053" i="8"/>
  <c r="E1053" i="8"/>
  <c r="G1053" i="8"/>
  <c r="E670" i="8"/>
  <c r="G670" i="8"/>
  <c r="H670" i="8"/>
  <c r="H480" i="8"/>
  <c r="E480" i="8"/>
  <c r="G480" i="8"/>
  <c r="E11" i="6"/>
  <c r="G11" i="6"/>
  <c r="H11" i="6"/>
  <c r="G554" i="8"/>
  <c r="H554" i="8"/>
  <c r="E554" i="8"/>
  <c r="H567" i="8"/>
  <c r="G567" i="8"/>
  <c r="E567" i="8"/>
  <c r="E193" i="7"/>
  <c r="G193" i="7"/>
  <c r="H193" i="7"/>
  <c r="O193" i="7" s="1"/>
  <c r="G353" i="8"/>
  <c r="E353" i="8"/>
  <c r="H353" i="8"/>
  <c r="H861" i="8"/>
  <c r="G861" i="8"/>
  <c r="E861" i="8"/>
  <c r="E308" i="8"/>
  <c r="H308" i="8"/>
  <c r="G308" i="8"/>
  <c r="E102" i="8"/>
  <c r="H102" i="8"/>
  <c r="G102" i="8"/>
  <c r="E680" i="8"/>
  <c r="H680" i="8"/>
  <c r="G680" i="8"/>
  <c r="H188" i="8"/>
  <c r="G188" i="8"/>
  <c r="E188" i="8"/>
  <c r="E114" i="8"/>
  <c r="H114" i="8"/>
  <c r="G114" i="8"/>
  <c r="H309" i="8"/>
  <c r="E309" i="8"/>
  <c r="G309" i="8"/>
  <c r="G717" i="8"/>
  <c r="H717" i="8"/>
  <c r="E717" i="8"/>
  <c r="H561" i="8"/>
  <c r="G561" i="8"/>
  <c r="E561" i="8"/>
  <c r="G923" i="8"/>
  <c r="H923" i="8"/>
  <c r="E923" i="8"/>
  <c r="H797" i="8"/>
  <c r="E797" i="8"/>
  <c r="G797" i="8"/>
  <c r="G851" i="8"/>
  <c r="E851" i="8"/>
  <c r="H851" i="8"/>
  <c r="E13" i="1"/>
  <c r="E954" i="8"/>
  <c r="G954" i="8"/>
  <c r="H954" i="8"/>
  <c r="E362" i="8"/>
  <c r="G362" i="8"/>
  <c r="H362" i="8"/>
  <c r="G367" i="8"/>
  <c r="E367" i="8"/>
  <c r="H367" i="8"/>
  <c r="G520" i="8"/>
  <c r="E520" i="8"/>
  <c r="H520" i="8"/>
  <c r="H584" i="8"/>
  <c r="E584" i="8"/>
  <c r="G584" i="8"/>
  <c r="H714" i="8"/>
  <c r="G714" i="8"/>
  <c r="E714" i="8"/>
  <c r="E247" i="8"/>
  <c r="H247" i="8"/>
  <c r="G247" i="8"/>
  <c r="G323" i="8"/>
  <c r="E323" i="8"/>
  <c r="H323" i="8"/>
  <c r="G736" i="8"/>
  <c r="E736" i="8"/>
  <c r="H736" i="8"/>
  <c r="E98" i="8"/>
  <c r="G98" i="8"/>
  <c r="H98" i="8"/>
  <c r="E214" i="8"/>
  <c r="H214" i="8"/>
  <c r="G214" i="8"/>
  <c r="H64" i="8"/>
  <c r="G64" i="8"/>
  <c r="E64" i="8"/>
  <c r="E139" i="8"/>
  <c r="H139" i="8"/>
  <c r="G139" i="8"/>
  <c r="E457" i="8"/>
  <c r="G457" i="8"/>
  <c r="H457" i="8"/>
  <c r="G729" i="8"/>
  <c r="E729" i="8"/>
  <c r="H729" i="8"/>
  <c r="E35" i="8"/>
  <c r="H35" i="8"/>
  <c r="G35" i="8"/>
  <c r="H436" i="8"/>
  <c r="E436" i="8"/>
  <c r="G436" i="8"/>
  <c r="H11" i="8"/>
  <c r="G11" i="8"/>
  <c r="E11" i="8"/>
  <c r="G783" i="8"/>
  <c r="H783" i="8"/>
  <c r="E783" i="8"/>
  <c r="H251" i="8"/>
  <c r="G251" i="8"/>
  <c r="E251" i="8"/>
  <c r="E485" i="8"/>
  <c r="H485" i="8"/>
  <c r="G485" i="8"/>
  <c r="G1109" i="8"/>
  <c r="E1109" i="8"/>
  <c r="H1109" i="8"/>
  <c r="G106" i="7"/>
  <c r="H106" i="7"/>
  <c r="O106" i="7" s="1"/>
  <c r="E106" i="7"/>
  <c r="H442" i="8"/>
  <c r="G442" i="8"/>
  <c r="E442" i="8"/>
  <c r="E82" i="8"/>
  <c r="H82" i="8"/>
  <c r="G82" i="8"/>
  <c r="G1044" i="8"/>
  <c r="H1044" i="8"/>
  <c r="E1044" i="8"/>
  <c r="E575" i="8"/>
  <c r="G575" i="8"/>
  <c r="H575" i="8"/>
  <c r="G352" i="8"/>
  <c r="H352" i="8"/>
  <c r="E352" i="8"/>
  <c r="G892" i="8"/>
  <c r="E892" i="8"/>
  <c r="H892" i="8"/>
  <c r="G908" i="8"/>
  <c r="E908" i="8"/>
  <c r="H908" i="8"/>
  <c r="H348" i="8"/>
  <c r="E348" i="8"/>
  <c r="G348" i="8"/>
  <c r="H1017" i="8"/>
  <c r="G1017" i="8"/>
  <c r="E1017" i="8"/>
  <c r="G698" i="8"/>
  <c r="E698" i="8"/>
  <c r="H698" i="8"/>
  <c r="H531" i="8"/>
  <c r="E531" i="8"/>
  <c r="G531" i="8"/>
  <c r="G152" i="8"/>
  <c r="H152" i="8"/>
  <c r="E152" i="8"/>
  <c r="G976" i="8"/>
  <c r="H976" i="8"/>
  <c r="E976" i="8"/>
  <c r="H16" i="8"/>
  <c r="E16" i="8"/>
  <c r="G16" i="8"/>
  <c r="E624" i="8"/>
  <c r="G624" i="8"/>
  <c r="H624" i="8"/>
  <c r="G133" i="8"/>
  <c r="H133" i="8"/>
  <c r="E133" i="8"/>
  <c r="H574" i="8"/>
  <c r="G574" i="8"/>
  <c r="E574" i="8"/>
  <c r="G771" i="8"/>
  <c r="E771" i="8"/>
  <c r="H771" i="8"/>
  <c r="E150" i="7"/>
  <c r="G150" i="7"/>
  <c r="H150" i="7"/>
  <c r="O150" i="7" s="1"/>
  <c r="G777" i="8"/>
  <c r="H777" i="8"/>
  <c r="E777" i="8"/>
  <c r="H982" i="8"/>
  <c r="G982" i="8"/>
  <c r="E982" i="8"/>
  <c r="G778" i="8"/>
  <c r="E778" i="8"/>
  <c r="H778" i="8"/>
  <c r="G626" i="8"/>
  <c r="E626" i="8"/>
  <c r="H626" i="8"/>
  <c r="G751" i="8"/>
  <c r="E751" i="8"/>
  <c r="H751" i="8"/>
  <c r="E212" i="8"/>
  <c r="H212" i="8"/>
  <c r="G212" i="8"/>
  <c r="E524" i="8"/>
  <c r="H524" i="8"/>
  <c r="G524" i="8"/>
  <c r="G652" i="8"/>
  <c r="E652" i="8"/>
  <c r="H652" i="8"/>
  <c r="E806" i="8"/>
  <c r="G806" i="8"/>
  <c r="H806" i="8"/>
  <c r="E215" i="7"/>
  <c r="G215" i="7"/>
  <c r="H215" i="7"/>
  <c r="O215" i="7" s="1"/>
  <c r="E15" i="1"/>
  <c r="G202" i="7"/>
  <c r="H202" i="7"/>
  <c r="O202" i="7" s="1"/>
  <c r="E202" i="7"/>
  <c r="G1018" i="8"/>
  <c r="E1018" i="8"/>
  <c r="H1018" i="8"/>
  <c r="E252" i="8"/>
  <c r="G252" i="8"/>
  <c r="H252" i="8"/>
  <c r="H324" i="8"/>
  <c r="E324" i="8"/>
  <c r="G324" i="8"/>
  <c r="E1125" i="8"/>
  <c r="G1125" i="8"/>
  <c r="H1125" i="8"/>
  <c r="G704" i="8"/>
  <c r="E704" i="8"/>
  <c r="H704" i="8"/>
  <c r="E249" i="8"/>
  <c r="H249" i="8"/>
  <c r="G249" i="8"/>
  <c r="G819" i="8"/>
  <c r="E819" i="8"/>
  <c r="H819" i="8"/>
  <c r="E238" i="8"/>
  <c r="H238" i="8"/>
  <c r="G238" i="8"/>
  <c r="G952" i="8"/>
  <c r="E952" i="8"/>
  <c r="H952" i="8"/>
  <c r="E26" i="7"/>
  <c r="G26" i="7"/>
  <c r="H26" i="7"/>
  <c r="O26" i="7" s="1"/>
  <c r="G1052" i="8"/>
  <c r="H1052" i="8"/>
  <c r="E1052" i="8"/>
  <c r="H63" i="7"/>
  <c r="O63" i="7" s="1"/>
  <c r="E63" i="7"/>
  <c r="G63" i="7"/>
  <c r="G501" i="8"/>
  <c r="H501" i="8"/>
  <c r="E501" i="8"/>
  <c r="G548" i="8"/>
  <c r="E548" i="8"/>
  <c r="H548" i="8"/>
  <c r="H427" i="8"/>
  <c r="E427" i="8"/>
  <c r="G427" i="8"/>
  <c r="E475" i="8"/>
  <c r="G475" i="8"/>
  <c r="H475" i="8"/>
  <c r="E137" i="8"/>
  <c r="H137" i="8"/>
  <c r="G137" i="8"/>
  <c r="E629" i="8"/>
  <c r="H629" i="8"/>
  <c r="G629" i="8"/>
  <c r="H262" i="8"/>
  <c r="G262" i="8"/>
  <c r="E262" i="8"/>
  <c r="G401" i="8"/>
  <c r="H401" i="8"/>
  <c r="E401" i="8"/>
  <c r="E116" i="8"/>
  <c r="G116" i="8"/>
  <c r="H116" i="8"/>
  <c r="E184" i="8"/>
  <c r="G184" i="8"/>
  <c r="H184" i="8"/>
  <c r="H270" i="8"/>
  <c r="E270" i="8"/>
  <c r="G270" i="8"/>
  <c r="E456" i="8"/>
  <c r="H456" i="8"/>
  <c r="G456" i="8"/>
  <c r="E433" i="8"/>
  <c r="H433" i="8"/>
  <c r="G433" i="8"/>
  <c r="H881" i="8"/>
  <c r="G881" i="8"/>
  <c r="E881" i="8"/>
  <c r="H583" i="8"/>
  <c r="G583" i="8"/>
  <c r="E583" i="8"/>
  <c r="E1136" i="8"/>
  <c r="H1136" i="8"/>
  <c r="G1136" i="8"/>
  <c r="E75" i="8"/>
  <c r="G75" i="8"/>
  <c r="H75" i="8"/>
  <c r="E1062" i="8"/>
  <c r="G1062" i="8"/>
  <c r="H1062" i="8"/>
  <c r="H936" i="8"/>
  <c r="G936" i="8"/>
  <c r="E936" i="8"/>
  <c r="E1132" i="8"/>
  <c r="G1132" i="8"/>
  <c r="H1132" i="8"/>
  <c r="E131" i="8"/>
  <c r="H131" i="8"/>
  <c r="G131" i="8"/>
  <c r="E603" i="8"/>
  <c r="G603" i="8"/>
  <c r="H603" i="8"/>
  <c r="H818" i="8"/>
  <c r="G818" i="8"/>
  <c r="E818" i="8"/>
  <c r="E236" i="8"/>
  <c r="G236" i="8"/>
  <c r="H236" i="8"/>
  <c r="H867" i="8"/>
  <c r="E867" i="8"/>
  <c r="G867" i="8"/>
  <c r="E418" i="8"/>
  <c r="G418" i="8"/>
  <c r="H418" i="8"/>
  <c r="H915" i="8"/>
  <c r="E915" i="8"/>
  <c r="G915" i="8"/>
  <c r="H965" i="8"/>
  <c r="E965" i="8"/>
  <c r="G965" i="8"/>
  <c r="G821" i="8"/>
  <c r="E821" i="8"/>
  <c r="H821" i="8"/>
  <c r="E95" i="8"/>
  <c r="G95" i="8"/>
  <c r="H95" i="8"/>
  <c r="G1040" i="8"/>
  <c r="H1040" i="8"/>
  <c r="E1040" i="8"/>
  <c r="H47" i="8"/>
  <c r="G47" i="8"/>
  <c r="E47" i="8"/>
  <c r="E802" i="8"/>
  <c r="H802" i="8"/>
  <c r="G802" i="8"/>
  <c r="H1074" i="8"/>
  <c r="E1074" i="8"/>
  <c r="G1074" i="8"/>
  <c r="G26" i="8"/>
  <c r="H26" i="8"/>
  <c r="E26" i="8"/>
  <c r="H843" i="8"/>
  <c r="G843" i="8"/>
  <c r="E843" i="8"/>
  <c r="G987" i="8"/>
  <c r="H987" i="8"/>
  <c r="E987" i="8"/>
  <c r="G214" i="7"/>
  <c r="E214" i="7"/>
  <c r="H214" i="7"/>
  <c r="O214" i="7" s="1"/>
  <c r="G254" i="8"/>
  <c r="H254" i="8"/>
  <c r="E254" i="8"/>
  <c r="H1057" i="8"/>
  <c r="G1057" i="8"/>
  <c r="E1057" i="8"/>
  <c r="G873" i="8"/>
  <c r="E873" i="8"/>
  <c r="H873" i="8"/>
  <c r="H61" i="8"/>
  <c r="E61" i="8"/>
  <c r="G61" i="8"/>
  <c r="G977" i="8"/>
  <c r="H977" i="8"/>
  <c r="E977" i="8"/>
  <c r="H625" i="8"/>
  <c r="E625" i="8"/>
  <c r="G625" i="8"/>
  <c r="E234" i="8"/>
  <c r="G234" i="8"/>
  <c r="H234" i="8"/>
  <c r="G911" i="8"/>
  <c r="E911" i="8"/>
  <c r="H911" i="8"/>
  <c r="G119" i="8"/>
  <c r="H119" i="8"/>
  <c r="E119" i="8"/>
  <c r="G421" i="8"/>
  <c r="H421" i="8"/>
  <c r="E421" i="8"/>
  <c r="G174" i="8"/>
  <c r="E174" i="8"/>
  <c r="H174" i="8"/>
  <c r="G499" i="8"/>
  <c r="H499" i="8"/>
  <c r="E499" i="8"/>
  <c r="H1011" i="8"/>
  <c r="G1011" i="8"/>
  <c r="E1011" i="8"/>
  <c r="E535" i="8"/>
  <c r="G535" i="8"/>
  <c r="H535" i="8"/>
  <c r="H1118" i="8"/>
  <c r="G1118" i="8"/>
  <c r="E1118" i="8"/>
  <c r="E1133" i="8"/>
  <c r="G1133" i="8"/>
  <c r="H1133" i="8"/>
  <c r="H373" i="8"/>
  <c r="E373" i="8"/>
  <c r="G373" i="8"/>
  <c r="H721" i="8"/>
  <c r="G721" i="8"/>
  <c r="E721" i="8"/>
  <c r="H304" i="8"/>
  <c r="G304" i="8"/>
  <c r="E304" i="8"/>
  <c r="E1027" i="8"/>
  <c r="H1027" i="8"/>
  <c r="G1027" i="8"/>
  <c r="E1083" i="8"/>
  <c r="H1083" i="8"/>
  <c r="G1083" i="8"/>
  <c r="E1003" i="8"/>
  <c r="H1003" i="8"/>
  <c r="G1003" i="8"/>
  <c r="E963" i="8"/>
  <c r="H963" i="8"/>
  <c r="G963" i="8"/>
  <c r="E1134" i="8"/>
  <c r="H1134" i="8"/>
  <c r="G1134" i="8"/>
  <c r="G801" i="8"/>
  <c r="H801" i="8"/>
  <c r="E801" i="8"/>
  <c r="H155" i="8"/>
  <c r="E155" i="8"/>
  <c r="G155" i="8"/>
  <c r="G503" i="8"/>
  <c r="E503" i="8"/>
  <c r="H503" i="8"/>
  <c r="E27" i="8"/>
  <c r="G27" i="8"/>
  <c r="H27" i="8"/>
  <c r="E665" i="8"/>
  <c r="H665" i="8"/>
  <c r="G665" i="8"/>
  <c r="G586" i="8"/>
  <c r="E586" i="8"/>
  <c r="H586" i="8"/>
  <c r="G1047" i="8"/>
  <c r="H1047" i="8"/>
  <c r="E1047" i="8"/>
  <c r="E883" i="8"/>
  <c r="G883" i="8"/>
  <c r="H883" i="8"/>
  <c r="G543" i="8"/>
  <c r="E543" i="8"/>
  <c r="H543" i="8"/>
  <c r="G1006" i="8"/>
  <c r="E1006" i="8"/>
  <c r="H1006" i="8"/>
  <c r="G560" i="8"/>
  <c r="H560" i="8"/>
  <c r="E560" i="8"/>
  <c r="H705" i="8"/>
  <c r="G705" i="8"/>
  <c r="E705" i="8"/>
  <c r="H361" i="8"/>
  <c r="E361" i="8"/>
  <c r="G361" i="8"/>
  <c r="H322" i="8"/>
  <c r="E322" i="8"/>
  <c r="G322" i="8"/>
  <c r="E878" i="8"/>
  <c r="G878" i="8"/>
  <c r="H878" i="8"/>
  <c r="G165" i="7"/>
  <c r="H165" i="7"/>
  <c r="O165" i="7" s="1"/>
  <c r="E165" i="7"/>
  <c r="G208" i="8"/>
  <c r="E208" i="8"/>
  <c r="H208" i="8"/>
  <c r="E1012" i="8"/>
  <c r="G1012" i="8"/>
  <c r="H1012" i="8"/>
  <c r="E1114" i="8"/>
  <c r="G1114" i="8"/>
  <c r="H1114" i="8"/>
  <c r="H549" i="8"/>
  <c r="E549" i="8"/>
  <c r="G549" i="8"/>
  <c r="E597" i="8"/>
  <c r="G597" i="8"/>
  <c r="H597" i="8"/>
  <c r="E1045" i="8"/>
  <c r="H1045" i="8"/>
  <c r="G1045" i="8"/>
  <c r="E789" i="8"/>
  <c r="G789" i="8"/>
  <c r="H789" i="8"/>
  <c r="H737" i="8"/>
  <c r="G737" i="8"/>
  <c r="E737" i="8"/>
  <c r="E1002" i="8"/>
  <c r="G1002" i="8"/>
  <c r="H1002" i="8"/>
  <c r="E1105" i="8"/>
  <c r="H1105" i="8"/>
  <c r="G1105" i="8"/>
  <c r="E385" i="8"/>
  <c r="G385" i="8"/>
  <c r="H385" i="8"/>
  <c r="E21" i="4"/>
  <c r="H21" i="4"/>
  <c r="O21" i="4" s="1"/>
  <c r="G21" i="4"/>
  <c r="H882" i="8"/>
  <c r="E882" i="8"/>
  <c r="G882" i="8"/>
  <c r="E748" i="8"/>
  <c r="G748" i="8"/>
  <c r="H748" i="8"/>
  <c r="H862" i="8"/>
  <c r="E862" i="8"/>
  <c r="G862" i="8"/>
  <c r="E1111" i="8"/>
  <c r="H1111" i="8"/>
  <c r="G1111" i="8"/>
  <c r="H230" i="8"/>
  <c r="E230" i="8"/>
  <c r="G230" i="8"/>
  <c r="G893" i="8"/>
  <c r="E893" i="8"/>
  <c r="H893" i="8"/>
  <c r="G824" i="8"/>
  <c r="H824" i="8"/>
  <c r="E824" i="8"/>
  <c r="G37" i="7"/>
  <c r="H37" i="7"/>
  <c r="O37" i="7" s="1"/>
  <c r="E37" i="7"/>
  <c r="E316" i="8"/>
  <c r="H316" i="8"/>
  <c r="G316" i="8"/>
  <c r="E842" i="8"/>
  <c r="G842" i="8"/>
  <c r="H842" i="8"/>
  <c r="G452" i="8"/>
  <c r="E452" i="8"/>
  <c r="H452" i="8"/>
  <c r="G648" i="8"/>
  <c r="H648" i="8"/>
  <c r="E648" i="8"/>
  <c r="H595" i="8"/>
  <c r="E595" i="8"/>
  <c r="G595" i="8"/>
  <c r="G863" i="8"/>
  <c r="E863" i="8"/>
  <c r="H863" i="8"/>
  <c r="G707" i="8"/>
  <c r="H707" i="8"/>
  <c r="E707" i="8"/>
  <c r="H782" i="8"/>
  <c r="E782" i="8"/>
  <c r="G782" i="8"/>
  <c r="G980" i="8"/>
  <c r="H980" i="8"/>
  <c r="E980" i="8"/>
  <c r="E733" i="8"/>
  <c r="H733" i="8"/>
  <c r="G733" i="8"/>
  <c r="H836" i="8"/>
  <c r="G836" i="8"/>
  <c r="E836" i="8"/>
  <c r="H1066" i="8"/>
  <c r="E1066" i="8"/>
  <c r="G1066" i="8"/>
  <c r="E192" i="8"/>
  <c r="G192" i="8"/>
  <c r="H192" i="8"/>
  <c r="G19" i="6"/>
  <c r="H19" i="6"/>
  <c r="O19" i="6" s="1"/>
  <c r="E19" i="6"/>
  <c r="H776" i="8"/>
  <c r="E776" i="8"/>
  <c r="G776" i="8"/>
  <c r="E779" i="8"/>
  <c r="G779" i="8"/>
  <c r="H779" i="8"/>
  <c r="H939" i="8"/>
  <c r="E939" i="8"/>
  <c r="G939" i="8"/>
  <c r="E933" i="8"/>
  <c r="H933" i="8"/>
  <c r="G933" i="8"/>
  <c r="H660" i="8"/>
  <c r="G660" i="8"/>
  <c r="E660" i="8"/>
  <c r="G158" i="8"/>
  <c r="H158" i="8"/>
  <c r="E158" i="8"/>
  <c r="E910" i="8"/>
  <c r="G910" i="8"/>
  <c r="H910" i="8"/>
  <c r="E525" i="8"/>
  <c r="H525" i="8"/>
  <c r="G525" i="8"/>
  <c r="H996" i="8"/>
  <c r="G996" i="8"/>
  <c r="E996" i="8"/>
  <c r="E101" i="8"/>
  <c r="H101" i="8"/>
  <c r="G101" i="8"/>
  <c r="H657" i="8"/>
  <c r="G657" i="8"/>
  <c r="E657" i="8"/>
  <c r="G12" i="8"/>
  <c r="H12" i="8"/>
  <c r="E12" i="8"/>
  <c r="E569" i="8"/>
  <c r="G569" i="8"/>
  <c r="H569" i="8"/>
  <c r="E834" i="8"/>
  <c r="H834" i="8"/>
  <c r="G834" i="8"/>
  <c r="E372" i="8"/>
  <c r="G372" i="8"/>
  <c r="H372" i="8"/>
  <c r="G917" i="8"/>
  <c r="H917" i="8"/>
  <c r="E917" i="8"/>
  <c r="H268" i="8"/>
  <c r="E268" i="8"/>
  <c r="G268" i="8"/>
  <c r="H255" i="8"/>
  <c r="E255" i="8"/>
  <c r="G255" i="8"/>
  <c r="G58" i="8"/>
  <c r="H58" i="8"/>
  <c r="E58" i="8"/>
  <c r="H41" i="7"/>
  <c r="O41" i="7" s="1"/>
  <c r="G41" i="7"/>
  <c r="E41" i="7"/>
  <c r="H1127" i="8"/>
  <c r="E1127" i="8"/>
  <c r="G1127" i="8"/>
  <c r="G165" i="8"/>
  <c r="E165" i="8"/>
  <c r="H165" i="8"/>
  <c r="H151" i="7"/>
  <c r="O151" i="7" s="1"/>
  <c r="E151" i="7"/>
  <c r="G151" i="7"/>
  <c r="G290" i="8"/>
  <c r="E290" i="8"/>
  <c r="H290" i="8"/>
  <c r="H1124" i="8"/>
  <c r="E1124" i="8"/>
  <c r="G1124" i="8"/>
  <c r="E1020" i="8"/>
  <c r="G1020" i="8"/>
  <c r="H1020" i="8"/>
  <c r="E338" i="8"/>
  <c r="H338" i="8"/>
  <c r="G338" i="8"/>
  <c r="E613" i="8"/>
  <c r="G613" i="8"/>
  <c r="H613" i="8"/>
  <c r="E148" i="7"/>
  <c r="H148" i="7"/>
  <c r="O148" i="7" s="1"/>
  <c r="G148" i="7"/>
  <c r="E565" i="8"/>
  <c r="H565" i="8"/>
  <c r="G565" i="8"/>
  <c r="H837" i="8"/>
  <c r="G837" i="8"/>
  <c r="E837" i="8"/>
  <c r="G957" i="8"/>
  <c r="H957" i="8"/>
  <c r="E957" i="8"/>
  <c r="G941" i="8"/>
  <c r="E941" i="8"/>
  <c r="H941" i="8"/>
  <c r="E1100" i="8"/>
  <c r="G1100" i="8"/>
  <c r="H1100" i="8"/>
  <c r="G413" i="8"/>
  <c r="H413" i="8"/>
  <c r="E413" i="8"/>
  <c r="E785" i="8"/>
  <c r="H785" i="8"/>
  <c r="G785" i="8"/>
  <c r="H888" i="8"/>
  <c r="G888" i="8"/>
  <c r="E888" i="8"/>
  <c r="H111" i="8"/>
  <c r="E111" i="8"/>
  <c r="G111" i="8"/>
  <c r="E195" i="8"/>
  <c r="G195" i="8"/>
  <c r="H195" i="8"/>
  <c r="H538" i="8"/>
  <c r="G538" i="8"/>
  <c r="E538" i="8"/>
  <c r="E589" i="8"/>
  <c r="G589" i="8"/>
  <c r="H589" i="8"/>
  <c r="E970" i="8"/>
  <c r="G970" i="8"/>
  <c r="H970" i="8"/>
  <c r="E804" i="8"/>
  <c r="G804" i="8"/>
  <c r="H804" i="8"/>
  <c r="G663" i="8"/>
  <c r="H663" i="8"/>
  <c r="E663" i="8"/>
  <c r="G826" i="8"/>
  <c r="E826" i="8"/>
  <c r="H826" i="8"/>
  <c r="G79" i="8"/>
  <c r="E79" i="8"/>
  <c r="H79" i="8"/>
  <c r="E176" i="8"/>
  <c r="G176" i="8"/>
  <c r="H176" i="8"/>
  <c r="G28" i="6"/>
  <c r="H28" i="6"/>
  <c r="O28" i="6" s="1"/>
  <c r="E28" i="6"/>
  <c r="H794" i="8"/>
  <c r="G794" i="8"/>
  <c r="E794" i="8"/>
  <c r="G1138" i="8"/>
  <c r="E1138" i="8"/>
  <c r="H1138" i="8"/>
  <c r="G1091" i="8"/>
  <c r="E1091" i="8"/>
  <c r="H1091" i="8"/>
  <c r="E185" i="8"/>
  <c r="H185" i="8"/>
  <c r="G185" i="8"/>
  <c r="H450" i="8"/>
  <c r="E450" i="8"/>
  <c r="G450" i="8"/>
  <c r="H541" i="8"/>
  <c r="E541" i="8"/>
  <c r="G541" i="8"/>
  <c r="E1135" i="8"/>
  <c r="H1135" i="8"/>
  <c r="G1135" i="8"/>
  <c r="H226" i="8"/>
  <c r="E226" i="8"/>
  <c r="G226" i="8"/>
  <c r="H253" i="8"/>
  <c r="G253" i="8"/>
  <c r="E253" i="8"/>
  <c r="H916" i="8"/>
  <c r="E916" i="8"/>
  <c r="G916" i="8"/>
  <c r="E110" i="8"/>
  <c r="G110" i="8"/>
  <c r="H110" i="8"/>
  <c r="E1087" i="8"/>
  <c r="G1087" i="8"/>
  <c r="H1087" i="8"/>
  <c r="G118" i="7"/>
  <c r="H118" i="7"/>
  <c r="O118" i="7" s="1"/>
  <c r="E118" i="7"/>
  <c r="E734" i="8"/>
  <c r="G734" i="8"/>
  <c r="H734" i="8"/>
  <c r="E800" i="8"/>
  <c r="G800" i="8"/>
  <c r="H800" i="8"/>
  <c r="E84" i="8"/>
  <c r="G84" i="8"/>
  <c r="H84" i="8"/>
  <c r="H1077" i="8"/>
  <c r="G1077" i="8"/>
  <c r="E1077" i="8"/>
  <c r="G926" i="8"/>
  <c r="H926" i="8"/>
  <c r="E926" i="8"/>
  <c r="G1051" i="8"/>
  <c r="E1051" i="8"/>
  <c r="H1051" i="8"/>
  <c r="G681" i="8"/>
  <c r="E681" i="8"/>
  <c r="H681" i="8"/>
  <c r="E1059" i="8"/>
  <c r="G1059" i="8"/>
  <c r="H1059" i="8"/>
  <c r="G337" i="8"/>
  <c r="E337" i="8"/>
  <c r="H337" i="8"/>
  <c r="G305" i="8"/>
  <c r="E305" i="8"/>
  <c r="H305" i="8"/>
  <c r="G749" i="8"/>
  <c r="H749" i="8"/>
  <c r="E749" i="8"/>
  <c r="E573" i="8"/>
  <c r="H573" i="8"/>
  <c r="G573" i="8"/>
  <c r="G266" i="8"/>
  <c r="H266" i="8"/>
  <c r="E266" i="8"/>
  <c r="E364" i="8"/>
  <c r="H364" i="8"/>
  <c r="G364" i="8"/>
  <c r="G492" i="8"/>
  <c r="E492" i="8"/>
  <c r="H492" i="8"/>
  <c r="G870" i="8"/>
  <c r="E870" i="8"/>
  <c r="H870" i="8"/>
  <c r="G601" i="8"/>
  <c r="E601" i="8"/>
  <c r="H601" i="8"/>
  <c r="G607" i="8"/>
  <c r="H607" i="8"/>
  <c r="E607" i="8"/>
  <c r="H387" i="8"/>
  <c r="E387" i="8"/>
  <c r="G387" i="8"/>
  <c r="H754" i="8"/>
  <c r="E754" i="8"/>
  <c r="G754" i="8"/>
  <c r="E170" i="8"/>
  <c r="H170" i="8"/>
  <c r="G170" i="8"/>
  <c r="G1079" i="8"/>
  <c r="E1079" i="8"/>
  <c r="H1079" i="8"/>
  <c r="G392" i="8"/>
  <c r="H392" i="8"/>
  <c r="E392" i="8"/>
  <c r="E839" i="8"/>
  <c r="H839" i="8"/>
  <c r="G839" i="8"/>
  <c r="H365" i="8"/>
  <c r="E365" i="8"/>
  <c r="G365" i="8"/>
  <c r="E1075" i="8"/>
  <c r="H1075" i="8"/>
  <c r="G1075" i="8"/>
  <c r="H443" i="8"/>
  <c r="E443" i="8"/>
  <c r="G443" i="8"/>
  <c r="H904" i="8"/>
  <c r="G904" i="8"/>
  <c r="E904" i="8"/>
  <c r="E449" i="8"/>
  <c r="G449" i="8"/>
  <c r="H449" i="8"/>
  <c r="H515" i="8"/>
  <c r="G515" i="8"/>
  <c r="E515" i="8"/>
  <c r="G446" i="8"/>
  <c r="H446" i="8"/>
  <c r="E446" i="8"/>
  <c r="G765" i="8"/>
  <c r="H765" i="8"/>
  <c r="E765" i="8"/>
  <c r="H650" i="8"/>
  <c r="E650" i="8"/>
  <c r="G650" i="8"/>
  <c r="H991" i="8"/>
  <c r="G991" i="8"/>
  <c r="E991" i="8"/>
  <c r="E1021" i="8"/>
  <c r="H1021" i="8"/>
  <c r="G1021" i="8"/>
  <c r="E1072" i="8"/>
  <c r="H1072" i="8"/>
  <c r="G1072" i="8"/>
  <c r="E638" i="8"/>
  <c r="G638" i="8"/>
  <c r="H638" i="8"/>
  <c r="E420" i="8"/>
  <c r="H420" i="8"/>
  <c r="G420" i="8"/>
  <c r="H339" i="8"/>
  <c r="E339" i="8"/>
  <c r="G339" i="8"/>
  <c r="G1099" i="8"/>
  <c r="H1099" i="8"/>
  <c r="E1099" i="8"/>
  <c r="H128" i="8"/>
  <c r="E128" i="8"/>
  <c r="G128" i="8"/>
  <c r="E699" i="8"/>
  <c r="H699" i="8"/>
  <c r="G699" i="8"/>
  <c r="H752" i="8"/>
  <c r="E752" i="8"/>
  <c r="G752" i="8"/>
  <c r="E672" i="8"/>
  <c r="G672" i="8"/>
  <c r="H672" i="8"/>
  <c r="G709" i="8"/>
  <c r="H709" i="8"/>
  <c r="E709" i="8"/>
  <c r="E1128" i="8"/>
  <c r="G1128" i="8"/>
  <c r="H1128" i="8"/>
  <c r="E889" i="8"/>
  <c r="G889" i="8"/>
  <c r="H889" i="8"/>
  <c r="E288" i="8"/>
  <c r="H288" i="8"/>
  <c r="G288" i="8"/>
  <c r="G615" i="8"/>
  <c r="H615" i="8"/>
  <c r="E615" i="8"/>
  <c r="H979" i="8"/>
  <c r="E979" i="8"/>
  <c r="G979" i="8"/>
  <c r="H276" i="8"/>
  <c r="E276" i="8"/>
  <c r="G276" i="8"/>
  <c r="G124" i="8"/>
  <c r="H124" i="8"/>
  <c r="E124" i="8"/>
  <c r="E60" i="8"/>
  <c r="G60" i="8"/>
  <c r="H60" i="8"/>
  <c r="H70" i="8"/>
  <c r="E70" i="8"/>
  <c r="G70" i="8"/>
  <c r="H292" i="8"/>
  <c r="G292" i="8"/>
  <c r="E292" i="8"/>
  <c r="H743" i="8"/>
  <c r="E743" i="8"/>
  <c r="G743" i="8"/>
  <c r="E151" i="8"/>
  <c r="G151" i="8"/>
  <c r="H151" i="8"/>
  <c r="H760" i="8"/>
  <c r="E760" i="8"/>
  <c r="G760" i="8"/>
  <c r="H488" i="8"/>
  <c r="G488" i="8"/>
  <c r="E488" i="8"/>
  <c r="G572" i="8"/>
  <c r="E572" i="8"/>
  <c r="H572" i="8"/>
  <c r="G342" i="8"/>
  <c r="H342" i="8"/>
  <c r="E342" i="8"/>
  <c r="H482" i="8"/>
  <c r="E482" i="8"/>
  <c r="G482" i="8"/>
  <c r="G1126" i="8"/>
  <c r="E1126" i="8"/>
  <c r="H1126" i="8"/>
  <c r="H347" i="8"/>
  <c r="E347" i="8"/>
  <c r="G347" i="8"/>
  <c r="G429" i="8"/>
  <c r="E429" i="8"/>
  <c r="H429" i="8"/>
  <c r="G246" i="8"/>
  <c r="H246" i="8"/>
  <c r="E246" i="8"/>
  <c r="G540" i="8"/>
  <c r="H540" i="8"/>
  <c r="E540" i="8"/>
  <c r="H345" i="8"/>
  <c r="G345" i="8"/>
  <c r="E345" i="8"/>
  <c r="H992" i="8"/>
  <c r="G992" i="8"/>
  <c r="E992" i="8"/>
  <c r="H1089" i="8"/>
  <c r="E1089" i="8"/>
  <c r="G1089" i="8"/>
  <c r="H769" i="8"/>
  <c r="G769" i="8"/>
  <c r="E769" i="8"/>
  <c r="H927" i="8"/>
  <c r="G927" i="8"/>
  <c r="E927" i="8"/>
  <c r="E221" i="8"/>
  <c r="G221" i="8"/>
  <c r="H221" i="8"/>
  <c r="K12" i="5"/>
  <c r="L18" i="6"/>
  <c r="O356" i="8" l="1"/>
  <c r="O979" i="8"/>
  <c r="O440" i="8"/>
  <c r="O908" i="8"/>
  <c r="O760" i="8"/>
  <c r="O572" i="8"/>
  <c r="H18" i="6"/>
  <c r="O18" i="6" s="1"/>
  <c r="G12" i="5"/>
  <c r="I292" i="8"/>
  <c r="N292" i="8"/>
  <c r="O446" i="8"/>
  <c r="O185" i="8"/>
  <c r="O785" i="8"/>
  <c r="N613" i="8"/>
  <c r="I613" i="8"/>
  <c r="I41" i="7"/>
  <c r="F41" i="7" s="1"/>
  <c r="N41" i="7"/>
  <c r="P41" i="7" s="1"/>
  <c r="Q41" i="7" s="1"/>
  <c r="O230" i="8"/>
  <c r="O1114" i="8"/>
  <c r="I543" i="8"/>
  <c r="N543" i="8"/>
  <c r="O373" i="8"/>
  <c r="N1040" i="8"/>
  <c r="I1040" i="8"/>
  <c r="O75" i="8"/>
  <c r="O262" i="8"/>
  <c r="O704" i="8"/>
  <c r="O212" i="8"/>
  <c r="N16" i="8"/>
  <c r="I16" i="8"/>
  <c r="I783" i="8"/>
  <c r="N783" i="8"/>
  <c r="I923" i="8"/>
  <c r="N923" i="8"/>
  <c r="I77" i="8"/>
  <c r="N77" i="8"/>
  <c r="I871" i="8"/>
  <c r="N871" i="8"/>
  <c r="O986" i="8"/>
  <c r="N36" i="8"/>
  <c r="I36" i="8"/>
  <c r="N767" i="8"/>
  <c r="I767" i="8"/>
  <c r="O753" i="8"/>
  <c r="I1107" i="8"/>
  <c r="N1107" i="8"/>
  <c r="I38" i="7"/>
  <c r="F38" i="7" s="1"/>
  <c r="N38" i="7"/>
  <c r="P38" i="7" s="1"/>
  <c r="Q38" i="7" s="1"/>
  <c r="I820" i="8"/>
  <c r="N820" i="8"/>
  <c r="I389" i="8"/>
  <c r="N389" i="8"/>
  <c r="N465" i="8"/>
  <c r="I465" i="8"/>
  <c r="O745" i="8"/>
  <c r="N188" i="7"/>
  <c r="P188" i="7" s="1"/>
  <c r="Q188" i="7" s="1"/>
  <c r="I188" i="7"/>
  <c r="F188" i="7" s="1"/>
  <c r="O415" i="8"/>
  <c r="I18" i="8"/>
  <c r="N18" i="8"/>
  <c r="I974" i="8"/>
  <c r="N974" i="8"/>
  <c r="O384" i="8"/>
  <c r="N512" i="8"/>
  <c r="I512" i="8"/>
  <c r="O411" i="8"/>
  <c r="O386" i="8"/>
  <c r="N510" i="8"/>
  <c r="I510" i="8"/>
  <c r="O407" i="8"/>
  <c r="N113" i="8"/>
  <c r="I113" i="8"/>
  <c r="I1008" i="8"/>
  <c r="N1008" i="8"/>
  <c r="I950" i="8"/>
  <c r="N950" i="8"/>
  <c r="N123" i="8"/>
  <c r="I123" i="8"/>
  <c r="N196" i="8"/>
  <c r="I196" i="8"/>
  <c r="O725" i="8"/>
  <c r="O667" i="8"/>
  <c r="I766" i="8"/>
  <c r="N766" i="8"/>
  <c r="I40" i="4"/>
  <c r="F40" i="4" s="1"/>
  <c r="N40" i="4"/>
  <c r="P40" i="4" s="1"/>
  <c r="Q40" i="4" s="1"/>
  <c r="O627" i="8"/>
  <c r="I678" i="8"/>
  <c r="N678" i="8"/>
  <c r="I981" i="8"/>
  <c r="N981" i="8"/>
  <c r="I1013" i="8"/>
  <c r="N1013" i="8"/>
  <c r="I972" i="8"/>
  <c r="N972" i="8"/>
  <c r="O478" i="8"/>
  <c r="N846" i="8"/>
  <c r="I846" i="8"/>
  <c r="O619" i="8"/>
  <c r="O48" i="8"/>
  <c r="O532" i="8"/>
  <c r="I219" i="8"/>
  <c r="N219" i="8"/>
  <c r="O668" i="8"/>
  <c r="O679" i="8"/>
  <c r="I203" i="7"/>
  <c r="F203" i="7" s="1"/>
  <c r="R203" i="7" s="1"/>
  <c r="N203" i="7"/>
  <c r="P203" i="7" s="1"/>
  <c r="Q203" i="7" s="1"/>
  <c r="I94" i="7"/>
  <c r="F94" i="7" s="1"/>
  <c r="N94" i="7"/>
  <c r="P94" i="7" s="1"/>
  <c r="Q94" i="7" s="1"/>
  <c r="O1081" i="8"/>
  <c r="O594" i="8"/>
  <c r="O706" i="8"/>
  <c r="N369" i="8"/>
  <c r="I369" i="8"/>
  <c r="N722" i="8"/>
  <c r="I722" i="8"/>
  <c r="N975" i="8"/>
  <c r="I975" i="8"/>
  <c r="N206" i="8"/>
  <c r="I206" i="8"/>
  <c r="I809" i="8"/>
  <c r="N809" i="8"/>
  <c r="O642" i="8"/>
  <c r="N808" i="8"/>
  <c r="I808" i="8"/>
  <c r="O798" i="8"/>
  <c r="O803" i="8"/>
  <c r="O81" i="8"/>
  <c r="O835" i="8"/>
  <c r="I132" i="8"/>
  <c r="N132" i="8"/>
  <c r="O558" i="8"/>
  <c r="N168" i="8"/>
  <c r="I168" i="8"/>
  <c r="O277" i="8"/>
  <c r="O984" i="8"/>
  <c r="N12" i="7"/>
  <c r="P12" i="7" s="1"/>
  <c r="Q12" i="7" s="1"/>
  <c r="I12" i="7"/>
  <c r="F12" i="7" s="1"/>
  <c r="R12" i="7" s="1"/>
  <c r="O664" i="8"/>
  <c r="N738" i="8"/>
  <c r="I738" i="8"/>
  <c r="N814" i="8"/>
  <c r="I814" i="8"/>
  <c r="O218" i="8"/>
  <c r="N215" i="8"/>
  <c r="I215" i="8"/>
  <c r="O221" i="8"/>
  <c r="I345" i="8"/>
  <c r="N345" i="8"/>
  <c r="O124" i="8"/>
  <c r="O339" i="8"/>
  <c r="I650" i="8"/>
  <c r="N650" i="8"/>
  <c r="I904" i="8"/>
  <c r="N904" i="8"/>
  <c r="O601" i="8"/>
  <c r="O337" i="8"/>
  <c r="O734" i="8"/>
  <c r="N541" i="8"/>
  <c r="I541" i="8"/>
  <c r="N794" i="8"/>
  <c r="I794" i="8"/>
  <c r="I589" i="8"/>
  <c r="N589" i="8"/>
  <c r="N996" i="8"/>
  <c r="I996" i="8"/>
  <c r="O707" i="8"/>
  <c r="O322" i="8"/>
  <c r="I586" i="8"/>
  <c r="N586" i="8"/>
  <c r="O625" i="8"/>
  <c r="O843" i="8"/>
  <c r="O965" i="8"/>
  <c r="O501" i="8"/>
  <c r="O252" i="8"/>
  <c r="O574" i="8"/>
  <c r="I531" i="8"/>
  <c r="N531" i="8"/>
  <c r="O98" i="8"/>
  <c r="O362" i="8"/>
  <c r="I1053" i="8"/>
  <c r="N1053" i="8"/>
  <c r="O727" i="8"/>
  <c r="O169" i="8"/>
  <c r="N390" i="8"/>
  <c r="I390" i="8"/>
  <c r="O177" i="8"/>
  <c r="N577" i="8"/>
  <c r="I577" i="8"/>
  <c r="I25" i="8"/>
  <c r="N25" i="8"/>
  <c r="O49" i="8"/>
  <c r="O1107" i="8"/>
  <c r="I559" i="8"/>
  <c r="N559" i="8"/>
  <c r="I108" i="8"/>
  <c r="N108" i="8"/>
  <c r="O921" i="8"/>
  <c r="N850" i="8"/>
  <c r="I850" i="8"/>
  <c r="I568" i="8"/>
  <c r="N568" i="8"/>
  <c r="I537" i="8"/>
  <c r="N537" i="8"/>
  <c r="I85" i="8"/>
  <c r="N85" i="8"/>
  <c r="I159" i="7"/>
  <c r="F159" i="7" s="1"/>
  <c r="N159" i="7"/>
  <c r="P159" i="7" s="1"/>
  <c r="Q159" i="7" s="1"/>
  <c r="I22" i="6"/>
  <c r="F22" i="6" s="1"/>
  <c r="N22" i="6"/>
  <c r="P22" i="6" s="1"/>
  <c r="Q22" i="6" s="1"/>
  <c r="O914" i="8"/>
  <c r="N1043" i="8"/>
  <c r="I1043" i="8"/>
  <c r="O33" i="8"/>
  <c r="I872" i="8"/>
  <c r="N872" i="8"/>
  <c r="O522" i="8"/>
  <c r="O953" i="8"/>
  <c r="I145" i="8"/>
  <c r="N145" i="8"/>
  <c r="O1097" i="8"/>
  <c r="I1123" i="8"/>
  <c r="N1123" i="8"/>
  <c r="O1014" i="8"/>
  <c r="I725" i="8"/>
  <c r="N725" i="8"/>
  <c r="O301" i="8"/>
  <c r="N51" i="8"/>
  <c r="I51" i="8"/>
  <c r="O999" i="8"/>
  <c r="I978" i="8"/>
  <c r="N978" i="8"/>
  <c r="O694" i="8"/>
  <c r="O690" i="8"/>
  <c r="O477" i="8"/>
  <c r="N44" i="7"/>
  <c r="P44" i="7" s="1"/>
  <c r="Q44" i="7" s="1"/>
  <c r="I44" i="7"/>
  <c r="F44" i="7" s="1"/>
  <c r="I216" i="8"/>
  <c r="N216" i="8"/>
  <c r="O964" i="8"/>
  <c r="O157" i="8"/>
  <c r="O557" i="8"/>
  <c r="I1016" i="8"/>
  <c r="N1016" i="8"/>
  <c r="O1061" i="8"/>
  <c r="I619" i="8"/>
  <c r="N619" i="8"/>
  <c r="O219" i="8"/>
  <c r="N444" i="8"/>
  <c r="I444" i="8"/>
  <c r="I307" i="8"/>
  <c r="N307" i="8"/>
  <c r="O487" i="8"/>
  <c r="I181" i="8"/>
  <c r="N181" i="8"/>
  <c r="N29" i="6"/>
  <c r="P29" i="6" s="1"/>
  <c r="Q29" i="6" s="1"/>
  <c r="I29" i="6"/>
  <c r="F29" i="6" s="1"/>
  <c r="I38" i="4"/>
  <c r="F38" i="4" s="1"/>
  <c r="N38" i="4"/>
  <c r="P38" i="4" s="1"/>
  <c r="Q38" i="4" s="1"/>
  <c r="N142" i="7"/>
  <c r="P142" i="7" s="1"/>
  <c r="Q142" i="7" s="1"/>
  <c r="I142" i="7"/>
  <c r="F142" i="7" s="1"/>
  <c r="I534" i="8"/>
  <c r="N534" i="8"/>
  <c r="I1078" i="8"/>
  <c r="N1078" i="8"/>
  <c r="I281" i="8"/>
  <c r="N281" i="8"/>
  <c r="O1092" i="8"/>
  <c r="I21" i="7"/>
  <c r="F21" i="7" s="1"/>
  <c r="N21" i="7"/>
  <c r="P21" i="7" s="1"/>
  <c r="Q21" i="7" s="1"/>
  <c r="I608" i="8"/>
  <c r="N608" i="8"/>
  <c r="O274" i="8"/>
  <c r="O647" i="8"/>
  <c r="N314" i="8"/>
  <c r="I314" i="8"/>
  <c r="O686" i="8"/>
  <c r="O944" i="8"/>
  <c r="I84" i="7"/>
  <c r="F84" i="7" s="1"/>
  <c r="N84" i="7"/>
  <c r="P84" i="7" s="1"/>
  <c r="Q84" i="7" s="1"/>
  <c r="I244" i="8"/>
  <c r="N244" i="8"/>
  <c r="N464" i="8"/>
  <c r="I464" i="8"/>
  <c r="O902" i="8"/>
  <c r="O240" i="8"/>
  <c r="I695" i="8"/>
  <c r="N695" i="8"/>
  <c r="O958" i="8"/>
  <c r="N15" i="1"/>
  <c r="P15" i="1" s="1"/>
  <c r="Q15" i="1" s="1"/>
  <c r="I15" i="1"/>
  <c r="F15" i="1" s="1"/>
  <c r="N1025" i="8"/>
  <c r="I1025" i="8"/>
  <c r="O66" i="8"/>
  <c r="N558" i="8"/>
  <c r="I558" i="8"/>
  <c r="N15" i="4"/>
  <c r="P15" i="4" s="1"/>
  <c r="Q15" i="4" s="1"/>
  <c r="I15" i="4"/>
  <c r="F15" i="4" s="1"/>
  <c r="R15" i="4" s="1"/>
  <c r="O967" i="8"/>
  <c r="O591" i="8"/>
  <c r="I940" i="8"/>
  <c r="N940" i="8"/>
  <c r="O467" i="8"/>
  <c r="N40" i="8"/>
  <c r="I40" i="8"/>
  <c r="O738" i="8"/>
  <c r="O1009" i="8"/>
  <c r="I1089" i="8"/>
  <c r="N1089" i="8"/>
  <c r="O904" i="8"/>
  <c r="O754" i="8"/>
  <c r="I364" i="8"/>
  <c r="N364" i="8"/>
  <c r="I734" i="8"/>
  <c r="N734" i="8"/>
  <c r="O1091" i="8"/>
  <c r="O804" i="8"/>
  <c r="N338" i="8"/>
  <c r="I338" i="8"/>
  <c r="O268" i="8"/>
  <c r="O996" i="8"/>
  <c r="N939" i="8"/>
  <c r="I939" i="8"/>
  <c r="I316" i="8"/>
  <c r="N316" i="8"/>
  <c r="I882" i="8"/>
  <c r="N882" i="8"/>
  <c r="O597" i="8"/>
  <c r="I361" i="8"/>
  <c r="N361" i="8"/>
  <c r="O1134" i="8"/>
  <c r="O867" i="8"/>
  <c r="N501" i="8"/>
  <c r="I501" i="8"/>
  <c r="N252" i="8"/>
  <c r="I252" i="8"/>
  <c r="O751" i="8"/>
  <c r="N348" i="8"/>
  <c r="I348" i="8"/>
  <c r="O584" i="8"/>
  <c r="N561" i="8"/>
  <c r="I561" i="8"/>
  <c r="N861" i="8"/>
  <c r="I861" i="8"/>
  <c r="I275" i="8"/>
  <c r="N275" i="8"/>
  <c r="O581" i="8"/>
  <c r="I88" i="8"/>
  <c r="N88" i="8"/>
  <c r="N874" i="8"/>
  <c r="I874" i="8"/>
  <c r="N135" i="7"/>
  <c r="P135" i="7" s="1"/>
  <c r="Q135" i="7" s="1"/>
  <c r="I135" i="7"/>
  <c r="F135" i="7" s="1"/>
  <c r="N683" i="8"/>
  <c r="I683" i="8"/>
  <c r="I796" i="8"/>
  <c r="N796" i="8"/>
  <c r="N1032" i="8"/>
  <c r="I1032" i="8"/>
  <c r="I1031" i="8"/>
  <c r="N1031" i="8"/>
  <c r="N460" i="8"/>
  <c r="I460" i="8"/>
  <c r="I887" i="8"/>
  <c r="N887" i="8"/>
  <c r="I32" i="8"/>
  <c r="N32" i="8"/>
  <c r="N745" i="8"/>
  <c r="I745" i="8"/>
  <c r="O848" i="8"/>
  <c r="O334" i="8"/>
  <c r="O636" i="8"/>
  <c r="N711" i="8"/>
  <c r="I711" i="8"/>
  <c r="O951" i="8"/>
  <c r="I33" i="8"/>
  <c r="N33" i="8"/>
  <c r="N410" i="8"/>
  <c r="I410" i="8"/>
  <c r="I1131" i="8"/>
  <c r="N1131" i="8"/>
  <c r="O283" i="8"/>
  <c r="O451" i="8"/>
  <c r="N40" i="7"/>
  <c r="P40" i="7" s="1"/>
  <c r="Q40" i="7" s="1"/>
  <c r="I40" i="7"/>
  <c r="F40" i="7" s="1"/>
  <c r="N146" i="7"/>
  <c r="P146" i="7" s="1"/>
  <c r="Q146" i="7" s="1"/>
  <c r="I146" i="7"/>
  <c r="F146" i="7" s="1"/>
  <c r="N479" i="8"/>
  <c r="I479" i="8"/>
  <c r="N39" i="7"/>
  <c r="P39" i="7" s="1"/>
  <c r="Q39" i="7" s="1"/>
  <c r="I39" i="7"/>
  <c r="F39" i="7" s="1"/>
  <c r="O51" i="8"/>
  <c r="I32" i="7"/>
  <c r="F32" i="7" s="1"/>
  <c r="N32" i="7"/>
  <c r="P32" i="7" s="1"/>
  <c r="Q32" i="7" s="1"/>
  <c r="O856" i="8"/>
  <c r="I325" i="8"/>
  <c r="N325" i="8"/>
  <c r="I445" i="8"/>
  <c r="N445" i="8"/>
  <c r="O278" i="8"/>
  <c r="N588" i="8"/>
  <c r="I588" i="8"/>
  <c r="O1016" i="8"/>
  <c r="I1116" i="8"/>
  <c r="N1116" i="8"/>
  <c r="N1026" i="8"/>
  <c r="I1026" i="8"/>
  <c r="O233" i="8"/>
  <c r="I91" i="7"/>
  <c r="F91" i="7" s="1"/>
  <c r="N91" i="7"/>
  <c r="P91" i="7" s="1"/>
  <c r="Q91" i="7" s="1"/>
  <c r="O847" i="8"/>
  <c r="N34" i="8"/>
  <c r="I34" i="8"/>
  <c r="I679" i="8"/>
  <c r="N679" i="8"/>
  <c r="O181" i="8"/>
  <c r="N637" i="8"/>
  <c r="I637" i="8"/>
  <c r="O141" i="8"/>
  <c r="I35" i="4"/>
  <c r="F35" i="4" s="1"/>
  <c r="N35" i="4"/>
  <c r="P35" i="4" s="1"/>
  <c r="Q35" i="4" s="1"/>
  <c r="N459" i="8"/>
  <c r="I459" i="8"/>
  <c r="I72" i="8"/>
  <c r="N72" i="8"/>
  <c r="O257" i="8"/>
  <c r="I1115" i="8"/>
  <c r="N1115" i="8"/>
  <c r="N235" i="8"/>
  <c r="I235" i="8"/>
  <c r="I1081" i="8"/>
  <c r="N1081" i="8"/>
  <c r="N53" i="8"/>
  <c r="I53" i="8"/>
  <c r="I36" i="4"/>
  <c r="F36" i="4" s="1"/>
  <c r="N36" i="4"/>
  <c r="P36" i="4" s="1"/>
  <c r="Q36" i="4" s="1"/>
  <c r="O838" i="8"/>
  <c r="N19" i="8"/>
  <c r="I19" i="8"/>
  <c r="N542" i="8"/>
  <c r="I542" i="8"/>
  <c r="N135" i="8"/>
  <c r="I135" i="8"/>
  <c r="I730" i="8"/>
  <c r="N730" i="8"/>
  <c r="I169" i="7"/>
  <c r="F169" i="7" s="1"/>
  <c r="N169" i="7"/>
  <c r="P169" i="7" s="1"/>
  <c r="Q169" i="7" s="1"/>
  <c r="I1092" i="8"/>
  <c r="N1092" i="8"/>
  <c r="O189" i="8"/>
  <c r="O608" i="8"/>
  <c r="O697" i="8"/>
  <c r="I274" i="8"/>
  <c r="N274" i="8"/>
  <c r="N555" i="8"/>
  <c r="I555" i="8"/>
  <c r="O494" i="8"/>
  <c r="I514" i="8"/>
  <c r="N514" i="8"/>
  <c r="N142" i="8"/>
  <c r="I142" i="8"/>
  <c r="O692" i="8"/>
  <c r="I686" i="8"/>
  <c r="N686" i="8"/>
  <c r="I186" i="7"/>
  <c r="F186" i="7" s="1"/>
  <c r="N186" i="7"/>
  <c r="P186" i="7" s="1"/>
  <c r="Q186" i="7" s="1"/>
  <c r="O121" i="8"/>
  <c r="N944" i="8"/>
  <c r="I944" i="8"/>
  <c r="N827" i="8"/>
  <c r="I827" i="8"/>
  <c r="O960" i="8"/>
  <c r="I267" i="8"/>
  <c r="N267" i="8"/>
  <c r="O264" i="8"/>
  <c r="N798" i="8"/>
  <c r="I798" i="8"/>
  <c r="I1037" i="8"/>
  <c r="N1037" i="8"/>
  <c r="I182" i="7"/>
  <c r="F182" i="7" s="1"/>
  <c r="N182" i="7"/>
  <c r="P182" i="7" s="1"/>
  <c r="Q182" i="7" s="1"/>
  <c r="O205" i="8"/>
  <c r="N357" i="8"/>
  <c r="I357" i="8"/>
  <c r="O399" i="8"/>
  <c r="I902" i="8"/>
  <c r="N902" i="8"/>
  <c r="N13" i="8"/>
  <c r="I13" i="8"/>
  <c r="O39" i="8"/>
  <c r="N240" i="8"/>
  <c r="I240" i="8"/>
  <c r="O620" i="8"/>
  <c r="O695" i="8"/>
  <c r="N30" i="4"/>
  <c r="P30" i="4" s="1"/>
  <c r="Q30" i="4" s="1"/>
  <c r="I30" i="4"/>
  <c r="F30" i="4" s="1"/>
  <c r="O508" i="8"/>
  <c r="O351" i="8"/>
  <c r="I23" i="1"/>
  <c r="F23" i="1" s="1"/>
  <c r="N23" i="1"/>
  <c r="P23" i="1" s="1"/>
  <c r="Q23" i="1" s="1"/>
  <c r="O590" i="8"/>
  <c r="O171" i="8"/>
  <c r="N147" i="8"/>
  <c r="I147" i="8"/>
  <c r="O599" i="8"/>
  <c r="I825" i="8"/>
  <c r="N825" i="8"/>
  <c r="N431" i="8"/>
  <c r="I431" i="8"/>
  <c r="N16" i="4"/>
  <c r="P16" i="4" s="1"/>
  <c r="Q16" i="4" s="1"/>
  <c r="I16" i="4"/>
  <c r="F16" i="4" s="1"/>
  <c r="N956" i="8"/>
  <c r="I956" i="8"/>
  <c r="N54" i="8"/>
  <c r="I54" i="8"/>
  <c r="I19" i="4"/>
  <c r="F19" i="4" s="1"/>
  <c r="N19" i="4"/>
  <c r="P19" i="4" s="1"/>
  <c r="Q19" i="4" s="1"/>
  <c r="O43" i="8"/>
  <c r="I68" i="7"/>
  <c r="F68" i="7" s="1"/>
  <c r="N68" i="7"/>
  <c r="P68" i="7" s="1"/>
  <c r="Q68" i="7" s="1"/>
  <c r="I17" i="6"/>
  <c r="F17" i="6" s="1"/>
  <c r="N17" i="6"/>
  <c r="P17" i="6" s="1"/>
  <c r="Q17" i="6" s="1"/>
  <c r="N22" i="1"/>
  <c r="P22" i="1" s="1"/>
  <c r="Q22" i="1" s="1"/>
  <c r="I22" i="1"/>
  <c r="F22" i="1" s="1"/>
  <c r="I36" i="6"/>
  <c r="F36" i="6" s="1"/>
  <c r="N36" i="6"/>
  <c r="P36" i="6" s="1"/>
  <c r="Q36" i="6" s="1"/>
  <c r="I355" i="8"/>
  <c r="N355" i="8"/>
  <c r="N815" i="8"/>
  <c r="I815" i="8"/>
  <c r="O528" i="8"/>
  <c r="O545" i="8"/>
  <c r="I195" i="7"/>
  <c r="F195" i="7" s="1"/>
  <c r="N195" i="7"/>
  <c r="P195" i="7" s="1"/>
  <c r="Q195" i="7" s="1"/>
  <c r="I78" i="8"/>
  <c r="N78" i="8"/>
  <c r="N1054" i="8"/>
  <c r="I1054" i="8"/>
  <c r="O92" i="8"/>
  <c r="I23" i="8"/>
  <c r="N23" i="8"/>
  <c r="N213" i="7"/>
  <c r="P213" i="7" s="1"/>
  <c r="Q213" i="7" s="1"/>
  <c r="I213" i="7"/>
  <c r="F213" i="7" s="1"/>
  <c r="O434" i="8"/>
  <c r="N513" i="8"/>
  <c r="I513" i="8"/>
  <c r="O493" i="8"/>
  <c r="I37" i="6"/>
  <c r="F37" i="6" s="1"/>
  <c r="N37" i="6"/>
  <c r="P37" i="6" s="1"/>
  <c r="Q37" i="6" s="1"/>
  <c r="N461" i="8"/>
  <c r="I461" i="8"/>
  <c r="N623" i="8"/>
  <c r="I623" i="8"/>
  <c r="I162" i="7"/>
  <c r="F162" i="7" s="1"/>
  <c r="N162" i="7"/>
  <c r="P162" i="7" s="1"/>
  <c r="Q162" i="7" s="1"/>
  <c r="O40" i="8"/>
  <c r="I242" i="8"/>
  <c r="N242" i="8"/>
  <c r="O263" i="8"/>
  <c r="N21" i="1"/>
  <c r="P21" i="1" s="1"/>
  <c r="Q21" i="1" s="1"/>
  <c r="I21" i="1"/>
  <c r="F21" i="1" s="1"/>
  <c r="O259" i="8"/>
  <c r="I17" i="4"/>
  <c r="F17" i="4" s="1"/>
  <c r="N17" i="4"/>
  <c r="P17" i="4" s="1"/>
  <c r="Q17" i="4" s="1"/>
  <c r="I54" i="7"/>
  <c r="F54" i="7" s="1"/>
  <c r="N54" i="7"/>
  <c r="P54" i="7" s="1"/>
  <c r="Q54" i="7" s="1"/>
  <c r="N204" i="7"/>
  <c r="P204" i="7" s="1"/>
  <c r="Q204" i="7" s="1"/>
  <c r="I204" i="7"/>
  <c r="F204" i="7" s="1"/>
  <c r="O134" i="8"/>
  <c r="O1007" i="8"/>
  <c r="N356" i="8"/>
  <c r="I356" i="8"/>
  <c r="N217" i="8"/>
  <c r="I217" i="8"/>
  <c r="N889" i="8"/>
  <c r="I889" i="8"/>
  <c r="O392" i="8"/>
  <c r="N754" i="8"/>
  <c r="I754" i="8"/>
  <c r="I607" i="8"/>
  <c r="N607" i="8"/>
  <c r="N573" i="8"/>
  <c r="I573" i="8"/>
  <c r="I305" i="8"/>
  <c r="N305" i="8"/>
  <c r="N1087" i="8"/>
  <c r="I1087" i="8"/>
  <c r="O941" i="8"/>
  <c r="I1124" i="8"/>
  <c r="N1124" i="8"/>
  <c r="N268" i="8"/>
  <c r="I268" i="8"/>
  <c r="O595" i="8"/>
  <c r="O385" i="8"/>
  <c r="N208" i="8"/>
  <c r="I208" i="8"/>
  <c r="O503" i="8"/>
  <c r="N119" i="8"/>
  <c r="I119" i="8"/>
  <c r="N843" i="8"/>
  <c r="I843" i="8"/>
  <c r="N867" i="8"/>
  <c r="I867" i="8"/>
  <c r="O583" i="8"/>
  <c r="N475" i="8"/>
  <c r="I475" i="8"/>
  <c r="N1052" i="8"/>
  <c r="I1052" i="8"/>
  <c r="I777" i="8"/>
  <c r="N777" i="8"/>
  <c r="N1017" i="8"/>
  <c r="I1017" i="8"/>
  <c r="O35" i="8"/>
  <c r="N584" i="8"/>
  <c r="I584" i="8"/>
  <c r="O183" i="8"/>
  <c r="I727" i="8"/>
  <c r="N727" i="8"/>
  <c r="N163" i="7"/>
  <c r="P163" i="7" s="1"/>
  <c r="Q163" i="7" s="1"/>
  <c r="I163" i="7"/>
  <c r="F163" i="7" s="1"/>
  <c r="O88" i="8"/>
  <c r="N213" i="8"/>
  <c r="I213" i="8"/>
  <c r="N1042" i="8"/>
  <c r="I1042" i="8"/>
  <c r="O683" i="8"/>
  <c r="O25" i="8"/>
  <c r="O1032" i="8"/>
  <c r="N14" i="4"/>
  <c r="P14" i="4" s="1"/>
  <c r="Q14" i="4" s="1"/>
  <c r="I14" i="4"/>
  <c r="F14" i="4" s="1"/>
  <c r="O997" i="8"/>
  <c r="O204" i="8"/>
  <c r="N250" i="8"/>
  <c r="I250" i="8"/>
  <c r="O568" i="8"/>
  <c r="N617" i="8"/>
  <c r="I617" i="8"/>
  <c r="N248" i="8"/>
  <c r="I248" i="8"/>
  <c r="I374" i="8"/>
  <c r="N374" i="8"/>
  <c r="O1043" i="8"/>
  <c r="O327" i="8"/>
  <c r="I320" i="8"/>
  <c r="N320" i="8"/>
  <c r="N28" i="4"/>
  <c r="P28" i="4" s="1"/>
  <c r="Q28" i="4" s="1"/>
  <c r="I28" i="4"/>
  <c r="F28" i="4" s="1"/>
  <c r="N791" i="8"/>
  <c r="I791" i="8"/>
  <c r="O403" i="8"/>
  <c r="N173" i="7"/>
  <c r="P173" i="7" s="1"/>
  <c r="Q173" i="7" s="1"/>
  <c r="I173" i="7"/>
  <c r="F173" i="7" s="1"/>
  <c r="I64" i="7"/>
  <c r="F64" i="7" s="1"/>
  <c r="N64" i="7"/>
  <c r="P64" i="7" s="1"/>
  <c r="Q64" i="7" s="1"/>
  <c r="I644" i="8"/>
  <c r="N644" i="8"/>
  <c r="O676" i="8"/>
  <c r="I80" i="8"/>
  <c r="N80" i="8"/>
  <c r="I406" i="8"/>
  <c r="N406" i="8"/>
  <c r="I245" i="8"/>
  <c r="N245" i="8"/>
  <c r="N17" i="8"/>
  <c r="I17" i="8"/>
  <c r="O746" i="8"/>
  <c r="O193" i="8"/>
  <c r="N1005" i="8"/>
  <c r="I1005" i="8"/>
  <c r="I360" i="8"/>
  <c r="N360" i="8"/>
  <c r="O14" i="8"/>
  <c r="I96" i="8"/>
  <c r="N96" i="8"/>
  <c r="I756" i="8"/>
  <c r="N756" i="8"/>
  <c r="N144" i="7"/>
  <c r="P144" i="7" s="1"/>
  <c r="Q144" i="7" s="1"/>
  <c r="I144" i="7"/>
  <c r="F144" i="7" s="1"/>
  <c r="I732" i="8"/>
  <c r="N732" i="8"/>
  <c r="O191" i="8"/>
  <c r="O430" i="8"/>
  <c r="O444" i="8"/>
  <c r="I989" i="8"/>
  <c r="N989" i="8"/>
  <c r="O920" i="8"/>
  <c r="N507" i="8"/>
  <c r="I507" i="8"/>
  <c r="I279" i="8"/>
  <c r="N279" i="8"/>
  <c r="O868" i="8"/>
  <c r="O377" i="8"/>
  <c r="O700" i="8"/>
  <c r="O497" i="8"/>
  <c r="N27" i="6"/>
  <c r="P27" i="6" s="1"/>
  <c r="Q27" i="6" s="1"/>
  <c r="I27" i="6"/>
  <c r="F27" i="6" s="1"/>
  <c r="O555" i="8"/>
  <c r="I494" i="8"/>
  <c r="N494" i="8"/>
  <c r="N225" i="8"/>
  <c r="I225" i="8"/>
  <c r="O621" i="8"/>
  <c r="N960" i="8"/>
  <c r="I960" i="8"/>
  <c r="N18" i="6"/>
  <c r="O127" i="8"/>
  <c r="N351" i="8"/>
  <c r="I351" i="8"/>
  <c r="O807" i="8"/>
  <c r="N67" i="7"/>
  <c r="P67" i="7" s="1"/>
  <c r="Q67" i="7" s="1"/>
  <c r="I67" i="7"/>
  <c r="F67" i="7" s="1"/>
  <c r="I66" i="8"/>
  <c r="N66" i="8"/>
  <c r="N400" i="8"/>
  <c r="I400" i="8"/>
  <c r="I17" i="1"/>
  <c r="F17" i="1" s="1"/>
  <c r="N17" i="1"/>
  <c r="P17" i="1" s="1"/>
  <c r="Q17" i="1" s="1"/>
  <c r="O830" i="8"/>
  <c r="I841" i="8"/>
  <c r="N841" i="8"/>
  <c r="N302" i="8"/>
  <c r="I302" i="8"/>
  <c r="O78" i="8"/>
  <c r="N967" i="8"/>
  <c r="I967" i="8"/>
  <c r="N591" i="8"/>
  <c r="I591" i="8"/>
  <c r="I434" i="8"/>
  <c r="N434" i="8"/>
  <c r="N467" i="8"/>
  <c r="I467" i="8"/>
  <c r="I518" i="8"/>
  <c r="N518" i="8"/>
  <c r="I1049" i="8"/>
  <c r="N1049" i="8"/>
  <c r="I13" i="1"/>
  <c r="F13" i="1" s="1"/>
  <c r="N13" i="1"/>
  <c r="P13" i="1" s="1"/>
  <c r="Q13" i="1" s="1"/>
  <c r="I1070" i="8"/>
  <c r="N1070" i="8"/>
  <c r="O217" i="8"/>
  <c r="O429" i="8"/>
  <c r="O292" i="8"/>
  <c r="N672" i="8"/>
  <c r="I672" i="8"/>
  <c r="N492" i="8"/>
  <c r="I492" i="8"/>
  <c r="I681" i="8"/>
  <c r="N681" i="8"/>
  <c r="N663" i="8"/>
  <c r="I663" i="8"/>
  <c r="I12" i="8"/>
  <c r="N12" i="8"/>
  <c r="O824" i="8"/>
  <c r="I385" i="8"/>
  <c r="N385" i="8"/>
  <c r="N1114" i="8"/>
  <c r="I1114" i="8"/>
  <c r="O560" i="8"/>
  <c r="O1133" i="8"/>
  <c r="O802" i="8"/>
  <c r="O603" i="8"/>
  <c r="I629" i="8"/>
  <c r="N629" i="8"/>
  <c r="N202" i="7"/>
  <c r="P202" i="7" s="1"/>
  <c r="Q202" i="7" s="1"/>
  <c r="I202" i="7"/>
  <c r="F202" i="7" s="1"/>
  <c r="O485" i="8"/>
  <c r="O139" i="8"/>
  <c r="O309" i="8"/>
  <c r="I38" i="8"/>
  <c r="N38" i="8"/>
  <c r="O162" i="8"/>
  <c r="N742" i="8"/>
  <c r="I742" i="8"/>
  <c r="N896" i="8"/>
  <c r="I896" i="8"/>
  <c r="O1084" i="8"/>
  <c r="N986" i="8"/>
  <c r="I986" i="8"/>
  <c r="I564" i="8"/>
  <c r="N564" i="8"/>
  <c r="I391" i="8"/>
  <c r="N391" i="8"/>
  <c r="O1031" i="8"/>
  <c r="O389" i="8"/>
  <c r="N857" i="8"/>
  <c r="I857" i="8"/>
  <c r="O521" i="8"/>
  <c r="O32" i="8"/>
  <c r="I848" i="8"/>
  <c r="N848" i="8"/>
  <c r="O1120" i="8"/>
  <c r="I334" i="8"/>
  <c r="N334" i="8"/>
  <c r="I636" i="8"/>
  <c r="N636" i="8"/>
  <c r="O773" i="8"/>
  <c r="I331" i="8"/>
  <c r="N331" i="8"/>
  <c r="N327" i="8"/>
  <c r="I327" i="8"/>
  <c r="I1064" i="8"/>
  <c r="N1064" i="8"/>
  <c r="O906" i="8"/>
  <c r="N178" i="8"/>
  <c r="I178" i="8"/>
  <c r="N451" i="8"/>
  <c r="I451" i="8"/>
  <c r="O24" i="8"/>
  <c r="I192" i="7"/>
  <c r="F192" i="7" s="1"/>
  <c r="N192" i="7"/>
  <c r="P192" i="7" s="1"/>
  <c r="Q192" i="7" s="1"/>
  <c r="I611" i="8"/>
  <c r="N611" i="8"/>
  <c r="O479" i="8"/>
  <c r="O1010" i="8"/>
  <c r="O1050" i="8"/>
  <c r="O245" i="8"/>
  <c r="O17" i="8"/>
  <c r="O325" i="8"/>
  <c r="N627" i="8"/>
  <c r="I627" i="8"/>
  <c r="O678" i="8"/>
  <c r="O654" i="8"/>
  <c r="O579" i="8"/>
  <c r="I123" i="7"/>
  <c r="F123" i="7" s="1"/>
  <c r="N123" i="7"/>
  <c r="P123" i="7" s="1"/>
  <c r="Q123" i="7" s="1"/>
  <c r="I478" i="8"/>
  <c r="N478" i="8"/>
  <c r="O1060" i="8"/>
  <c r="N668" i="8"/>
  <c r="I668" i="8"/>
  <c r="O860" i="8"/>
  <c r="N1001" i="8"/>
  <c r="I1001" i="8"/>
  <c r="O156" i="8"/>
  <c r="I40" i="6"/>
  <c r="F40" i="6" s="1"/>
  <c r="N40" i="6"/>
  <c r="P40" i="6" s="1"/>
  <c r="Q40" i="6" s="1"/>
  <c r="I178" i="7"/>
  <c r="F178" i="7" s="1"/>
  <c r="N178" i="7"/>
  <c r="P178" i="7" s="1"/>
  <c r="Q178" i="7" s="1"/>
  <c r="O1115" i="8"/>
  <c r="N232" i="8"/>
  <c r="I232" i="8"/>
  <c r="O53" i="8"/>
  <c r="O135" i="8"/>
  <c r="O935" i="8"/>
  <c r="O483" i="8"/>
  <c r="N697" i="8"/>
  <c r="I697" i="8"/>
  <c r="O206" i="8"/>
  <c r="O604" i="8"/>
  <c r="I458" i="8"/>
  <c r="N458" i="8"/>
  <c r="O808" i="8"/>
  <c r="O343" i="8"/>
  <c r="I127" i="8"/>
  <c r="N127" i="8"/>
  <c r="I108" i="7"/>
  <c r="F108" i="7" s="1"/>
  <c r="N108" i="7"/>
  <c r="P108" i="7" s="1"/>
  <c r="Q108" i="7" s="1"/>
  <c r="N103" i="8"/>
  <c r="I103" i="8"/>
  <c r="N590" i="8"/>
  <c r="I590" i="8"/>
  <c r="I171" i="8"/>
  <c r="N171" i="8"/>
  <c r="N164" i="7"/>
  <c r="P164" i="7" s="1"/>
  <c r="Q164" i="7" s="1"/>
  <c r="I164" i="7"/>
  <c r="F164" i="7" s="1"/>
  <c r="O302" i="8"/>
  <c r="O885" i="8"/>
  <c r="I20" i="4"/>
  <c r="F20" i="4" s="1"/>
  <c r="N20" i="4"/>
  <c r="P20" i="4" s="1"/>
  <c r="Q20" i="4" s="1"/>
  <c r="O815" i="8"/>
  <c r="N545" i="8"/>
  <c r="I545" i="8"/>
  <c r="I596" i="8"/>
  <c r="N596" i="8"/>
  <c r="O23" i="8"/>
  <c r="N358" i="8"/>
  <c r="I358" i="8"/>
  <c r="I493" i="8"/>
  <c r="N493" i="8"/>
  <c r="N688" i="8"/>
  <c r="I688" i="8"/>
  <c r="O628" i="8"/>
  <c r="I125" i="8"/>
  <c r="N125" i="8"/>
  <c r="N128" i="7"/>
  <c r="P128" i="7" s="1"/>
  <c r="Q128" i="7" s="1"/>
  <c r="I128" i="7"/>
  <c r="F128" i="7" s="1"/>
  <c r="I221" i="8"/>
  <c r="N221" i="8"/>
  <c r="I572" i="8"/>
  <c r="N572" i="8"/>
  <c r="N70" i="8"/>
  <c r="I70" i="8"/>
  <c r="O615" i="8"/>
  <c r="O1051" i="8"/>
  <c r="O110" i="8"/>
  <c r="O565" i="8"/>
  <c r="O834" i="8"/>
  <c r="O158" i="8"/>
  <c r="N707" i="8"/>
  <c r="I707" i="8"/>
  <c r="N824" i="8"/>
  <c r="I824" i="8"/>
  <c r="I883" i="8"/>
  <c r="N883" i="8"/>
  <c r="N503" i="8"/>
  <c r="I503" i="8"/>
  <c r="O304" i="8"/>
  <c r="I95" i="8"/>
  <c r="N95" i="8"/>
  <c r="I603" i="8"/>
  <c r="N603" i="8"/>
  <c r="I881" i="8"/>
  <c r="N881" i="8"/>
  <c r="O629" i="8"/>
  <c r="N26" i="7"/>
  <c r="P26" i="7" s="1"/>
  <c r="Q26" i="7" s="1"/>
  <c r="I26" i="7"/>
  <c r="F26" i="7" s="1"/>
  <c r="N704" i="8"/>
  <c r="I704" i="8"/>
  <c r="I150" i="7"/>
  <c r="F150" i="7" s="1"/>
  <c r="N150" i="7"/>
  <c r="P150" i="7" s="1"/>
  <c r="Q150" i="7" s="1"/>
  <c r="O1044" i="8"/>
  <c r="O729" i="8"/>
  <c r="N247" i="8"/>
  <c r="I247" i="8"/>
  <c r="I851" i="8"/>
  <c r="N851" i="8"/>
  <c r="O38" i="8"/>
  <c r="I162" i="8"/>
  <c r="N162" i="8"/>
  <c r="I169" i="8"/>
  <c r="N169" i="8"/>
  <c r="I425" i="8"/>
  <c r="N425" i="8"/>
  <c r="I713" i="8"/>
  <c r="N713" i="8"/>
  <c r="O767" i="8"/>
  <c r="O659" i="8"/>
  <c r="I509" i="8"/>
  <c r="N509" i="8"/>
  <c r="I326" i="8"/>
  <c r="N326" i="8"/>
  <c r="O1102" i="8"/>
  <c r="N269" i="8"/>
  <c r="I269" i="8"/>
  <c r="O108" i="8"/>
  <c r="I921" i="8"/>
  <c r="N921" i="8"/>
  <c r="O850" i="8"/>
  <c r="O658" i="8"/>
  <c r="O998" i="8"/>
  <c r="N684" i="8"/>
  <c r="I684" i="8"/>
  <c r="O799" i="8"/>
  <c r="O1090" i="8"/>
  <c r="N1120" i="8"/>
  <c r="I1120" i="8"/>
  <c r="O486" i="8"/>
  <c r="O1113" i="8"/>
  <c r="N1065" i="8"/>
  <c r="I1065" i="8"/>
  <c r="O770" i="8"/>
  <c r="O320" i="8"/>
  <c r="I286" i="8"/>
  <c r="N286" i="8"/>
  <c r="N354" i="8"/>
  <c r="I354" i="8"/>
  <c r="O178" i="8"/>
  <c r="O408" i="8"/>
  <c r="N522" i="8"/>
  <c r="I522" i="8"/>
  <c r="I1112" i="8"/>
  <c r="N1112" i="8"/>
  <c r="I237" i="8"/>
  <c r="N237" i="8"/>
  <c r="O644" i="8"/>
  <c r="N609" i="8"/>
  <c r="I609" i="8"/>
  <c r="I1097" i="8"/>
  <c r="N1097" i="8"/>
  <c r="N676" i="8"/>
  <c r="I676" i="8"/>
  <c r="N667" i="8"/>
  <c r="I667" i="8"/>
  <c r="I1050" i="8"/>
  <c r="N1050" i="8"/>
  <c r="O978" i="8"/>
  <c r="O344" i="8"/>
  <c r="I897" i="8"/>
  <c r="N897" i="8"/>
  <c r="I690" i="8"/>
  <c r="N690" i="8"/>
  <c r="N333" i="8"/>
  <c r="I333" i="8"/>
  <c r="O1005" i="8"/>
  <c r="O310" i="8"/>
  <c r="O321" i="8"/>
  <c r="N1098" i="8"/>
  <c r="I1098" i="8"/>
  <c r="O932" i="8"/>
  <c r="O739" i="8"/>
  <c r="O966" i="8"/>
  <c r="I77" i="7"/>
  <c r="F77" i="7" s="1"/>
  <c r="N77" i="7"/>
  <c r="P77" i="7" s="1"/>
  <c r="Q77" i="7" s="1"/>
  <c r="I920" i="8"/>
  <c r="N920" i="8"/>
  <c r="O432" i="8"/>
  <c r="N184" i="7"/>
  <c r="P184" i="7" s="1"/>
  <c r="Q184" i="7" s="1"/>
  <c r="I184" i="7"/>
  <c r="F184" i="7" s="1"/>
  <c r="O585" i="8"/>
  <c r="N429" i="8"/>
  <c r="I429" i="8"/>
  <c r="N615" i="8"/>
  <c r="I615" i="8"/>
  <c r="O128" i="8"/>
  <c r="I1021" i="8"/>
  <c r="N1021" i="8"/>
  <c r="I515" i="8"/>
  <c r="N515" i="8"/>
  <c r="O365" i="8"/>
  <c r="I601" i="8"/>
  <c r="N601" i="8"/>
  <c r="O541" i="8"/>
  <c r="N79" i="8"/>
  <c r="I79" i="8"/>
  <c r="I804" i="8"/>
  <c r="N804" i="8"/>
  <c r="O413" i="8"/>
  <c r="O338" i="8"/>
  <c r="O290" i="8"/>
  <c r="N165" i="8"/>
  <c r="I165" i="8"/>
  <c r="O58" i="8"/>
  <c r="N657" i="8"/>
  <c r="I657" i="8"/>
  <c r="I525" i="8"/>
  <c r="N525" i="8"/>
  <c r="I158" i="8"/>
  <c r="N158" i="8"/>
  <c r="O1066" i="8"/>
  <c r="O980" i="8"/>
  <c r="O863" i="8"/>
  <c r="N648" i="8"/>
  <c r="I648" i="8"/>
  <c r="O316" i="8"/>
  <c r="O893" i="8"/>
  <c r="N1105" i="8"/>
  <c r="I1105" i="8"/>
  <c r="O737" i="8"/>
  <c r="I597" i="8"/>
  <c r="N597" i="8"/>
  <c r="O1012" i="8"/>
  <c r="I165" i="7"/>
  <c r="F165" i="7" s="1"/>
  <c r="N165" i="7"/>
  <c r="P165" i="7" s="1"/>
  <c r="Q165" i="7" s="1"/>
  <c r="O1006" i="8"/>
  <c r="O665" i="8"/>
  <c r="I155" i="8"/>
  <c r="N155" i="8"/>
  <c r="O1083" i="8"/>
  <c r="N1011" i="8"/>
  <c r="I1011" i="8"/>
  <c r="N911" i="8"/>
  <c r="I911" i="8"/>
  <c r="O977" i="8"/>
  <c r="N214" i="7"/>
  <c r="P214" i="7" s="1"/>
  <c r="Q214" i="7" s="1"/>
  <c r="I214" i="7"/>
  <c r="F214" i="7" s="1"/>
  <c r="O26" i="8"/>
  <c r="O236" i="8"/>
  <c r="I936" i="8"/>
  <c r="N936" i="8"/>
  <c r="N1136" i="8"/>
  <c r="I1136" i="8"/>
  <c r="O881" i="8"/>
  <c r="I63" i="7"/>
  <c r="F63" i="7" s="1"/>
  <c r="N63" i="7"/>
  <c r="P63" i="7" s="1"/>
  <c r="Q63" i="7" s="1"/>
  <c r="O1125" i="8"/>
  <c r="I652" i="8"/>
  <c r="N652" i="8"/>
  <c r="O133" i="8"/>
  <c r="O531" i="8"/>
  <c r="N1044" i="8"/>
  <c r="I1044" i="8"/>
  <c r="O11" i="8"/>
  <c r="H1" i="8"/>
  <c r="H6" i="8"/>
  <c r="H5" i="8"/>
  <c r="H3" i="8"/>
  <c r="O247" i="8"/>
  <c r="O520" i="8"/>
  <c r="N797" i="8"/>
  <c r="I797" i="8"/>
  <c r="O561" i="8"/>
  <c r="O114" i="8"/>
  <c r="I102" i="8"/>
  <c r="N102" i="8"/>
  <c r="O861" i="8"/>
  <c r="N567" i="8"/>
  <c r="I567" i="8"/>
  <c r="N480" i="8"/>
  <c r="I480" i="8"/>
  <c r="O1053" i="8"/>
  <c r="I724" i="8"/>
  <c r="N724" i="8"/>
  <c r="O762" i="8"/>
  <c r="I303" i="8"/>
  <c r="N303" i="8"/>
  <c r="N201" i="7"/>
  <c r="P201" i="7" s="1"/>
  <c r="Q201" i="7" s="1"/>
  <c r="I201" i="7"/>
  <c r="F201" i="7" s="1"/>
  <c r="O673" i="8"/>
  <c r="O519" i="8"/>
  <c r="O742" i="8"/>
  <c r="I98" i="7"/>
  <c r="F98" i="7" s="1"/>
  <c r="N98" i="7"/>
  <c r="P98" i="7" s="1"/>
  <c r="Q98" i="7" s="1"/>
  <c r="G6" i="7"/>
  <c r="G5" i="7"/>
  <c r="G3" i="7"/>
  <c r="I11" i="7"/>
  <c r="N11" i="7"/>
  <c r="G1" i="7"/>
  <c r="O896" i="8"/>
  <c r="N12" i="4"/>
  <c r="P12" i="4" s="1"/>
  <c r="Q12" i="4" s="1"/>
  <c r="I12" i="4"/>
  <c r="F12" i="4" s="1"/>
  <c r="O710" i="8"/>
  <c r="O425" i="8"/>
  <c r="I600" i="8"/>
  <c r="N600" i="8"/>
  <c r="O602" i="8"/>
  <c r="O713" i="8"/>
  <c r="O715" i="8"/>
  <c r="O390" i="8"/>
  <c r="O159" i="8"/>
  <c r="I177" i="7"/>
  <c r="F177" i="7" s="1"/>
  <c r="N177" i="7"/>
  <c r="P177" i="7" s="1"/>
  <c r="Q177" i="7" s="1"/>
  <c r="O817" i="8"/>
  <c r="O577" i="8"/>
  <c r="N136" i="7"/>
  <c r="P136" i="7" s="1"/>
  <c r="Q136" i="7" s="1"/>
  <c r="I136" i="7"/>
  <c r="F136" i="7" s="1"/>
  <c r="N912" i="8"/>
  <c r="I912" i="8"/>
  <c r="I662" i="8"/>
  <c r="N662" i="8"/>
  <c r="I928" i="8"/>
  <c r="N928" i="8"/>
  <c r="O509" i="8"/>
  <c r="I570" i="8"/>
  <c r="N570" i="8"/>
  <c r="N210" i="7"/>
  <c r="P210" i="7" s="1"/>
  <c r="Q210" i="7" s="1"/>
  <c r="I210" i="7"/>
  <c r="F210" i="7" s="1"/>
  <c r="O326" i="8"/>
  <c r="I691" i="8"/>
  <c r="N691" i="8"/>
  <c r="O391" i="8"/>
  <c r="N578" i="8"/>
  <c r="I578" i="8"/>
  <c r="O517" i="8"/>
  <c r="N1102" i="8"/>
  <c r="I1102" i="8"/>
  <c r="N831" i="8"/>
  <c r="I831" i="8"/>
  <c r="O269" i="8"/>
  <c r="O105" i="8"/>
  <c r="O460" i="8"/>
  <c r="O689" i="8"/>
  <c r="O887" i="8"/>
  <c r="N134" i="7"/>
  <c r="P134" i="7" s="1"/>
  <c r="Q134" i="7" s="1"/>
  <c r="I134" i="7"/>
  <c r="F134" i="7" s="1"/>
  <c r="I63" i="8"/>
  <c r="N63" i="8"/>
  <c r="N658" i="8"/>
  <c r="I658" i="8"/>
  <c r="O612" i="8"/>
  <c r="N1019" i="8"/>
  <c r="I1019" i="8"/>
  <c r="I1103" i="8"/>
  <c r="N1103" i="8"/>
  <c r="O684" i="8"/>
  <c r="I409" i="8"/>
  <c r="N409" i="8"/>
  <c r="N57" i="8"/>
  <c r="I57" i="8"/>
  <c r="I799" i="8"/>
  <c r="N799" i="8"/>
  <c r="O453" i="8"/>
  <c r="O973" i="8"/>
  <c r="O553" i="8"/>
  <c r="N610" i="8"/>
  <c r="I610" i="8"/>
  <c r="O1065" i="8"/>
  <c r="O805" i="8"/>
  <c r="I951" i="8"/>
  <c r="N951" i="8"/>
  <c r="N770" i="8"/>
  <c r="I770" i="8"/>
  <c r="N196" i="7"/>
  <c r="P196" i="7" s="1"/>
  <c r="Q196" i="7" s="1"/>
  <c r="I196" i="7"/>
  <c r="F196" i="7" s="1"/>
  <c r="N822" i="8"/>
  <c r="I822" i="8"/>
  <c r="O160" i="8"/>
  <c r="N1029" i="8"/>
  <c r="I1029" i="8"/>
  <c r="I31" i="7"/>
  <c r="F31" i="7" s="1"/>
  <c r="N31" i="7"/>
  <c r="P31" i="7" s="1"/>
  <c r="Q31" i="7" s="1"/>
  <c r="N49" i="7"/>
  <c r="P49" i="7" s="1"/>
  <c r="Q49" i="7" s="1"/>
  <c r="I49" i="7"/>
  <c r="F49" i="7" s="1"/>
  <c r="O865" i="8"/>
  <c r="O198" i="8"/>
  <c r="O872" i="8"/>
  <c r="N811" i="8"/>
  <c r="I811" i="8"/>
  <c r="O286" i="8"/>
  <c r="I173" i="8"/>
  <c r="N173" i="8"/>
  <c r="N29" i="4"/>
  <c r="P29" i="4" s="1"/>
  <c r="Q29" i="4" s="1"/>
  <c r="I29" i="4"/>
  <c r="F29" i="4" s="1"/>
  <c r="I167" i="7"/>
  <c r="F167" i="7" s="1"/>
  <c r="N167" i="7"/>
  <c r="P167" i="7" s="1"/>
  <c r="Q167" i="7" s="1"/>
  <c r="O354" i="8"/>
  <c r="N764" i="8"/>
  <c r="I764" i="8"/>
  <c r="N906" i="8"/>
  <c r="I906" i="8"/>
  <c r="I630" i="8"/>
  <c r="N630" i="8"/>
  <c r="I408" i="8"/>
  <c r="N408" i="8"/>
  <c r="N671" i="8"/>
  <c r="I671" i="8"/>
  <c r="I832" i="8"/>
  <c r="N832" i="8"/>
  <c r="N13" i="6"/>
  <c r="P13" i="6" s="1"/>
  <c r="Q13" i="6" s="1"/>
  <c r="I13" i="6"/>
  <c r="F13" i="6" s="1"/>
  <c r="N616" i="8"/>
  <c r="I616" i="8"/>
  <c r="N15" i="6"/>
  <c r="P15" i="6" s="1"/>
  <c r="Q15" i="6" s="1"/>
  <c r="I15" i="6"/>
  <c r="F15" i="6" s="1"/>
  <c r="O336" i="8"/>
  <c r="O59" i="8"/>
  <c r="O153" i="8"/>
  <c r="O319" i="8"/>
  <c r="O759" i="8"/>
  <c r="O609" i="8"/>
  <c r="N925" i="8"/>
  <c r="I925" i="8"/>
  <c r="O315" i="8"/>
  <c r="O701" i="8"/>
  <c r="N26" i="6"/>
  <c r="P26" i="6" s="1"/>
  <c r="Q26" i="6" s="1"/>
  <c r="I26" i="6"/>
  <c r="F26" i="6" s="1"/>
  <c r="I1014" i="8"/>
  <c r="N1014" i="8"/>
  <c r="O328" i="8"/>
  <c r="I200" i="7"/>
  <c r="F200" i="7" s="1"/>
  <c r="N200" i="7"/>
  <c r="P200" i="7" s="1"/>
  <c r="Q200" i="7" s="1"/>
  <c r="I156" i="7"/>
  <c r="F156" i="7" s="1"/>
  <c r="N156" i="7"/>
  <c r="P156" i="7" s="1"/>
  <c r="Q156" i="7" s="1"/>
  <c r="N301" i="8"/>
  <c r="I301" i="8"/>
  <c r="I1095" i="8"/>
  <c r="N1095" i="8"/>
  <c r="O73" i="8"/>
  <c r="I890" i="8"/>
  <c r="N890" i="8"/>
  <c r="O946" i="8"/>
  <c r="I999" i="8"/>
  <c r="N999" i="8"/>
  <c r="N1022" i="8"/>
  <c r="I1022" i="8"/>
  <c r="I344" i="8"/>
  <c r="N344" i="8"/>
  <c r="I227" i="8"/>
  <c r="N227" i="8"/>
  <c r="O938" i="8"/>
  <c r="N856" i="8"/>
  <c r="I856" i="8"/>
  <c r="I895" i="8"/>
  <c r="N895" i="8"/>
  <c r="O224" i="8"/>
  <c r="O260" i="8"/>
  <c r="O755" i="8"/>
  <c r="O640" i="8"/>
  <c r="N363" i="8"/>
  <c r="I363" i="8"/>
  <c r="N278" i="8"/>
  <c r="I278" i="8"/>
  <c r="O333" i="8"/>
  <c r="I1055" i="8"/>
  <c r="N1055" i="8"/>
  <c r="I849" i="8"/>
  <c r="N849" i="8"/>
  <c r="O761" i="8"/>
  <c r="N784" i="8"/>
  <c r="I784" i="8"/>
  <c r="N157" i="8"/>
  <c r="I157" i="8"/>
  <c r="O1048" i="8"/>
  <c r="N504" i="8"/>
  <c r="I504" i="8"/>
  <c r="I310" i="8"/>
  <c r="N310" i="8"/>
  <c r="I229" i="8"/>
  <c r="N229" i="8"/>
  <c r="I858" i="8"/>
  <c r="N858" i="8"/>
  <c r="N321" i="8"/>
  <c r="I321" i="8"/>
  <c r="I126" i="7"/>
  <c r="F126" i="7" s="1"/>
  <c r="N126" i="7"/>
  <c r="P126" i="7" s="1"/>
  <c r="Q126" i="7" s="1"/>
  <c r="I72" i="7"/>
  <c r="F72" i="7" s="1"/>
  <c r="N72" i="7"/>
  <c r="P72" i="7" s="1"/>
  <c r="Q72" i="7" s="1"/>
  <c r="N932" i="8"/>
  <c r="I932" i="8"/>
  <c r="O273" i="8"/>
  <c r="N340" i="8"/>
  <c r="I340" i="8"/>
  <c r="I739" i="8"/>
  <c r="N739" i="8"/>
  <c r="O909" i="8"/>
  <c r="N179" i="7"/>
  <c r="P179" i="7" s="1"/>
  <c r="Q179" i="7" s="1"/>
  <c r="I179" i="7"/>
  <c r="F179" i="7" s="1"/>
  <c r="R179" i="7" s="1"/>
  <c r="N107" i="7"/>
  <c r="P107" i="7" s="1"/>
  <c r="Q107" i="7" s="1"/>
  <c r="I107" i="7"/>
  <c r="F107" i="7" s="1"/>
  <c r="N82" i="7"/>
  <c r="P82" i="7" s="1"/>
  <c r="Q82" i="7" s="1"/>
  <c r="I82" i="7"/>
  <c r="F82" i="7" s="1"/>
  <c r="N24" i="4"/>
  <c r="P24" i="4" s="1"/>
  <c r="Q24" i="4" s="1"/>
  <c r="I24" i="4"/>
  <c r="F24" i="4" s="1"/>
  <c r="R24" i="4" s="1"/>
  <c r="N924" i="8"/>
  <c r="I924" i="8"/>
  <c r="I402" i="8"/>
  <c r="N402" i="8"/>
  <c r="I291" i="8"/>
  <c r="N291" i="8"/>
  <c r="O1088" i="8"/>
  <c r="O104" i="8"/>
  <c r="O788" i="8"/>
  <c r="N487" i="8"/>
  <c r="I487" i="8"/>
  <c r="O614" i="8"/>
  <c r="I332" i="8"/>
  <c r="N332" i="8"/>
  <c r="O34" i="8"/>
  <c r="O931" i="8"/>
  <c r="O556" i="8"/>
  <c r="N185" i="7"/>
  <c r="P185" i="7" s="1"/>
  <c r="Q185" i="7" s="1"/>
  <c r="I185" i="7"/>
  <c r="F185" i="7" s="1"/>
  <c r="I995" i="8"/>
  <c r="N995" i="8"/>
  <c r="O637" i="8"/>
  <c r="I141" i="8"/>
  <c r="N141" i="8"/>
  <c r="O469" i="8"/>
  <c r="N876" i="8"/>
  <c r="I876" i="8"/>
  <c r="O459" i="8"/>
  <c r="I398" i="8"/>
  <c r="N398" i="8"/>
  <c r="I1108" i="8"/>
  <c r="N1108" i="8"/>
  <c r="N257" i="8"/>
  <c r="I257" i="8"/>
  <c r="N606" i="8"/>
  <c r="I606" i="8"/>
  <c r="O232" i="8"/>
  <c r="I107" i="8"/>
  <c r="N107" i="8"/>
  <c r="N11" i="5"/>
  <c r="P11" i="5" s="1"/>
  <c r="Q11" i="5" s="1"/>
  <c r="I11" i="5"/>
  <c r="F11" i="5" s="1"/>
  <c r="N69" i="7"/>
  <c r="P69" i="7" s="1"/>
  <c r="Q69" i="7" s="1"/>
  <c r="I69" i="7"/>
  <c r="F69" i="7" s="1"/>
  <c r="N75" i="7"/>
  <c r="P75" i="7" s="1"/>
  <c r="Q75" i="7" s="1"/>
  <c r="I75" i="7"/>
  <c r="F75" i="7" s="1"/>
  <c r="I20" i="6"/>
  <c r="F20" i="6" s="1"/>
  <c r="N20" i="6"/>
  <c r="P20" i="6" s="1"/>
  <c r="Q20" i="6" s="1"/>
  <c r="O19" i="8"/>
  <c r="O542" i="8"/>
  <c r="O563" i="8"/>
  <c r="O281" i="8"/>
  <c r="O730" i="8"/>
  <c r="I58" i="7"/>
  <c r="F58" i="7" s="1"/>
  <c r="N58" i="7"/>
  <c r="P58" i="7" s="1"/>
  <c r="Q58" i="7" s="1"/>
  <c r="N189" i="8"/>
  <c r="I189" i="8"/>
  <c r="I136" i="8"/>
  <c r="N136" i="8"/>
  <c r="I104" i="7"/>
  <c r="F104" i="7" s="1"/>
  <c r="N104" i="7"/>
  <c r="P104" i="7" s="1"/>
  <c r="Q104" i="7" s="1"/>
  <c r="O544" i="8"/>
  <c r="I647" i="8"/>
  <c r="N647" i="8"/>
  <c r="I22" i="7"/>
  <c r="F22" i="7" s="1"/>
  <c r="N22" i="7"/>
  <c r="P22" i="7" s="1"/>
  <c r="Q22" i="7" s="1"/>
  <c r="O813" i="8"/>
  <c r="O314" i="8"/>
  <c r="O484" i="8"/>
  <c r="N692" i="8"/>
  <c r="I692" i="8"/>
  <c r="I990" i="8"/>
  <c r="N990" i="8"/>
  <c r="N604" i="8"/>
  <c r="I604" i="8"/>
  <c r="N585" i="8"/>
  <c r="I585" i="8"/>
  <c r="I194" i="7"/>
  <c r="F194" i="7" s="1"/>
  <c r="N194" i="7"/>
  <c r="P194" i="7" s="1"/>
  <c r="Q194" i="7" s="1"/>
  <c r="O271" i="8"/>
  <c r="O845" i="8"/>
  <c r="O827" i="8"/>
  <c r="N117" i="8"/>
  <c r="I117" i="8"/>
  <c r="O267" i="8"/>
  <c r="I264" i="8"/>
  <c r="N264" i="8"/>
  <c r="O1110" i="8"/>
  <c r="O464" i="8"/>
  <c r="O74" i="8"/>
  <c r="N546" i="8"/>
  <c r="I546" i="8"/>
  <c r="O859" i="8"/>
  <c r="O13" i="8"/>
  <c r="N728" i="8"/>
  <c r="I728" i="8"/>
  <c r="N620" i="8"/>
  <c r="I620" i="8"/>
  <c r="O854" i="8"/>
  <c r="N750" i="8"/>
  <c r="I750" i="8"/>
  <c r="O547" i="8"/>
  <c r="O844" i="8"/>
  <c r="O641" i="8"/>
  <c r="O103" i="8"/>
  <c r="N419" i="8"/>
  <c r="I419" i="8"/>
  <c r="O202" i="8"/>
  <c r="O147" i="8"/>
  <c r="O431" i="8"/>
  <c r="O438" i="8"/>
  <c r="O956" i="8"/>
  <c r="N125" i="7"/>
  <c r="P125" i="7" s="1"/>
  <c r="Q125" i="7" s="1"/>
  <c r="I125" i="7"/>
  <c r="F125" i="7" s="1"/>
  <c r="O379" i="8"/>
  <c r="O54" i="8"/>
  <c r="I42" i="7"/>
  <c r="F42" i="7" s="1"/>
  <c r="N42" i="7"/>
  <c r="P42" i="7" s="1"/>
  <c r="Q42" i="7" s="1"/>
  <c r="I34" i="7"/>
  <c r="F34" i="7" s="1"/>
  <c r="N34" i="7"/>
  <c r="P34" i="7" s="1"/>
  <c r="Q34" i="7" s="1"/>
  <c r="O775" i="8"/>
  <c r="O148" i="8"/>
  <c r="O220" i="8"/>
  <c r="N468" i="8"/>
  <c r="I468" i="8"/>
  <c r="I25" i="6"/>
  <c r="F25" i="6" s="1"/>
  <c r="N25" i="6"/>
  <c r="P25" i="6" s="1"/>
  <c r="Q25" i="6" s="1"/>
  <c r="O500" i="8"/>
  <c r="I139" i="7"/>
  <c r="F139" i="7" s="1"/>
  <c r="N139" i="7"/>
  <c r="P139" i="7" s="1"/>
  <c r="Q139" i="7" s="1"/>
  <c r="O1054" i="8"/>
  <c r="N92" i="8"/>
  <c r="I92" i="8"/>
  <c r="O358" i="8"/>
  <c r="O513" i="8"/>
  <c r="I74" i="7"/>
  <c r="F74" i="7" s="1"/>
  <c r="N74" i="7"/>
  <c r="P74" i="7" s="1"/>
  <c r="Q74" i="7" s="1"/>
  <c r="O93" i="8"/>
  <c r="I86" i="8"/>
  <c r="N86" i="8"/>
  <c r="O461" i="8"/>
  <c r="I628" i="8"/>
  <c r="N628" i="8"/>
  <c r="N1056" i="8"/>
  <c r="I1056" i="8"/>
  <c r="N1086" i="8"/>
  <c r="I1086" i="8"/>
  <c r="I263" i="8"/>
  <c r="N263" i="8"/>
  <c r="I505" i="8"/>
  <c r="N505" i="8"/>
  <c r="N639" i="8"/>
  <c r="I639" i="8"/>
  <c r="N93" i="7"/>
  <c r="P93" i="7" s="1"/>
  <c r="Q93" i="7" s="1"/>
  <c r="I93" i="7"/>
  <c r="F93" i="7" s="1"/>
  <c r="O757" i="8"/>
  <c r="N172" i="8"/>
  <c r="I172" i="8"/>
  <c r="I191" i="7"/>
  <c r="F191" i="7" s="1"/>
  <c r="N191" i="7"/>
  <c r="P191" i="7" s="1"/>
  <c r="Q191" i="7" s="1"/>
  <c r="N769" i="8"/>
  <c r="I769" i="8"/>
  <c r="N246" i="8"/>
  <c r="I246" i="8"/>
  <c r="O672" i="8"/>
  <c r="N1072" i="8"/>
  <c r="I1072" i="8"/>
  <c r="O589" i="8"/>
  <c r="O12" i="8"/>
  <c r="I776" i="8"/>
  <c r="N776" i="8"/>
  <c r="N801" i="8"/>
  <c r="I801" i="8"/>
  <c r="O174" i="8"/>
  <c r="N254" i="8"/>
  <c r="I254" i="8"/>
  <c r="O818" i="8"/>
  <c r="O116" i="8"/>
  <c r="O238" i="8"/>
  <c r="O778" i="8"/>
  <c r="N152" i="8"/>
  <c r="I152" i="8"/>
  <c r="N442" i="8"/>
  <c r="I442" i="8"/>
  <c r="O851" i="8"/>
  <c r="N680" i="8"/>
  <c r="I680" i="8"/>
  <c r="H1" i="6"/>
  <c r="H6" i="6"/>
  <c r="O11" i="6"/>
  <c r="H5" i="6"/>
  <c r="H3" i="6"/>
  <c r="O937" i="8"/>
  <c r="I581" i="8"/>
  <c r="N581" i="8"/>
  <c r="I1084" i="8"/>
  <c r="N1084" i="8"/>
  <c r="O874" i="8"/>
  <c r="I154" i="7"/>
  <c r="F154" i="7" s="1"/>
  <c r="N154" i="7"/>
  <c r="P154" i="7" s="1"/>
  <c r="Q154" i="7" s="1"/>
  <c r="I659" i="8"/>
  <c r="N659" i="8"/>
  <c r="I551" i="8"/>
  <c r="N551" i="8"/>
  <c r="N371" i="8"/>
  <c r="I371" i="8"/>
  <c r="N161" i="8"/>
  <c r="I161" i="8"/>
  <c r="I521" i="8"/>
  <c r="N521" i="8"/>
  <c r="I174" i="7"/>
  <c r="F174" i="7" s="1"/>
  <c r="N174" i="7"/>
  <c r="P174" i="7" s="1"/>
  <c r="Q174" i="7" s="1"/>
  <c r="N241" i="8"/>
  <c r="I241" i="8"/>
  <c r="O537" i="8"/>
  <c r="O1058" i="8"/>
  <c r="I28" i="7"/>
  <c r="F28" i="7" s="1"/>
  <c r="N28" i="7"/>
  <c r="P28" i="7" s="1"/>
  <c r="Q28" i="7" s="1"/>
  <c r="O711" i="8"/>
  <c r="N773" i="8"/>
  <c r="I773" i="8"/>
  <c r="O331" i="8"/>
  <c r="I955" i="8"/>
  <c r="N955" i="8"/>
  <c r="N905" i="8"/>
  <c r="I905" i="8"/>
  <c r="I160" i="7"/>
  <c r="F160" i="7" s="1"/>
  <c r="N160" i="7"/>
  <c r="P160" i="7" s="1"/>
  <c r="Q160" i="7" s="1"/>
  <c r="O1064" i="8"/>
  <c r="O1131" i="8"/>
  <c r="I283" i="8"/>
  <c r="N283" i="8"/>
  <c r="N24" i="8"/>
  <c r="I24" i="8"/>
  <c r="I969" i="8"/>
  <c r="N969" i="8"/>
  <c r="O448" i="8"/>
  <c r="O1123" i="8"/>
  <c r="I15" i="8"/>
  <c r="N15" i="8"/>
  <c r="N114" i="7"/>
  <c r="P114" i="7" s="1"/>
  <c r="Q114" i="7" s="1"/>
  <c r="I114" i="7"/>
  <c r="F114" i="7" s="1"/>
  <c r="N948" i="8"/>
  <c r="I948" i="8"/>
  <c r="O1119" i="8"/>
  <c r="N335" i="8"/>
  <c r="I335" i="8"/>
  <c r="N618" i="8"/>
  <c r="I618" i="8"/>
  <c r="I359" i="8"/>
  <c r="N359" i="8"/>
  <c r="O930" i="8"/>
  <c r="O669" i="8"/>
  <c r="O297" i="8"/>
  <c r="O655" i="8"/>
  <c r="N632" i="8"/>
  <c r="I632" i="8"/>
  <c r="I526" i="8"/>
  <c r="N526" i="8"/>
  <c r="I964" i="8"/>
  <c r="N964" i="8"/>
  <c r="N579" i="8"/>
  <c r="I579" i="8"/>
  <c r="O143" i="8"/>
  <c r="O466" i="8"/>
  <c r="N1076" i="8"/>
  <c r="I1076" i="8"/>
  <c r="I233" i="8"/>
  <c r="N233" i="8"/>
  <c r="O961" i="8"/>
  <c r="O735" i="8"/>
  <c r="O346" i="8"/>
  <c r="O46" i="8"/>
  <c r="O687" i="8"/>
  <c r="N211" i="7"/>
  <c r="P211" i="7" s="1"/>
  <c r="Q211" i="7" s="1"/>
  <c r="I211" i="7"/>
  <c r="F211" i="7" s="1"/>
  <c r="I971" i="8"/>
  <c r="N971" i="8"/>
  <c r="I129" i="7"/>
  <c r="F129" i="7" s="1"/>
  <c r="N129" i="7"/>
  <c r="P129" i="7" s="1"/>
  <c r="Q129" i="7" s="1"/>
  <c r="O1036" i="8"/>
  <c r="N483" i="8"/>
  <c r="I483" i="8"/>
  <c r="N284" i="8"/>
  <c r="I284" i="8"/>
  <c r="O514" i="8"/>
  <c r="N1067" i="8"/>
  <c r="I1067" i="8"/>
  <c r="I14" i="7"/>
  <c r="F14" i="7" s="1"/>
  <c r="N14" i="7"/>
  <c r="P14" i="7" s="1"/>
  <c r="Q14" i="7" s="1"/>
  <c r="O244" i="8"/>
  <c r="I73" i="7"/>
  <c r="F73" i="7" s="1"/>
  <c r="N73" i="7"/>
  <c r="P73" i="7" s="1"/>
  <c r="Q73" i="7" s="1"/>
  <c r="I228" i="8"/>
  <c r="N228" i="8"/>
  <c r="O222" i="8"/>
  <c r="N296" i="8"/>
  <c r="I296" i="8"/>
  <c r="N422" i="8"/>
  <c r="I422" i="8"/>
  <c r="O786" i="8"/>
  <c r="I50" i="7"/>
  <c r="F50" i="7" s="1"/>
  <c r="N50" i="7"/>
  <c r="P50" i="7" s="1"/>
  <c r="Q50" i="7" s="1"/>
  <c r="I651" i="8"/>
  <c r="N651" i="8"/>
  <c r="O596" i="8"/>
  <c r="N37" i="4"/>
  <c r="P37" i="4" s="1"/>
  <c r="Q37" i="4" s="1"/>
  <c r="I37" i="4"/>
  <c r="F37" i="4" s="1"/>
  <c r="O940" i="8"/>
  <c r="O417" i="8"/>
  <c r="O688" i="8"/>
  <c r="N134" i="8"/>
  <c r="I134" i="8"/>
  <c r="O592" i="8"/>
  <c r="O769" i="8"/>
  <c r="N1126" i="8"/>
  <c r="I1126" i="8"/>
  <c r="O151" i="8"/>
  <c r="I128" i="8"/>
  <c r="N128" i="8"/>
  <c r="O1072" i="8"/>
  <c r="I446" i="8"/>
  <c r="N446" i="8"/>
  <c r="N365" i="8"/>
  <c r="I365" i="8"/>
  <c r="N392" i="8"/>
  <c r="I392" i="8"/>
  <c r="O573" i="8"/>
  <c r="I1077" i="8"/>
  <c r="N1077" i="8"/>
  <c r="N253" i="8"/>
  <c r="I253" i="8"/>
  <c r="O79" i="8"/>
  <c r="N111" i="8"/>
  <c r="I111" i="8"/>
  <c r="I565" i="8"/>
  <c r="N565" i="8"/>
  <c r="O165" i="8"/>
  <c r="N834" i="8"/>
  <c r="I834" i="8"/>
  <c r="N1066" i="8"/>
  <c r="I1066" i="8"/>
  <c r="N1111" i="8"/>
  <c r="I1111" i="8"/>
  <c r="O883" i="8"/>
  <c r="N1134" i="8"/>
  <c r="I1134" i="8"/>
  <c r="I304" i="8"/>
  <c r="N304" i="8"/>
  <c r="O911" i="8"/>
  <c r="O95" i="8"/>
  <c r="N75" i="8"/>
  <c r="I75" i="8"/>
  <c r="I116" i="8"/>
  <c r="N116" i="8"/>
  <c r="O652" i="8"/>
  <c r="O1017" i="8"/>
  <c r="O442" i="8"/>
  <c r="N323" i="8"/>
  <c r="I323" i="8"/>
  <c r="O680" i="8"/>
  <c r="G1" i="6"/>
  <c r="G5" i="6"/>
  <c r="G6" i="6"/>
  <c r="I11" i="6"/>
  <c r="N11" i="6"/>
  <c r="P11" i="6" s="1"/>
  <c r="Q11" i="6" s="1"/>
  <c r="G3" i="6"/>
  <c r="N145" i="7"/>
  <c r="P145" i="7" s="1"/>
  <c r="Q145" i="7" s="1"/>
  <c r="I145" i="7"/>
  <c r="F145" i="7" s="1"/>
  <c r="R145" i="7" s="1"/>
  <c r="O275" i="8"/>
  <c r="O945" i="8"/>
  <c r="O36" i="8"/>
  <c r="N396" i="8"/>
  <c r="I396" i="8"/>
  <c r="O551" i="8"/>
  <c r="N997" i="8"/>
  <c r="I997" i="8"/>
  <c r="I366" i="8"/>
  <c r="N366" i="8"/>
  <c r="O820" i="8"/>
  <c r="O63" i="8"/>
  <c r="I998" i="8"/>
  <c r="N998" i="8"/>
  <c r="N90" i="7"/>
  <c r="P90" i="7" s="1"/>
  <c r="Q90" i="7" s="1"/>
  <c r="I90" i="7"/>
  <c r="F90" i="7" s="1"/>
  <c r="R90" i="7" s="1"/>
  <c r="I415" i="8"/>
  <c r="N415" i="8"/>
  <c r="N553" i="8"/>
  <c r="I553" i="8"/>
  <c r="O741" i="8"/>
  <c r="O374" i="8"/>
  <c r="O1117" i="8"/>
  <c r="N318" i="8"/>
  <c r="I318" i="8"/>
  <c r="O118" i="8"/>
  <c r="O1112" i="8"/>
  <c r="O237" i="8"/>
  <c r="N759" i="8"/>
  <c r="I759" i="8"/>
  <c r="O536" i="8"/>
  <c r="N1119" i="8"/>
  <c r="I1119" i="8"/>
  <c r="N105" i="7"/>
  <c r="P105" i="7" s="1"/>
  <c r="Q105" i="7" s="1"/>
  <c r="I105" i="7"/>
  <c r="F105" i="7" s="1"/>
  <c r="I930" i="8"/>
  <c r="N930" i="8"/>
  <c r="N405" i="8"/>
  <c r="I405" i="8"/>
  <c r="N260" i="8"/>
  <c r="I260" i="8"/>
  <c r="O239" i="8"/>
  <c r="O378" i="8"/>
  <c r="I86" i="7"/>
  <c r="F86" i="7" s="1"/>
  <c r="N86" i="7"/>
  <c r="P86" i="7" s="1"/>
  <c r="Q86" i="7" s="1"/>
  <c r="O981" i="8"/>
  <c r="O360" i="8"/>
  <c r="O294" i="8"/>
  <c r="O96" i="8"/>
  <c r="O1116" i="8"/>
  <c r="O1026" i="8"/>
  <c r="N48" i="8"/>
  <c r="I48" i="8"/>
  <c r="I423" i="8"/>
  <c r="N423" i="8"/>
  <c r="I191" i="8"/>
  <c r="N191" i="8"/>
  <c r="O402" i="8"/>
  <c r="N346" i="8"/>
  <c r="I346" i="8"/>
  <c r="N847" i="8"/>
  <c r="I847" i="8"/>
  <c r="O279" i="8"/>
  <c r="O1108" i="8"/>
  <c r="N838" i="8"/>
  <c r="I838" i="8"/>
  <c r="N891" i="8"/>
  <c r="I891" i="8"/>
  <c r="N1036" i="8"/>
  <c r="I1036" i="8"/>
  <c r="O142" i="8"/>
  <c r="N42" i="8"/>
  <c r="I42" i="8"/>
  <c r="O809" i="8"/>
  <c r="N271" i="8"/>
  <c r="I271" i="8"/>
  <c r="O1037" i="8"/>
  <c r="O228" i="8"/>
  <c r="O357" i="8"/>
  <c r="N508" i="8"/>
  <c r="I508" i="8"/>
  <c r="O296" i="8"/>
  <c r="O825" i="8"/>
  <c r="N830" i="8"/>
  <c r="I830" i="8"/>
  <c r="O841" i="8"/>
  <c r="N43" i="8"/>
  <c r="I43" i="8"/>
  <c r="O355" i="8"/>
  <c r="N528" i="8"/>
  <c r="I528" i="8"/>
  <c r="N277" i="8"/>
  <c r="I277" i="8"/>
  <c r="N143" i="7"/>
  <c r="P143" i="7" s="1"/>
  <c r="Q143" i="7" s="1"/>
  <c r="I143" i="7"/>
  <c r="F143" i="7" s="1"/>
  <c r="O242" i="8"/>
  <c r="I259" i="8"/>
  <c r="N259" i="8"/>
  <c r="N1007" i="8"/>
  <c r="I1007" i="8"/>
  <c r="O345" i="8"/>
  <c r="I482" i="8"/>
  <c r="N482" i="8"/>
  <c r="I151" i="8"/>
  <c r="N151" i="8"/>
  <c r="I124" i="8"/>
  <c r="N124" i="8"/>
  <c r="O1128" i="8"/>
  <c r="I420" i="8"/>
  <c r="N420" i="8"/>
  <c r="O1079" i="8"/>
  <c r="O1077" i="8"/>
  <c r="O253" i="8"/>
  <c r="O794" i="8"/>
  <c r="N941" i="8"/>
  <c r="I941" i="8"/>
  <c r="O1124" i="8"/>
  <c r="O776" i="8"/>
  <c r="O648" i="8"/>
  <c r="O1111" i="8"/>
  <c r="N737" i="8"/>
  <c r="I737" i="8"/>
  <c r="I560" i="8"/>
  <c r="N560" i="8"/>
  <c r="I665" i="8"/>
  <c r="N665" i="8"/>
  <c r="I1083" i="8"/>
  <c r="N1083" i="8"/>
  <c r="N1133" i="8"/>
  <c r="I1133" i="8"/>
  <c r="N174" i="8"/>
  <c r="I174" i="8"/>
  <c r="N873" i="8"/>
  <c r="I873" i="8"/>
  <c r="I915" i="8"/>
  <c r="N915" i="8"/>
  <c r="I270" i="8"/>
  <c r="N270" i="8"/>
  <c r="I427" i="8"/>
  <c r="N427" i="8"/>
  <c r="O819" i="8"/>
  <c r="N778" i="8"/>
  <c r="I778" i="8"/>
  <c r="O16" i="8"/>
  <c r="I892" i="8"/>
  <c r="N892" i="8"/>
  <c r="G1" i="8"/>
  <c r="N11" i="8"/>
  <c r="G5" i="8"/>
  <c r="G6" i="8"/>
  <c r="G3" i="8"/>
  <c r="I11" i="8"/>
  <c r="N98" i="8"/>
  <c r="I98" i="8"/>
  <c r="N362" i="8"/>
  <c r="I362" i="8"/>
  <c r="N114" i="8"/>
  <c r="I114" i="8"/>
  <c r="O272" i="8"/>
  <c r="N762" i="8"/>
  <c r="I762" i="8"/>
  <c r="I673" i="8"/>
  <c r="N673" i="8"/>
  <c r="O600" i="8"/>
  <c r="I76" i="8"/>
  <c r="N76" i="8"/>
  <c r="I19" i="7"/>
  <c r="F19" i="7" s="1"/>
  <c r="N19" i="7"/>
  <c r="P19" i="7" s="1"/>
  <c r="Q19" i="7" s="1"/>
  <c r="O396" i="8"/>
  <c r="N152" i="7"/>
  <c r="P152" i="7" s="1"/>
  <c r="Q152" i="7" s="1"/>
  <c r="I152" i="7"/>
  <c r="F152" i="7" s="1"/>
  <c r="O578" i="8"/>
  <c r="O559" i="8"/>
  <c r="I1080" i="8"/>
  <c r="N1080" i="8"/>
  <c r="I689" i="8"/>
  <c r="N689" i="8"/>
  <c r="N869" i="8"/>
  <c r="I869" i="8"/>
  <c r="N708" i="8"/>
  <c r="I708" i="8"/>
  <c r="O1019" i="8"/>
  <c r="N124" i="7"/>
  <c r="P124" i="7" s="1"/>
  <c r="Q124" i="7" s="1"/>
  <c r="I124" i="7"/>
  <c r="F124" i="7" s="1"/>
  <c r="R124" i="7" s="1"/>
  <c r="I1058" i="8"/>
  <c r="N1058" i="8"/>
  <c r="N696" i="8"/>
  <c r="I696" i="8"/>
  <c r="N914" i="8"/>
  <c r="I914" i="8"/>
  <c r="O822" i="8"/>
  <c r="N865" i="8"/>
  <c r="I865" i="8"/>
  <c r="I386" i="8"/>
  <c r="N386" i="8"/>
  <c r="O510" i="8"/>
  <c r="N407" i="8"/>
  <c r="I407" i="8"/>
  <c r="I119" i="7"/>
  <c r="F119" i="7" s="1"/>
  <c r="N119" i="7"/>
  <c r="P119" i="7" s="1"/>
  <c r="Q119" i="7" s="1"/>
  <c r="O287" i="8"/>
  <c r="O969" i="8"/>
  <c r="I59" i="8"/>
  <c r="N59" i="8"/>
  <c r="O925" i="8"/>
  <c r="O190" i="8"/>
  <c r="N14" i="5"/>
  <c r="P14" i="5" s="1"/>
  <c r="Q14" i="5" s="1"/>
  <c r="I14" i="5"/>
  <c r="F14" i="5" s="1"/>
  <c r="R14" i="5" s="1"/>
  <c r="N536" i="8"/>
  <c r="I536" i="8"/>
  <c r="O470" i="8"/>
  <c r="O20" i="8"/>
  <c r="N189" i="7"/>
  <c r="P189" i="7" s="1"/>
  <c r="Q189" i="7" s="1"/>
  <c r="I189" i="7"/>
  <c r="F189" i="7" s="1"/>
  <c r="N694" i="8"/>
  <c r="I694" i="8"/>
  <c r="I669" i="8"/>
  <c r="N669" i="8"/>
  <c r="O405" i="8"/>
  <c r="O203" i="8"/>
  <c r="I640" i="8"/>
  <c r="N640" i="8"/>
  <c r="I477" i="8"/>
  <c r="N477" i="8"/>
  <c r="O1055" i="8"/>
  <c r="N761" i="8"/>
  <c r="I761" i="8"/>
  <c r="N557" i="8"/>
  <c r="I557" i="8"/>
  <c r="O846" i="8"/>
  <c r="I1061" i="8"/>
  <c r="N1061" i="8"/>
  <c r="I1035" i="8"/>
  <c r="N1035" i="8"/>
  <c r="N909" i="8"/>
  <c r="I909" i="8"/>
  <c r="N1060" i="8"/>
  <c r="I1060" i="8"/>
  <c r="O291" i="8"/>
  <c r="O307" i="8"/>
  <c r="I556" i="8"/>
  <c r="N556" i="8"/>
  <c r="I276" i="8"/>
  <c r="N276" i="8"/>
  <c r="N1128" i="8"/>
  <c r="I1128" i="8"/>
  <c r="I752" i="8"/>
  <c r="N752" i="8"/>
  <c r="O420" i="8"/>
  <c r="O650" i="8"/>
  <c r="I443" i="8"/>
  <c r="N443" i="8"/>
  <c r="I387" i="8"/>
  <c r="N387" i="8"/>
  <c r="O364" i="8"/>
  <c r="I337" i="8"/>
  <c r="N337" i="8"/>
  <c r="O84" i="8"/>
  <c r="N110" i="8"/>
  <c r="I110" i="8"/>
  <c r="I226" i="8"/>
  <c r="N226" i="8"/>
  <c r="O111" i="8"/>
  <c r="O1089" i="8"/>
  <c r="O540" i="8"/>
  <c r="N347" i="8"/>
  <c r="I347" i="8"/>
  <c r="O482" i="8"/>
  <c r="N488" i="8"/>
  <c r="I488" i="8"/>
  <c r="N743" i="8"/>
  <c r="I743" i="8"/>
  <c r="O70" i="8"/>
  <c r="I288" i="8"/>
  <c r="N288" i="8"/>
  <c r="O1021" i="8"/>
  <c r="O515" i="8"/>
  <c r="N839" i="8"/>
  <c r="I839" i="8"/>
  <c r="I1079" i="8"/>
  <c r="N1079" i="8"/>
  <c r="O870" i="8"/>
  <c r="O749" i="8"/>
  <c r="O1059" i="8"/>
  <c r="I1051" i="8"/>
  <c r="N1051" i="8"/>
  <c r="N84" i="8"/>
  <c r="I84" i="8"/>
  <c r="N450" i="8"/>
  <c r="I450" i="8"/>
  <c r="N1091" i="8"/>
  <c r="I1091" i="8"/>
  <c r="O826" i="8"/>
  <c r="N538" i="8"/>
  <c r="I538" i="8"/>
  <c r="I413" i="8"/>
  <c r="N413" i="8"/>
  <c r="O957" i="8"/>
  <c r="I148" i="7"/>
  <c r="F148" i="7" s="1"/>
  <c r="N148" i="7"/>
  <c r="P148" i="7" s="1"/>
  <c r="Q148" i="7" s="1"/>
  <c r="I1127" i="8"/>
  <c r="N1127" i="8"/>
  <c r="I58" i="8"/>
  <c r="N58" i="8"/>
  <c r="O917" i="8"/>
  <c r="O569" i="8"/>
  <c r="O657" i="8"/>
  <c r="O525" i="8"/>
  <c r="O939" i="8"/>
  <c r="N980" i="8"/>
  <c r="I980" i="8"/>
  <c r="O452" i="8"/>
  <c r="N862" i="8"/>
  <c r="I862" i="8"/>
  <c r="O882" i="8"/>
  <c r="O1105" i="8"/>
  <c r="O789" i="8"/>
  <c r="I1012" i="8"/>
  <c r="N1012" i="8"/>
  <c r="O878" i="8"/>
  <c r="O361" i="8"/>
  <c r="I963" i="8"/>
  <c r="N963" i="8"/>
  <c r="I721" i="8"/>
  <c r="N721" i="8"/>
  <c r="O1011" i="8"/>
  <c r="O421" i="8"/>
  <c r="O234" i="8"/>
  <c r="N977" i="8"/>
  <c r="I977" i="8"/>
  <c r="I1057" i="8"/>
  <c r="N1057" i="8"/>
  <c r="I26" i="8"/>
  <c r="N26" i="8"/>
  <c r="N47" i="8"/>
  <c r="I47" i="8"/>
  <c r="O821" i="8"/>
  <c r="O915" i="8"/>
  <c r="I236" i="8"/>
  <c r="N236" i="8"/>
  <c r="N131" i="8"/>
  <c r="I131" i="8"/>
  <c r="O936" i="8"/>
  <c r="O1136" i="8"/>
  <c r="I433" i="8"/>
  <c r="N433" i="8"/>
  <c r="O270" i="8"/>
  <c r="O401" i="8"/>
  <c r="N137" i="8"/>
  <c r="I137" i="8"/>
  <c r="O427" i="8"/>
  <c r="O952" i="8"/>
  <c r="N819" i="8"/>
  <c r="I819" i="8"/>
  <c r="I1125" i="8"/>
  <c r="N1125" i="8"/>
  <c r="O1018" i="8"/>
  <c r="I215" i="7"/>
  <c r="F215" i="7" s="1"/>
  <c r="N215" i="7"/>
  <c r="P215" i="7" s="1"/>
  <c r="Q215" i="7" s="1"/>
  <c r="I524" i="8"/>
  <c r="N524" i="8"/>
  <c r="N751" i="8"/>
  <c r="I751" i="8"/>
  <c r="N982" i="8"/>
  <c r="I982" i="8"/>
  <c r="O771" i="8"/>
  <c r="N133" i="8"/>
  <c r="I133" i="8"/>
  <c r="O976" i="8"/>
  <c r="O698" i="8"/>
  <c r="O348" i="8"/>
  <c r="O352" i="8"/>
  <c r="N82" i="8"/>
  <c r="I82" i="8"/>
  <c r="N106" i="7"/>
  <c r="P106" i="7" s="1"/>
  <c r="Q106" i="7" s="1"/>
  <c r="I106" i="7"/>
  <c r="F106" i="7" s="1"/>
  <c r="R106" i="7" s="1"/>
  <c r="N251" i="8"/>
  <c r="I251" i="8"/>
  <c r="N436" i="8"/>
  <c r="I436" i="8"/>
  <c r="N729" i="8"/>
  <c r="I729" i="8"/>
  <c r="I64" i="8"/>
  <c r="N64" i="8"/>
  <c r="O736" i="8"/>
  <c r="O954" i="8"/>
  <c r="O102" i="8"/>
  <c r="O353" i="8"/>
  <c r="O567" i="8"/>
  <c r="O656" i="8"/>
  <c r="I272" i="8"/>
  <c r="N272" i="8"/>
  <c r="O303" i="8"/>
  <c r="O41" i="8"/>
  <c r="N45" i="7"/>
  <c r="P45" i="7" s="1"/>
  <c r="Q45" i="7" s="1"/>
  <c r="I45" i="7"/>
  <c r="F45" i="7" s="1"/>
  <c r="N519" i="8"/>
  <c r="I519" i="8"/>
  <c r="I710" i="8"/>
  <c r="N710" i="8"/>
  <c r="O129" i="8"/>
  <c r="I812" i="8"/>
  <c r="N812" i="8"/>
  <c r="O76" i="8"/>
  <c r="N715" i="8"/>
  <c r="I715" i="8"/>
  <c r="N900" i="8"/>
  <c r="I900" i="8"/>
  <c r="N159" i="8"/>
  <c r="I159" i="8"/>
  <c r="N817" i="8"/>
  <c r="I817" i="8"/>
  <c r="I175" i="7"/>
  <c r="F175" i="7" s="1"/>
  <c r="N175" i="7"/>
  <c r="P175" i="7" s="1"/>
  <c r="Q175" i="7" s="1"/>
  <c r="I126" i="8"/>
  <c r="N126" i="8"/>
  <c r="O796" i="8"/>
  <c r="O912" i="8"/>
  <c r="O380" i="8"/>
  <c r="O662" i="8"/>
  <c r="O928" i="8"/>
  <c r="O397" i="8"/>
  <c r="O570" i="8"/>
  <c r="O691" i="8"/>
  <c r="N56" i="8"/>
  <c r="I56" i="8"/>
  <c r="O829" i="8"/>
  <c r="N187" i="7"/>
  <c r="P187" i="7" s="1"/>
  <c r="Q187" i="7" s="1"/>
  <c r="I187" i="7"/>
  <c r="F187" i="7" s="1"/>
  <c r="O840" i="8"/>
  <c r="N31" i="4"/>
  <c r="P31" i="4" s="1"/>
  <c r="Q31" i="4" s="1"/>
  <c r="I31" i="4"/>
  <c r="F31" i="4" s="1"/>
  <c r="R31" i="4" s="1"/>
  <c r="N105" i="8"/>
  <c r="I105" i="8"/>
  <c r="O1080" i="8"/>
  <c r="O576" i="8"/>
  <c r="I412" i="8"/>
  <c r="N412" i="8"/>
  <c r="I795" i="8"/>
  <c r="N795" i="8"/>
  <c r="O869" i="8"/>
  <c r="O708" i="8"/>
  <c r="N1069" i="8"/>
  <c r="I1069" i="8"/>
  <c r="I163" i="8"/>
  <c r="N163" i="8"/>
  <c r="O409" i="8"/>
  <c r="I471" i="8"/>
  <c r="N471" i="8"/>
  <c r="N166" i="7"/>
  <c r="P166" i="7" s="1"/>
  <c r="Q166" i="7" s="1"/>
  <c r="I166" i="7"/>
  <c r="F166" i="7" s="1"/>
  <c r="N1090" i="8"/>
  <c r="I1090" i="8"/>
  <c r="N973" i="8"/>
  <c r="I973" i="8"/>
  <c r="O898" i="8"/>
  <c r="O696" i="8"/>
  <c r="N394" i="8"/>
  <c r="I394" i="8"/>
  <c r="I486" i="8"/>
  <c r="N486" i="8"/>
  <c r="O633" i="8"/>
  <c r="N1113" i="8"/>
  <c r="I1113" i="8"/>
  <c r="O610" i="8"/>
  <c r="I805" i="8"/>
  <c r="N805" i="8"/>
  <c r="O1000" i="8"/>
  <c r="I120" i="8"/>
  <c r="N120" i="8"/>
  <c r="N160" i="8"/>
  <c r="I160" i="8"/>
  <c r="O1029" i="8"/>
  <c r="N138" i="8"/>
  <c r="I138" i="8"/>
  <c r="O702" i="8"/>
  <c r="N1082" i="8"/>
  <c r="I1082" i="8"/>
  <c r="I198" i="8"/>
  <c r="N198" i="8"/>
  <c r="O880" i="8"/>
  <c r="O410" i="8"/>
  <c r="O811" i="8"/>
  <c r="I593" i="8"/>
  <c r="N593" i="8"/>
  <c r="O173" i="8"/>
  <c r="O1023" i="8"/>
  <c r="O764" i="8"/>
  <c r="O404" i="8"/>
  <c r="O388" i="8"/>
  <c r="N70" i="7"/>
  <c r="P70" i="7" s="1"/>
  <c r="Q70" i="7" s="1"/>
  <c r="I70" i="7"/>
  <c r="F70" i="7" s="1"/>
  <c r="N287" i="8"/>
  <c r="I287" i="8"/>
  <c r="O329" i="8"/>
  <c r="O790" i="8"/>
  <c r="O671" i="8"/>
  <c r="I985" i="8"/>
  <c r="N985" i="8"/>
  <c r="O832" i="8"/>
  <c r="I59" i="7"/>
  <c r="F59" i="7" s="1"/>
  <c r="N59" i="7"/>
  <c r="P59" i="7" s="1"/>
  <c r="Q59" i="7" s="1"/>
  <c r="I1137" i="8"/>
  <c r="N1137" i="8"/>
  <c r="N336" i="8"/>
  <c r="I336" i="8"/>
  <c r="I153" i="8"/>
  <c r="N153" i="8"/>
  <c r="O685" i="8"/>
  <c r="I723" i="8"/>
  <c r="N723" i="8"/>
  <c r="I315" i="8"/>
  <c r="N315" i="8"/>
  <c r="I701" i="8"/>
  <c r="N701" i="8"/>
  <c r="O376" i="8"/>
  <c r="I190" i="8"/>
  <c r="N190" i="8"/>
  <c r="I328" i="8"/>
  <c r="N328" i="8"/>
  <c r="I261" i="8"/>
  <c r="N261" i="8"/>
  <c r="I161" i="7"/>
  <c r="F161" i="7" s="1"/>
  <c r="N161" i="7"/>
  <c r="P161" i="7" s="1"/>
  <c r="Q161" i="7" s="1"/>
  <c r="O295" i="8"/>
  <c r="I99" i="8"/>
  <c r="N99" i="8"/>
  <c r="O1095" i="8"/>
  <c r="I73" i="8"/>
  <c r="N73" i="8"/>
  <c r="O890" i="8"/>
  <c r="I946" i="8"/>
  <c r="N946" i="8"/>
  <c r="I209" i="7"/>
  <c r="F209" i="7" s="1"/>
  <c r="N209" i="7"/>
  <c r="P209" i="7" s="1"/>
  <c r="Q209" i="7" s="1"/>
  <c r="O312" i="8"/>
  <c r="N470" i="8"/>
  <c r="I470" i="8"/>
  <c r="N29" i="7"/>
  <c r="P29" i="7" s="1"/>
  <c r="Q29" i="7" s="1"/>
  <c r="I29" i="7"/>
  <c r="F29" i="7" s="1"/>
  <c r="I20" i="8"/>
  <c r="N20" i="8"/>
  <c r="O31" i="8"/>
  <c r="O227" i="8"/>
  <c r="O496" i="8"/>
  <c r="N938" i="8"/>
  <c r="I938" i="8"/>
  <c r="I758" i="8"/>
  <c r="N758" i="8"/>
  <c r="O897" i="8"/>
  <c r="O895" i="8"/>
  <c r="N224" i="8"/>
  <c r="I224" i="8"/>
  <c r="O223" i="8"/>
  <c r="I506" i="8"/>
  <c r="N506" i="8"/>
  <c r="I203" i="8"/>
  <c r="N203" i="8"/>
  <c r="O1085" i="8"/>
  <c r="O445" i="8"/>
  <c r="N154" i="8"/>
  <c r="I154" i="8"/>
  <c r="O901" i="8"/>
  <c r="I300" i="8"/>
  <c r="N300" i="8"/>
  <c r="O588" i="8"/>
  <c r="O784" i="8"/>
  <c r="N13" i="4"/>
  <c r="P13" i="4" s="1"/>
  <c r="Q13" i="4" s="1"/>
  <c r="I13" i="4"/>
  <c r="F13" i="4" s="1"/>
  <c r="I1048" i="8"/>
  <c r="N1048" i="8"/>
  <c r="O504" i="8"/>
  <c r="O918" i="8"/>
  <c r="O229" i="8"/>
  <c r="O1098" i="8"/>
  <c r="I21" i="8"/>
  <c r="N21" i="8"/>
  <c r="O306" i="8"/>
  <c r="N273" i="8"/>
  <c r="I273" i="8"/>
  <c r="O179" i="8"/>
  <c r="O340" i="8"/>
  <c r="O774" i="8"/>
  <c r="O1035" i="8"/>
  <c r="O424" i="8"/>
  <c r="I772" i="8"/>
  <c r="N772" i="8"/>
  <c r="N966" i="8"/>
  <c r="I966" i="8"/>
  <c r="N962" i="8"/>
  <c r="I962" i="8"/>
  <c r="I87" i="7"/>
  <c r="F87" i="7" s="1"/>
  <c r="N87" i="7"/>
  <c r="P87" i="7" s="1"/>
  <c r="Q87" i="7" s="1"/>
  <c r="N208" i="7"/>
  <c r="P208" i="7" s="1"/>
  <c r="Q208" i="7" s="1"/>
  <c r="I208" i="7"/>
  <c r="F208" i="7" s="1"/>
  <c r="I99" i="7"/>
  <c r="F99" i="7" s="1"/>
  <c r="N99" i="7"/>
  <c r="P99" i="7" s="1"/>
  <c r="Q99" i="7" s="1"/>
  <c r="I35" i="6"/>
  <c r="F35" i="6" s="1"/>
  <c r="N35" i="6"/>
  <c r="P35" i="6" s="1"/>
  <c r="Q35" i="6" s="1"/>
  <c r="I11" i="4"/>
  <c r="F11" i="4" s="1"/>
  <c r="N11" i="4"/>
  <c r="P11" i="4" s="1"/>
  <c r="Q11" i="4" s="1"/>
  <c r="N104" i="8"/>
  <c r="I104" i="8"/>
  <c r="I194" i="8"/>
  <c r="N194" i="8"/>
  <c r="I32" i="6"/>
  <c r="F32" i="6" s="1"/>
  <c r="N32" i="6"/>
  <c r="P32" i="6" s="1"/>
  <c r="Q32" i="6" s="1"/>
  <c r="I614" i="8"/>
  <c r="N614" i="8"/>
  <c r="O332" i="8"/>
  <c r="N931" i="8"/>
  <c r="I931" i="8"/>
  <c r="O395" i="8"/>
  <c r="N24" i="7"/>
  <c r="P24" i="7" s="1"/>
  <c r="Q24" i="7" s="1"/>
  <c r="I24" i="7"/>
  <c r="F24" i="7" s="1"/>
  <c r="I12" i="6"/>
  <c r="F12" i="6" s="1"/>
  <c r="N12" i="6"/>
  <c r="P12" i="6" s="1"/>
  <c r="Q12" i="6" s="1"/>
  <c r="N432" i="8"/>
  <c r="I432" i="8"/>
  <c r="N469" i="8"/>
  <c r="I469" i="8"/>
  <c r="N35" i="7"/>
  <c r="P35" i="7" s="1"/>
  <c r="Q35" i="7" s="1"/>
  <c r="I35" i="7"/>
  <c r="F35" i="7" s="1"/>
  <c r="O876" i="8"/>
  <c r="O398" i="8"/>
  <c r="N502" i="8"/>
  <c r="I502" i="8"/>
  <c r="O606" i="8"/>
  <c r="O235" i="8"/>
  <c r="N463" i="8"/>
  <c r="I463" i="8"/>
  <c r="O605" i="8"/>
  <c r="O107" i="8"/>
  <c r="O100" i="8"/>
  <c r="I89" i="8"/>
  <c r="N89" i="8"/>
  <c r="I435" i="8"/>
  <c r="N435" i="8"/>
  <c r="N563" i="8"/>
  <c r="I563" i="8"/>
  <c r="N587" i="8"/>
  <c r="I587" i="8"/>
  <c r="O744" i="8"/>
  <c r="N67" i="8"/>
  <c r="I67" i="8"/>
  <c r="N33" i="6"/>
  <c r="P33" i="6" s="1"/>
  <c r="Q33" i="6" s="1"/>
  <c r="I33" i="6"/>
  <c r="F33" i="6" s="1"/>
  <c r="O523" i="8"/>
  <c r="O136" i="8"/>
  <c r="N32" i="4"/>
  <c r="P32" i="4" s="1"/>
  <c r="Q32" i="4" s="1"/>
  <c r="I32" i="4"/>
  <c r="F32" i="4" s="1"/>
  <c r="O726" i="8"/>
  <c r="I30" i="6"/>
  <c r="F30" i="6" s="1"/>
  <c r="N30" i="6"/>
  <c r="P30" i="6" s="1"/>
  <c r="Q30" i="6" s="1"/>
  <c r="I813" i="8"/>
  <c r="N813" i="8"/>
  <c r="N81" i="7"/>
  <c r="P81" i="7" s="1"/>
  <c r="Q81" i="7" s="1"/>
  <c r="I81" i="7"/>
  <c r="F81" i="7" s="1"/>
  <c r="N65" i="8"/>
  <c r="I65" i="8"/>
  <c r="N484" i="8"/>
  <c r="I484" i="8"/>
  <c r="O990" i="8"/>
  <c r="N121" i="8"/>
  <c r="I121" i="8"/>
  <c r="O498" i="8"/>
  <c r="N112" i="7"/>
  <c r="P112" i="7" s="1"/>
  <c r="Q112" i="7" s="1"/>
  <c r="I112" i="7"/>
  <c r="F112" i="7" s="1"/>
  <c r="O993" i="8"/>
  <c r="N317" i="8"/>
  <c r="I317" i="8"/>
  <c r="I845" i="8"/>
  <c r="N845" i="8"/>
  <c r="O117" i="8"/>
  <c r="N150" i="8"/>
  <c r="I150" i="8"/>
  <c r="I207" i="7"/>
  <c r="F207" i="7" s="1"/>
  <c r="N207" i="7"/>
  <c r="P207" i="7" s="1"/>
  <c r="Q207" i="7" s="1"/>
  <c r="I74" i="8"/>
  <c r="N74" i="8"/>
  <c r="N205" i="8"/>
  <c r="I205" i="8"/>
  <c r="N399" i="8"/>
  <c r="I399" i="8"/>
  <c r="N859" i="8"/>
  <c r="I859" i="8"/>
  <c r="N39" i="8"/>
  <c r="I39" i="8"/>
  <c r="O719" i="8"/>
  <c r="N854" i="8"/>
  <c r="I854" i="8"/>
  <c r="I181" i="7"/>
  <c r="F181" i="7" s="1"/>
  <c r="N181" i="7"/>
  <c r="P181" i="7" s="1"/>
  <c r="Q181" i="7" s="1"/>
  <c r="O750" i="8"/>
  <c r="N495" i="8"/>
  <c r="I495" i="8"/>
  <c r="I547" i="8"/>
  <c r="N547" i="8"/>
  <c r="N844" i="8"/>
  <c r="I844" i="8"/>
  <c r="I641" i="8"/>
  <c r="N641" i="8"/>
  <c r="O419" i="8"/>
  <c r="O864" i="8"/>
  <c r="N212" i="7"/>
  <c r="P212" i="7" s="1"/>
  <c r="Q212" i="7" s="1"/>
  <c r="I212" i="7"/>
  <c r="F212" i="7" s="1"/>
  <c r="I1106" i="8"/>
  <c r="N1106" i="8"/>
  <c r="I599" i="8"/>
  <c r="N599" i="8"/>
  <c r="I22" i="4"/>
  <c r="F22" i="4" s="1"/>
  <c r="N22" i="4"/>
  <c r="P22" i="4" s="1"/>
  <c r="Q22" i="4" s="1"/>
  <c r="O299" i="8"/>
  <c r="I968" i="8"/>
  <c r="N968" i="8"/>
  <c r="I148" i="8"/>
  <c r="N148" i="8"/>
  <c r="I220" i="8"/>
  <c r="N220" i="8"/>
  <c r="O468" i="8"/>
  <c r="I500" i="8"/>
  <c r="N500" i="8"/>
  <c r="I919" i="8"/>
  <c r="N919" i="8"/>
  <c r="O1039" i="8"/>
  <c r="N130" i="7"/>
  <c r="P130" i="7" s="1"/>
  <c r="Q130" i="7" s="1"/>
  <c r="I130" i="7"/>
  <c r="F130" i="7" s="1"/>
  <c r="N530" i="8"/>
  <c r="I530" i="8"/>
  <c r="N93" i="8"/>
  <c r="I93" i="8"/>
  <c r="O86" i="8"/>
  <c r="O383" i="8"/>
  <c r="O623" i="8"/>
  <c r="O634" i="8"/>
  <c r="N130" i="8"/>
  <c r="I130" i="8"/>
  <c r="N21" i="6"/>
  <c r="P21" i="6" s="1"/>
  <c r="Q21" i="6" s="1"/>
  <c r="I21" i="6"/>
  <c r="F21" i="6" s="1"/>
  <c r="I133" i="7"/>
  <c r="F133" i="7" s="1"/>
  <c r="N133" i="7"/>
  <c r="P133" i="7" s="1"/>
  <c r="Q133" i="7" s="1"/>
  <c r="O298" i="8"/>
  <c r="O1056" i="8"/>
  <c r="N92" i="7"/>
  <c r="P92" i="7" s="1"/>
  <c r="Q92" i="7" s="1"/>
  <c r="I92" i="7"/>
  <c r="F92" i="7" s="1"/>
  <c r="I18" i="1"/>
  <c r="F18" i="1" s="1"/>
  <c r="N18" i="1"/>
  <c r="P18" i="1" s="1"/>
  <c r="Q18" i="1" s="1"/>
  <c r="I42" i="4"/>
  <c r="F42" i="4" s="1"/>
  <c r="N42" i="4"/>
  <c r="P42" i="4" s="1"/>
  <c r="Q42" i="4" s="1"/>
  <c r="O693" i="8"/>
  <c r="N14" i="1"/>
  <c r="P14" i="1" s="1"/>
  <c r="Q14" i="1" s="1"/>
  <c r="I14" i="1"/>
  <c r="F14" i="1" s="1"/>
  <c r="R14" i="1" s="1"/>
  <c r="O639" i="8"/>
  <c r="I16" i="1"/>
  <c r="F16" i="1" s="1"/>
  <c r="N16" i="1"/>
  <c r="P16" i="1" s="1"/>
  <c r="Q16" i="1" s="1"/>
  <c r="O280" i="8"/>
  <c r="N757" i="8"/>
  <c r="I757" i="8"/>
  <c r="O172" i="8"/>
  <c r="N352" i="8"/>
  <c r="I352" i="8"/>
  <c r="O82" i="8"/>
  <c r="O1109" i="8"/>
  <c r="O251" i="8"/>
  <c r="O457" i="8"/>
  <c r="O64" i="8"/>
  <c r="N520" i="8"/>
  <c r="I520" i="8"/>
  <c r="I954" i="8"/>
  <c r="N954" i="8"/>
  <c r="O797" i="8"/>
  <c r="O717" i="8"/>
  <c r="O480" i="8"/>
  <c r="N656" i="8"/>
  <c r="I656" i="8"/>
  <c r="N55" i="8"/>
  <c r="I55" i="8"/>
  <c r="O724" i="8"/>
  <c r="O661" i="8"/>
  <c r="I41" i="8"/>
  <c r="N41" i="8"/>
  <c r="O45" i="8"/>
  <c r="N115" i="8"/>
  <c r="I115" i="8"/>
  <c r="H1" i="7"/>
  <c r="H3" i="7"/>
  <c r="H6" i="7"/>
  <c r="H5" i="7"/>
  <c r="O11" i="7"/>
  <c r="O1093" i="8"/>
  <c r="N602" i="8"/>
  <c r="I602" i="8"/>
  <c r="N144" i="8"/>
  <c r="I144" i="8"/>
  <c r="O393" i="8"/>
  <c r="O90" i="8"/>
  <c r="N153" i="7"/>
  <c r="P153" i="7" s="1"/>
  <c r="Q153" i="7" s="1"/>
  <c r="I153" i="7"/>
  <c r="F153" i="7" s="1"/>
  <c r="I903" i="8"/>
  <c r="N903" i="8"/>
  <c r="I380" i="8"/>
  <c r="N380" i="8"/>
  <c r="N426" i="8"/>
  <c r="I426" i="8"/>
  <c r="O674" i="8"/>
  <c r="O197" i="8"/>
  <c r="N1063" i="8"/>
  <c r="I1063" i="8"/>
  <c r="I517" i="8"/>
  <c r="N517" i="8"/>
  <c r="O831" i="8"/>
  <c r="N840" i="8"/>
  <c r="I840" i="8"/>
  <c r="I474" i="8"/>
  <c r="N474" i="8"/>
  <c r="N94" i="8"/>
  <c r="I94" i="8"/>
  <c r="O947" i="8"/>
  <c r="N576" i="8"/>
  <c r="I576" i="8"/>
  <c r="N256" i="8"/>
  <c r="I256" i="8"/>
  <c r="N117" i="7"/>
  <c r="P117" i="7" s="1"/>
  <c r="Q117" i="7" s="1"/>
  <c r="I117" i="7"/>
  <c r="F117" i="7" s="1"/>
  <c r="R117" i="7" s="1"/>
  <c r="O412" i="8"/>
  <c r="O1033" i="8"/>
  <c r="O795" i="8"/>
  <c r="N899" i="8"/>
  <c r="I899" i="8"/>
  <c r="N197" i="7"/>
  <c r="P197" i="7" s="1"/>
  <c r="Q197" i="7" s="1"/>
  <c r="I197" i="7"/>
  <c r="F197" i="7" s="1"/>
  <c r="N612" i="8"/>
  <c r="I612" i="8"/>
  <c r="O1069" i="8"/>
  <c r="N473" i="8"/>
  <c r="I473" i="8"/>
  <c r="O1103" i="8"/>
  <c r="N598" i="8"/>
  <c r="I598" i="8"/>
  <c r="O57" i="8"/>
  <c r="O471" i="8"/>
  <c r="I1038" i="8"/>
  <c r="N1038" i="8"/>
  <c r="I453" i="8"/>
  <c r="N453" i="8"/>
  <c r="O394" i="8"/>
  <c r="O122" i="8"/>
  <c r="N731" i="8"/>
  <c r="I731" i="8"/>
  <c r="N633" i="8"/>
  <c r="I633" i="8"/>
  <c r="O414" i="8"/>
  <c r="N929" i="8"/>
  <c r="I929" i="8"/>
  <c r="O375" i="8"/>
  <c r="N1000" i="8"/>
  <c r="I1000" i="8"/>
  <c r="O120" i="8"/>
  <c r="O138" i="8"/>
  <c r="I702" i="8"/>
  <c r="N702" i="8"/>
  <c r="O1082" i="8"/>
  <c r="I22" i="8"/>
  <c r="N22" i="8"/>
  <c r="N158" i="7"/>
  <c r="P158" i="7" s="1"/>
  <c r="Q158" i="7" s="1"/>
  <c r="I158" i="7"/>
  <c r="F158" i="7" s="1"/>
  <c r="O187" i="8"/>
  <c r="O593" i="8"/>
  <c r="I16" i="6"/>
  <c r="F16" i="6" s="1"/>
  <c r="N16" i="6"/>
  <c r="P16" i="6" s="1"/>
  <c r="Q16" i="6" s="1"/>
  <c r="I631" i="8"/>
  <c r="N631" i="8"/>
  <c r="O175" i="8"/>
  <c r="I1023" i="8"/>
  <c r="N1023" i="8"/>
  <c r="I682" i="8"/>
  <c r="N682" i="8"/>
  <c r="I404" i="8"/>
  <c r="N404" i="8"/>
  <c r="N455" i="8"/>
  <c r="I455" i="8"/>
  <c r="O630" i="8"/>
  <c r="N231" i="8"/>
  <c r="I231" i="8"/>
  <c r="N329" i="8"/>
  <c r="I329" i="8"/>
  <c r="O330" i="8"/>
  <c r="N62" i="7"/>
  <c r="P62" i="7" s="1"/>
  <c r="Q62" i="7" s="1"/>
  <c r="I62" i="7"/>
  <c r="F62" i="7" s="1"/>
  <c r="O1071" i="8"/>
  <c r="O616" i="8"/>
  <c r="O866" i="8"/>
  <c r="N894" i="8"/>
  <c r="I894" i="8"/>
  <c r="N319" i="8"/>
  <c r="I319" i="8"/>
  <c r="N685" i="8"/>
  <c r="I685" i="8"/>
  <c r="O959" i="8"/>
  <c r="O723" i="8"/>
  <c r="I311" i="8"/>
  <c r="N311" i="8"/>
  <c r="O529" i="8"/>
  <c r="I376" i="8"/>
  <c r="N376" i="8"/>
  <c r="N550" i="8"/>
  <c r="I550" i="8"/>
  <c r="N285" i="8"/>
  <c r="I285" i="8"/>
  <c r="O261" i="8"/>
  <c r="O511" i="8"/>
  <c r="I295" i="8"/>
  <c r="N295" i="8"/>
  <c r="O99" i="8"/>
  <c r="O481" i="8"/>
  <c r="I164" i="8"/>
  <c r="N164" i="8"/>
  <c r="I516" i="8"/>
  <c r="N516" i="8"/>
  <c r="O653" i="8"/>
  <c r="N441" i="8"/>
  <c r="I441" i="8"/>
  <c r="I26" i="4"/>
  <c r="F26" i="4" s="1"/>
  <c r="N26" i="4"/>
  <c r="P26" i="4" s="1"/>
  <c r="Q26" i="4" s="1"/>
  <c r="I149" i="8"/>
  <c r="N149" i="8"/>
  <c r="O1022" i="8"/>
  <c r="I31" i="8"/>
  <c r="N31" i="8"/>
  <c r="I180" i="7"/>
  <c r="F180" i="7" s="1"/>
  <c r="N180" i="7"/>
  <c r="P180" i="7" s="1"/>
  <c r="Q180" i="7" s="1"/>
  <c r="O758" i="8"/>
  <c r="I649" i="8"/>
  <c r="N649" i="8"/>
  <c r="N566" i="8"/>
  <c r="I566" i="8"/>
  <c r="N223" i="8"/>
  <c r="I223" i="8"/>
  <c r="O506" i="8"/>
  <c r="I755" i="8"/>
  <c r="N755" i="8"/>
  <c r="N1085" i="8"/>
  <c r="I1085" i="8"/>
  <c r="O363" i="8"/>
  <c r="N79" i="7"/>
  <c r="P79" i="7" s="1"/>
  <c r="Q79" i="7" s="1"/>
  <c r="I79" i="7"/>
  <c r="F79" i="7" s="1"/>
  <c r="I186" i="8"/>
  <c r="N186" i="8"/>
  <c r="O72" i="8"/>
  <c r="I901" i="8"/>
  <c r="N901" i="8"/>
  <c r="O666" i="8"/>
  <c r="O849" i="8"/>
  <c r="O300" i="8"/>
  <c r="I768" i="8"/>
  <c r="N768" i="8"/>
  <c r="N16" i="7"/>
  <c r="P16" i="7" s="1"/>
  <c r="Q16" i="7" s="1"/>
  <c r="I16" i="7"/>
  <c r="F16" i="7" s="1"/>
  <c r="O858" i="8"/>
  <c r="N33" i="7"/>
  <c r="P33" i="7" s="1"/>
  <c r="Q33" i="7" s="1"/>
  <c r="I33" i="7"/>
  <c r="F33" i="7" s="1"/>
  <c r="N1121" i="8"/>
  <c r="I1121" i="8"/>
  <c r="O21" i="8"/>
  <c r="I179" i="8"/>
  <c r="N179" i="8"/>
  <c r="N774" i="8"/>
  <c r="I774" i="8"/>
  <c r="N1024" i="8"/>
  <c r="I1024" i="8"/>
  <c r="O437" i="8"/>
  <c r="I424" i="8"/>
  <c r="N424" i="8"/>
  <c r="N13" i="7"/>
  <c r="P13" i="7" s="1"/>
  <c r="Q13" i="7" s="1"/>
  <c r="I13" i="7"/>
  <c r="F13" i="7" s="1"/>
  <c r="N80" i="7"/>
  <c r="P80" i="7" s="1"/>
  <c r="Q80" i="7" s="1"/>
  <c r="I80" i="7"/>
  <c r="F80" i="7" s="1"/>
  <c r="N454" i="8"/>
  <c r="I454" i="8"/>
  <c r="O962" i="8"/>
  <c r="N71" i="8"/>
  <c r="I71" i="8"/>
  <c r="O924" i="8"/>
  <c r="O52" i="8"/>
  <c r="I69" i="8"/>
  <c r="N69" i="8"/>
  <c r="N1088" i="8"/>
  <c r="I1088" i="8"/>
  <c r="I30" i="8"/>
  <c r="N30" i="8"/>
  <c r="O194" i="8"/>
  <c r="O68" i="8"/>
  <c r="I788" i="8"/>
  <c r="N788" i="8"/>
  <c r="O582" i="8"/>
  <c r="N1094" i="8"/>
  <c r="I1094" i="8"/>
  <c r="O207" i="8"/>
  <c r="I395" i="8"/>
  <c r="N395" i="8"/>
  <c r="I29" i="8"/>
  <c r="N29" i="8"/>
  <c r="O995" i="8"/>
  <c r="O476" i="8"/>
  <c r="I289" i="8"/>
  <c r="N289" i="8"/>
  <c r="N146" i="8"/>
  <c r="I146" i="8"/>
  <c r="O645" i="8"/>
  <c r="O502" i="8"/>
  <c r="O646" i="8"/>
  <c r="O463" i="8"/>
  <c r="I89" i="7"/>
  <c r="F89" i="7" s="1"/>
  <c r="N89" i="7"/>
  <c r="P89" i="7" s="1"/>
  <c r="Q89" i="7" s="1"/>
  <c r="N33" i="4"/>
  <c r="P33" i="4" s="1"/>
  <c r="Q33" i="4" s="1"/>
  <c r="I33" i="4"/>
  <c r="F33" i="4" s="1"/>
  <c r="R33" i="4" s="1"/>
  <c r="O533" i="8"/>
  <c r="O587" i="8"/>
  <c r="I744" i="8"/>
  <c r="N744" i="8"/>
  <c r="O67" i="8"/>
  <c r="N83" i="8"/>
  <c r="I83" i="8"/>
  <c r="N210" i="8"/>
  <c r="I210" i="8"/>
  <c r="I544" i="8"/>
  <c r="N544" i="8"/>
  <c r="O243" i="8"/>
  <c r="I141" i="7"/>
  <c r="F141" i="7" s="1"/>
  <c r="N141" i="7"/>
  <c r="P141" i="7" s="1"/>
  <c r="Q141" i="7" s="1"/>
  <c r="I341" i="8"/>
  <c r="N341" i="8"/>
  <c r="I168" i="7"/>
  <c r="F168" i="7" s="1"/>
  <c r="N168" i="7"/>
  <c r="P168" i="7" s="1"/>
  <c r="Q168" i="7" s="1"/>
  <c r="O439" i="8"/>
  <c r="O65" i="8"/>
  <c r="O949" i="8"/>
  <c r="O282" i="8"/>
  <c r="N206" i="7"/>
  <c r="P206" i="7" s="1"/>
  <c r="Q206" i="7" s="1"/>
  <c r="I206" i="7"/>
  <c r="F206" i="7" s="1"/>
  <c r="R206" i="7" s="1"/>
  <c r="I498" i="8"/>
  <c r="N498" i="8"/>
  <c r="I131" i="7"/>
  <c r="F131" i="7" s="1"/>
  <c r="N131" i="7"/>
  <c r="P131" i="7" s="1"/>
  <c r="Q131" i="7" s="1"/>
  <c r="N993" i="8"/>
  <c r="I993" i="8"/>
  <c r="O716" i="8"/>
  <c r="O317" i="8"/>
  <c r="I1130" i="8"/>
  <c r="N1130" i="8"/>
  <c r="I60" i="7"/>
  <c r="F60" i="7" s="1"/>
  <c r="N60" i="7"/>
  <c r="P60" i="7" s="1"/>
  <c r="Q60" i="7" s="1"/>
  <c r="O922" i="8"/>
  <c r="I1110" i="8"/>
  <c r="N1110" i="8"/>
  <c r="O491" i="8"/>
  <c r="O546" i="8"/>
  <c r="I88" i="7"/>
  <c r="F88" i="7" s="1"/>
  <c r="N88" i="7"/>
  <c r="P88" i="7" s="1"/>
  <c r="Q88" i="7" s="1"/>
  <c r="O728" i="8"/>
  <c r="N719" i="8"/>
  <c r="I719" i="8"/>
  <c r="N62" i="8"/>
  <c r="I62" i="8"/>
  <c r="I102" i="7"/>
  <c r="F102" i="7" s="1"/>
  <c r="N102" i="7"/>
  <c r="P102" i="7" s="1"/>
  <c r="Q102" i="7" s="1"/>
  <c r="O495" i="8"/>
  <c r="O703" i="8"/>
  <c r="N202" i="8"/>
  <c r="I202" i="8"/>
  <c r="N51" i="7"/>
  <c r="P51" i="7" s="1"/>
  <c r="Q51" i="7" s="1"/>
  <c r="I51" i="7"/>
  <c r="F51" i="7" s="1"/>
  <c r="R51" i="7" s="1"/>
  <c r="O1106" i="8"/>
  <c r="N988" i="8"/>
  <c r="I988" i="8"/>
  <c r="N11" i="1"/>
  <c r="P11" i="1" s="1"/>
  <c r="Q11" i="1" s="1"/>
  <c r="I11" i="1"/>
  <c r="F11" i="1" s="1"/>
  <c r="I983" i="8"/>
  <c r="N983" i="8"/>
  <c r="O675" i="8"/>
  <c r="N438" i="8"/>
  <c r="I438" i="8"/>
  <c r="I299" i="8"/>
  <c r="N299" i="8"/>
  <c r="N39" i="6"/>
  <c r="P39" i="6" s="1"/>
  <c r="Q39" i="6" s="1"/>
  <c r="I39" i="6"/>
  <c r="F39" i="6" s="1"/>
  <c r="N379" i="8"/>
  <c r="I379" i="8"/>
  <c r="O968" i="8"/>
  <c r="I44" i="8"/>
  <c r="N44" i="8"/>
  <c r="I31" i="6"/>
  <c r="F31" i="6" s="1"/>
  <c r="N31" i="6"/>
  <c r="P31" i="6" s="1"/>
  <c r="Q31" i="6" s="1"/>
  <c r="N775" i="8"/>
  <c r="I775" i="8"/>
  <c r="I166" i="8"/>
  <c r="N166" i="8"/>
  <c r="N200" i="8"/>
  <c r="I200" i="8"/>
  <c r="N122" i="7"/>
  <c r="P122" i="7" s="1"/>
  <c r="Q122" i="7" s="1"/>
  <c r="I122" i="7"/>
  <c r="F122" i="7" s="1"/>
  <c r="I18" i="7"/>
  <c r="F18" i="7" s="1"/>
  <c r="N18" i="7"/>
  <c r="P18" i="7" s="1"/>
  <c r="Q18" i="7" s="1"/>
  <c r="I50" i="8"/>
  <c r="N50" i="8"/>
  <c r="O919" i="8"/>
  <c r="O780" i="8"/>
  <c r="I1129" i="8"/>
  <c r="N1129" i="8"/>
  <c r="O530" i="8"/>
  <c r="O265" i="8"/>
  <c r="N258" i="8"/>
  <c r="I258" i="8"/>
  <c r="I383" i="8"/>
  <c r="N383" i="8"/>
  <c r="N634" i="8"/>
  <c r="I634" i="8"/>
  <c r="O130" i="8"/>
  <c r="I23" i="7"/>
  <c r="F23" i="7" s="1"/>
  <c r="N23" i="7"/>
  <c r="P23" i="7" s="1"/>
  <c r="Q23" i="7" s="1"/>
  <c r="O368" i="8"/>
  <c r="N472" i="8"/>
  <c r="I472" i="8"/>
  <c r="N580" i="8"/>
  <c r="I580" i="8"/>
  <c r="O1086" i="8"/>
  <c r="O505" i="8"/>
  <c r="N693" i="8"/>
  <c r="I693" i="8"/>
  <c r="O635" i="8"/>
  <c r="N280" i="8"/>
  <c r="I280" i="8"/>
  <c r="N884" i="8"/>
  <c r="I884" i="8"/>
  <c r="O823" i="8"/>
  <c r="I103" i="7"/>
  <c r="F103" i="7" s="1"/>
  <c r="N103" i="7"/>
  <c r="P103" i="7" s="1"/>
  <c r="Q103" i="7" s="1"/>
  <c r="I61" i="7"/>
  <c r="F61" i="7" s="1"/>
  <c r="N61" i="7"/>
  <c r="P61" i="7" s="1"/>
  <c r="Q61" i="7" s="1"/>
  <c r="N440" i="8"/>
  <c r="I440" i="8"/>
  <c r="O991" i="8"/>
  <c r="O663" i="8"/>
  <c r="O837" i="8"/>
  <c r="O933" i="8"/>
  <c r="O733" i="8"/>
  <c r="N842" i="8"/>
  <c r="I842" i="8"/>
  <c r="N748" i="8"/>
  <c r="I748" i="8"/>
  <c r="O1045" i="8"/>
  <c r="O1003" i="8"/>
  <c r="N535" i="8"/>
  <c r="I535" i="8"/>
  <c r="O873" i="8"/>
  <c r="I802" i="8"/>
  <c r="N802" i="8"/>
  <c r="I1132" i="8"/>
  <c r="N1132" i="8"/>
  <c r="O456" i="8"/>
  <c r="O324" i="8"/>
  <c r="I574" i="8"/>
  <c r="N574" i="8"/>
  <c r="O892" i="8"/>
  <c r="N485" i="8"/>
  <c r="I485" i="8"/>
  <c r="N139" i="8"/>
  <c r="I139" i="8"/>
  <c r="N367" i="8"/>
  <c r="I367" i="8"/>
  <c r="I193" i="7"/>
  <c r="F193" i="7" s="1"/>
  <c r="N193" i="7"/>
  <c r="P193" i="7" s="1"/>
  <c r="Q193" i="7" s="1"/>
  <c r="I177" i="8"/>
  <c r="N177" i="8"/>
  <c r="N927" i="8"/>
  <c r="I927" i="8"/>
  <c r="I540" i="8"/>
  <c r="N540" i="8"/>
  <c r="O488" i="8"/>
  <c r="O60" i="8"/>
  <c r="O276" i="8"/>
  <c r="O288" i="8"/>
  <c r="O752" i="8"/>
  <c r="O1099" i="8"/>
  <c r="O638" i="8"/>
  <c r="O765" i="8"/>
  <c r="O449" i="8"/>
  <c r="O443" i="8"/>
  <c r="O839" i="8"/>
  <c r="N170" i="8"/>
  <c r="I170" i="8"/>
  <c r="O387" i="8"/>
  <c r="N749" i="8"/>
  <c r="I749" i="8"/>
  <c r="I1059" i="8"/>
  <c r="N1059" i="8"/>
  <c r="N916" i="8"/>
  <c r="I916" i="8"/>
  <c r="O226" i="8"/>
  <c r="O1138" i="8"/>
  <c r="I28" i="6"/>
  <c r="F28" i="6" s="1"/>
  <c r="N28" i="6"/>
  <c r="P28" i="6" s="1"/>
  <c r="Q28" i="6" s="1"/>
  <c r="O970" i="8"/>
  <c r="O538" i="8"/>
  <c r="I888" i="8"/>
  <c r="N888" i="8"/>
  <c r="O1100" i="8"/>
  <c r="I957" i="8"/>
  <c r="N957" i="8"/>
  <c r="O1020" i="8"/>
  <c r="N290" i="8"/>
  <c r="I290" i="8"/>
  <c r="I255" i="8"/>
  <c r="N255" i="8"/>
  <c r="N917" i="8"/>
  <c r="I917" i="8"/>
  <c r="I569" i="8"/>
  <c r="N569" i="8"/>
  <c r="I101" i="8"/>
  <c r="N101" i="8"/>
  <c r="I660" i="8"/>
  <c r="N660" i="8"/>
  <c r="O779" i="8"/>
  <c r="I19" i="6"/>
  <c r="F19" i="6" s="1"/>
  <c r="N19" i="6"/>
  <c r="P19" i="6" s="1"/>
  <c r="Q19" i="6" s="1"/>
  <c r="N836" i="8"/>
  <c r="I836" i="8"/>
  <c r="I782" i="8"/>
  <c r="N782" i="8"/>
  <c r="I863" i="8"/>
  <c r="N863" i="8"/>
  <c r="N893" i="8"/>
  <c r="I893" i="8"/>
  <c r="I21" i="4"/>
  <c r="F21" i="4" s="1"/>
  <c r="N21" i="4"/>
  <c r="P21" i="4" s="1"/>
  <c r="Q21" i="4" s="1"/>
  <c r="N789" i="8"/>
  <c r="I789" i="8"/>
  <c r="N549" i="8"/>
  <c r="I549" i="8"/>
  <c r="N878" i="8"/>
  <c r="I878" i="8"/>
  <c r="N1006" i="8"/>
  <c r="I1006" i="8"/>
  <c r="O1047" i="8"/>
  <c r="O27" i="8"/>
  <c r="O155" i="8"/>
  <c r="O963" i="8"/>
  <c r="N1027" i="8"/>
  <c r="I1027" i="8"/>
  <c r="O721" i="8"/>
  <c r="I1118" i="8"/>
  <c r="N1118" i="8"/>
  <c r="N421" i="8"/>
  <c r="I421" i="8"/>
  <c r="I234" i="8"/>
  <c r="N234" i="8"/>
  <c r="I61" i="8"/>
  <c r="N61" i="8"/>
  <c r="O1057" i="8"/>
  <c r="O987" i="8"/>
  <c r="I1074" i="8"/>
  <c r="N1074" i="8"/>
  <c r="O47" i="8"/>
  <c r="O418" i="8"/>
  <c r="O131" i="8"/>
  <c r="O1062" i="8"/>
  <c r="O433" i="8"/>
  <c r="O184" i="8"/>
  <c r="I401" i="8"/>
  <c r="N401" i="8"/>
  <c r="O137" i="8"/>
  <c r="O548" i="8"/>
  <c r="I249" i="8"/>
  <c r="N249" i="8"/>
  <c r="O524" i="8"/>
  <c r="O626" i="8"/>
  <c r="O982" i="8"/>
  <c r="O624" i="8"/>
  <c r="I976" i="8"/>
  <c r="N976" i="8"/>
  <c r="O927" i="8"/>
  <c r="N992" i="8"/>
  <c r="I992" i="8"/>
  <c r="O347" i="8"/>
  <c r="O342" i="8"/>
  <c r="I760" i="8"/>
  <c r="N760" i="8"/>
  <c r="O743" i="8"/>
  <c r="I60" i="8"/>
  <c r="N60" i="8"/>
  <c r="I979" i="8"/>
  <c r="N979" i="8"/>
  <c r="O709" i="8"/>
  <c r="N699" i="8"/>
  <c r="I699" i="8"/>
  <c r="N1099" i="8"/>
  <c r="I1099" i="8"/>
  <c r="I638" i="8"/>
  <c r="N638" i="8"/>
  <c r="N765" i="8"/>
  <c r="I765" i="8"/>
  <c r="I449" i="8"/>
  <c r="N449" i="8"/>
  <c r="N1075" i="8"/>
  <c r="I1075" i="8"/>
  <c r="O170" i="8"/>
  <c r="N870" i="8"/>
  <c r="I870" i="8"/>
  <c r="O266" i="8"/>
  <c r="O305" i="8"/>
  <c r="O926" i="8"/>
  <c r="O800" i="8"/>
  <c r="I118" i="7"/>
  <c r="F118" i="7" s="1"/>
  <c r="N118" i="7"/>
  <c r="P118" i="7" s="1"/>
  <c r="Q118" i="7" s="1"/>
  <c r="N1135" i="8"/>
  <c r="I1135" i="8"/>
  <c r="O450" i="8"/>
  <c r="O176" i="8"/>
  <c r="I826" i="8"/>
  <c r="N826" i="8"/>
  <c r="I970" i="8"/>
  <c r="N970" i="8"/>
  <c r="O195" i="8"/>
  <c r="O888" i="8"/>
  <c r="I1100" i="8"/>
  <c r="N1100" i="8"/>
  <c r="N1020" i="8"/>
  <c r="I1020" i="8"/>
  <c r="N151" i="7"/>
  <c r="P151" i="7" s="1"/>
  <c r="Q151" i="7" s="1"/>
  <c r="I151" i="7"/>
  <c r="F151" i="7" s="1"/>
  <c r="O1127" i="8"/>
  <c r="O372" i="8"/>
  <c r="O101" i="8"/>
  <c r="O910" i="8"/>
  <c r="O660" i="8"/>
  <c r="I779" i="8"/>
  <c r="N779" i="8"/>
  <c r="O192" i="8"/>
  <c r="O836" i="8"/>
  <c r="N595" i="8"/>
  <c r="I595" i="8"/>
  <c r="I452" i="8"/>
  <c r="N452" i="8"/>
  <c r="I230" i="8"/>
  <c r="N230" i="8"/>
  <c r="O862" i="8"/>
  <c r="O1002" i="8"/>
  <c r="O208" i="8"/>
  <c r="N705" i="8"/>
  <c r="I705" i="8"/>
  <c r="O543" i="8"/>
  <c r="N1047" i="8"/>
  <c r="I1047" i="8"/>
  <c r="I27" i="8"/>
  <c r="N27" i="8"/>
  <c r="O1027" i="8"/>
  <c r="I373" i="8"/>
  <c r="N373" i="8"/>
  <c r="O1118" i="8"/>
  <c r="O499" i="8"/>
  <c r="N987" i="8"/>
  <c r="I987" i="8"/>
  <c r="I821" i="8"/>
  <c r="N821" i="8"/>
  <c r="I418" i="8"/>
  <c r="N418" i="8"/>
  <c r="N1062" i="8"/>
  <c r="I1062" i="8"/>
  <c r="I184" i="8"/>
  <c r="N184" i="8"/>
  <c r="N952" i="8"/>
  <c r="I952" i="8"/>
  <c r="O249" i="8"/>
  <c r="N324" i="8"/>
  <c r="I324" i="8"/>
  <c r="N1018" i="8"/>
  <c r="I1018" i="8"/>
  <c r="O806" i="8"/>
  <c r="I771" i="8"/>
  <c r="N771" i="8"/>
  <c r="I624" i="8"/>
  <c r="N624" i="8"/>
  <c r="I698" i="8"/>
  <c r="N698" i="8"/>
  <c r="O575" i="8"/>
  <c r="O436" i="8"/>
  <c r="I457" i="8"/>
  <c r="N457" i="8"/>
  <c r="N214" i="8"/>
  <c r="I214" i="8"/>
  <c r="N736" i="8"/>
  <c r="I736" i="8"/>
  <c r="N714" i="8"/>
  <c r="I714" i="8"/>
  <c r="O367" i="8"/>
  <c r="I717" i="8"/>
  <c r="N717" i="8"/>
  <c r="N188" i="8"/>
  <c r="I188" i="8"/>
  <c r="I308" i="8"/>
  <c r="N308" i="8"/>
  <c r="N353" i="8"/>
  <c r="I353" i="8"/>
  <c r="O554" i="8"/>
  <c r="O670" i="8"/>
  <c r="O55" i="8"/>
  <c r="O720" i="8"/>
  <c r="I661" i="8"/>
  <c r="N661" i="8"/>
  <c r="O1096" i="8"/>
  <c r="N1028" i="8"/>
  <c r="I1028" i="8"/>
  <c r="I1041" i="8"/>
  <c r="N1041" i="8"/>
  <c r="O833" i="8"/>
  <c r="I45" i="8"/>
  <c r="N45" i="8"/>
  <c r="O115" i="8"/>
  <c r="I1093" i="8"/>
  <c r="N1093" i="8"/>
  <c r="O677" i="8"/>
  <c r="N129" i="8"/>
  <c r="I129" i="8"/>
  <c r="O87" i="8"/>
  <c r="O812" i="8"/>
  <c r="O1042" i="8"/>
  <c r="O900" i="8"/>
  <c r="O886" i="8"/>
  <c r="I57" i="7"/>
  <c r="F57" i="7" s="1"/>
  <c r="N57" i="7"/>
  <c r="P57" i="7" s="1"/>
  <c r="Q57" i="7" s="1"/>
  <c r="N393" i="8"/>
  <c r="I393" i="8"/>
  <c r="N792" i="8"/>
  <c r="I792" i="8"/>
  <c r="O126" i="8"/>
  <c r="N90" i="8"/>
  <c r="I90" i="8"/>
  <c r="N875" i="8"/>
  <c r="I875" i="8"/>
  <c r="O426" i="8"/>
  <c r="N111" i="7"/>
  <c r="P111" i="7" s="1"/>
  <c r="Q111" i="7" s="1"/>
  <c r="I111" i="7"/>
  <c r="F111" i="7" s="1"/>
  <c r="I397" i="8"/>
  <c r="N397" i="8"/>
  <c r="N753" i="8"/>
  <c r="I753" i="8"/>
  <c r="I197" i="8"/>
  <c r="N197" i="8"/>
  <c r="N37" i="8"/>
  <c r="I37" i="8"/>
  <c r="I96" i="7"/>
  <c r="F96" i="7" s="1"/>
  <c r="N96" i="7"/>
  <c r="P96" i="7" s="1"/>
  <c r="Q96" i="7" s="1"/>
  <c r="O56" i="8"/>
  <c r="O1063" i="8"/>
  <c r="O371" i="8"/>
  <c r="N829" i="8"/>
  <c r="I829" i="8"/>
  <c r="I1073" i="8"/>
  <c r="N1073" i="8"/>
  <c r="I28" i="8"/>
  <c r="N28" i="8"/>
  <c r="O161" i="8"/>
  <c r="O94" i="8"/>
  <c r="N23" i="6"/>
  <c r="P23" i="6" s="1"/>
  <c r="Q23" i="6" s="1"/>
  <c r="I23" i="6"/>
  <c r="F23" i="6" s="1"/>
  <c r="O109" i="8"/>
  <c r="N1033" i="8"/>
  <c r="I1033" i="8"/>
  <c r="I204" i="8"/>
  <c r="N204" i="8"/>
  <c r="O899" i="8"/>
  <c r="O211" i="8"/>
  <c r="O250" i="8"/>
  <c r="I46" i="7"/>
  <c r="F46" i="7" s="1"/>
  <c r="N46" i="7"/>
  <c r="P46" i="7" s="1"/>
  <c r="Q46" i="7" s="1"/>
  <c r="O934" i="8"/>
  <c r="N137" i="7"/>
  <c r="P137" i="7" s="1"/>
  <c r="Q137" i="7" s="1"/>
  <c r="I137" i="7"/>
  <c r="F137" i="7" s="1"/>
  <c r="O163" i="8"/>
  <c r="O598" i="8"/>
  <c r="O617" i="8"/>
  <c r="O248" i="8"/>
  <c r="I898" i="8"/>
  <c r="N898" i="8"/>
  <c r="N643" i="8"/>
  <c r="I643" i="8"/>
  <c r="N127" i="7"/>
  <c r="P127" i="7" s="1"/>
  <c r="Q127" i="7" s="1"/>
  <c r="I127" i="7"/>
  <c r="F127" i="7" s="1"/>
  <c r="R127" i="7" s="1"/>
  <c r="I122" i="8"/>
  <c r="N122" i="8"/>
  <c r="O18" i="8"/>
  <c r="N414" i="8"/>
  <c r="I414" i="8"/>
  <c r="O293" i="8"/>
  <c r="O974" i="8"/>
  <c r="O929" i="8"/>
  <c r="N375" i="8"/>
  <c r="I375" i="8"/>
  <c r="N384" i="8"/>
  <c r="I384" i="8"/>
  <c r="N113" i="7"/>
  <c r="P113" i="7" s="1"/>
  <c r="Q113" i="7" s="1"/>
  <c r="I113" i="7"/>
  <c r="F113" i="7" s="1"/>
  <c r="O747" i="8"/>
  <c r="O182" i="8"/>
  <c r="O512" i="8"/>
  <c r="N170" i="7"/>
  <c r="P170" i="7" s="1"/>
  <c r="Q170" i="7" s="1"/>
  <c r="I170" i="7"/>
  <c r="F170" i="7" s="1"/>
  <c r="N209" i="8"/>
  <c r="I209" i="8"/>
  <c r="N55" i="7"/>
  <c r="P55" i="7" s="1"/>
  <c r="Q55" i="7" s="1"/>
  <c r="I55" i="7"/>
  <c r="F55" i="7" s="1"/>
  <c r="I83" i="7"/>
  <c r="F83" i="7" s="1"/>
  <c r="N83" i="7"/>
  <c r="P83" i="7" s="1"/>
  <c r="Q83" i="7" s="1"/>
  <c r="N880" i="8"/>
  <c r="I880" i="8"/>
  <c r="N187" i="8"/>
  <c r="I187" i="8"/>
  <c r="I370" i="8"/>
  <c r="N370" i="8"/>
  <c r="I571" i="8"/>
  <c r="N571" i="8"/>
  <c r="O631" i="8"/>
  <c r="O682" i="8"/>
  <c r="N943" i="8"/>
  <c r="I943" i="8"/>
  <c r="N388" i="8"/>
  <c r="I388" i="8"/>
  <c r="O455" i="8"/>
  <c r="I622" i="8"/>
  <c r="N622" i="8"/>
  <c r="O231" i="8"/>
  <c r="O167" i="8"/>
  <c r="I132" i="7"/>
  <c r="F132" i="7" s="1"/>
  <c r="N132" i="7"/>
  <c r="P132" i="7" s="1"/>
  <c r="Q132" i="7" s="1"/>
  <c r="N790" i="8"/>
  <c r="I790" i="8"/>
  <c r="I330" i="8"/>
  <c r="N330" i="8"/>
  <c r="O1015" i="8"/>
  <c r="O985" i="8"/>
  <c r="O1137" i="8"/>
  <c r="I109" i="7"/>
  <c r="F109" i="7" s="1"/>
  <c r="N109" i="7"/>
  <c r="P109" i="7" s="1"/>
  <c r="Q109" i="7" s="1"/>
  <c r="N866" i="8"/>
  <c r="I866" i="8"/>
  <c r="I562" i="8"/>
  <c r="N562" i="8"/>
  <c r="N448" i="8"/>
  <c r="I448" i="8"/>
  <c r="O894" i="8"/>
  <c r="I810" i="8"/>
  <c r="N810" i="8"/>
  <c r="I1030" i="8"/>
  <c r="N1030" i="8"/>
  <c r="O311" i="8"/>
  <c r="I85" i="7"/>
  <c r="F85" i="7" s="1"/>
  <c r="N85" i="7"/>
  <c r="P85" i="7" s="1"/>
  <c r="Q85" i="7" s="1"/>
  <c r="O550" i="8"/>
  <c r="O15" i="8"/>
  <c r="O285" i="8"/>
  <c r="O112" i="8"/>
  <c r="N140" i="7"/>
  <c r="P140" i="7" s="1"/>
  <c r="Q140" i="7" s="1"/>
  <c r="I140" i="7"/>
  <c r="F140" i="7" s="1"/>
  <c r="N511" i="8"/>
  <c r="I511" i="8"/>
  <c r="N481" i="8"/>
  <c r="I481" i="8"/>
  <c r="O164" i="8"/>
  <c r="N653" i="8"/>
  <c r="I653" i="8"/>
  <c r="O382" i="8"/>
  <c r="I312" i="8"/>
  <c r="N312" i="8"/>
  <c r="O441" i="8"/>
  <c r="O149" i="8"/>
  <c r="N349" i="8"/>
  <c r="I349" i="8"/>
  <c r="N14" i="6"/>
  <c r="P14" i="6" s="1"/>
  <c r="Q14" i="6" s="1"/>
  <c r="I14" i="6"/>
  <c r="F14" i="6" s="1"/>
  <c r="O359" i="8"/>
  <c r="I496" i="8"/>
  <c r="N496" i="8"/>
  <c r="N994" i="8"/>
  <c r="I994" i="8"/>
  <c r="N1004" i="8"/>
  <c r="I1004" i="8"/>
  <c r="I539" i="8"/>
  <c r="N539" i="8"/>
  <c r="I381" i="8"/>
  <c r="N381" i="8"/>
  <c r="O649" i="8"/>
  <c r="O566" i="8"/>
  <c r="O913" i="8"/>
  <c r="N763" i="8"/>
  <c r="I763" i="8"/>
  <c r="O526" i="8"/>
  <c r="O154" i="8"/>
  <c r="I666" i="8"/>
  <c r="N666" i="8"/>
  <c r="N1122" i="8"/>
  <c r="I1122" i="8"/>
  <c r="O768" i="8"/>
  <c r="O1013" i="8"/>
  <c r="I41" i="4"/>
  <c r="F41" i="4" s="1"/>
  <c r="N41" i="4"/>
  <c r="P41" i="4" s="1"/>
  <c r="Q41" i="4" s="1"/>
  <c r="O972" i="8"/>
  <c r="N918" i="8"/>
  <c r="I918" i="8"/>
  <c r="N14" i="8"/>
  <c r="I14" i="8"/>
  <c r="O1121" i="8"/>
  <c r="O416" i="8"/>
  <c r="I306" i="8"/>
  <c r="N306" i="8"/>
  <c r="N466" i="8"/>
  <c r="I466" i="8"/>
  <c r="O490" i="8"/>
  <c r="O1076" i="8"/>
  <c r="O1024" i="8"/>
  <c r="O718" i="8"/>
  <c r="O772" i="8"/>
  <c r="I147" i="7"/>
  <c r="F147" i="7" s="1"/>
  <c r="N147" i="7"/>
  <c r="P147" i="7" s="1"/>
  <c r="Q147" i="7" s="1"/>
  <c r="O454" i="8"/>
  <c r="N532" i="8"/>
  <c r="I532" i="8"/>
  <c r="I110" i="7"/>
  <c r="F110" i="7" s="1"/>
  <c r="N110" i="7"/>
  <c r="P110" i="7" s="1"/>
  <c r="Q110" i="7" s="1"/>
  <c r="O71" i="8"/>
  <c r="N735" i="8"/>
  <c r="I735" i="8"/>
  <c r="N52" i="8"/>
  <c r="I52" i="8"/>
  <c r="O69" i="8"/>
  <c r="O989" i="8"/>
  <c r="O30" i="8"/>
  <c r="O1101" i="8"/>
  <c r="I68" i="8"/>
  <c r="N68" i="8"/>
  <c r="N46" i="8"/>
  <c r="I46" i="8"/>
  <c r="I582" i="8"/>
  <c r="N582" i="8"/>
  <c r="O1094" i="8"/>
  <c r="I140" i="8"/>
  <c r="N140" i="8"/>
  <c r="N207" i="8"/>
  <c r="I207" i="8"/>
  <c r="O816" i="8"/>
  <c r="O29" i="8"/>
  <c r="N476" i="8"/>
  <c r="I476" i="8"/>
  <c r="N76" i="7"/>
  <c r="P76" i="7" s="1"/>
  <c r="Q76" i="7" s="1"/>
  <c r="I76" i="7"/>
  <c r="F76" i="7" s="1"/>
  <c r="N868" i="8"/>
  <c r="I868" i="8"/>
  <c r="O146" i="8"/>
  <c r="N56" i="7"/>
  <c r="P56" i="7" s="1"/>
  <c r="Q56" i="7" s="1"/>
  <c r="I56" i="7"/>
  <c r="F56" i="7" s="1"/>
  <c r="O97" i="8"/>
  <c r="N645" i="8"/>
  <c r="I645" i="8"/>
  <c r="O971" i="8"/>
  <c r="I91" i="8"/>
  <c r="N91" i="8"/>
  <c r="I1104" i="8"/>
  <c r="N1104" i="8"/>
  <c r="N605" i="8"/>
  <c r="I605" i="8"/>
  <c r="O907" i="8"/>
  <c r="I100" i="8"/>
  <c r="N100" i="8"/>
  <c r="I447" i="8"/>
  <c r="N447" i="8"/>
  <c r="O180" i="8"/>
  <c r="O89" i="8"/>
  <c r="O435" i="8"/>
  <c r="I183" i="7"/>
  <c r="F183" i="7" s="1"/>
  <c r="N183" i="7"/>
  <c r="P183" i="7" s="1"/>
  <c r="Q183" i="7" s="1"/>
  <c r="N852" i="8"/>
  <c r="I852" i="8"/>
  <c r="I793" i="8"/>
  <c r="N793" i="8"/>
  <c r="O527" i="8"/>
  <c r="N523" i="8"/>
  <c r="I523" i="8"/>
  <c r="I201" i="8"/>
  <c r="N201" i="8"/>
  <c r="N106" i="8"/>
  <c r="I106" i="8"/>
  <c r="O83" i="8"/>
  <c r="O210" i="8"/>
  <c r="I34" i="4"/>
  <c r="F34" i="4" s="1"/>
  <c r="N34" i="4"/>
  <c r="P34" i="4" s="1"/>
  <c r="Q34" i="4" s="1"/>
  <c r="N726" i="8"/>
  <c r="I726" i="8"/>
  <c r="O284" i="8"/>
  <c r="O341" i="8"/>
  <c r="I24" i="6"/>
  <c r="F24" i="6" s="1"/>
  <c r="N24" i="6"/>
  <c r="P24" i="6" s="1"/>
  <c r="Q24" i="6" s="1"/>
  <c r="N949" i="8"/>
  <c r="I949" i="8"/>
  <c r="N282" i="8"/>
  <c r="I282" i="8"/>
  <c r="I855" i="8"/>
  <c r="N855" i="8"/>
  <c r="I716" i="8"/>
  <c r="N716" i="8"/>
  <c r="O1068" i="8"/>
  <c r="I23" i="4"/>
  <c r="F23" i="4" s="1"/>
  <c r="N23" i="4"/>
  <c r="P23" i="4" s="1"/>
  <c r="Q23" i="4" s="1"/>
  <c r="O1130" i="8"/>
  <c r="I43" i="7"/>
  <c r="F43" i="7" s="1"/>
  <c r="N43" i="7"/>
  <c r="P43" i="7" s="1"/>
  <c r="Q43" i="7" s="1"/>
  <c r="O150" i="8"/>
  <c r="O712" i="8"/>
  <c r="N1046" i="8"/>
  <c r="I1046" i="8"/>
  <c r="I922" i="8"/>
  <c r="N922" i="8"/>
  <c r="I879" i="8"/>
  <c r="N879" i="8"/>
  <c r="I27" i="4"/>
  <c r="F27" i="4" s="1"/>
  <c r="N27" i="4"/>
  <c r="P27" i="4" s="1"/>
  <c r="Q27" i="4" s="1"/>
  <c r="O781" i="8"/>
  <c r="N222" i="8"/>
  <c r="I222" i="8"/>
  <c r="N489" i="8"/>
  <c r="I489" i="8"/>
  <c r="O877" i="8"/>
  <c r="N116" i="7"/>
  <c r="P116" i="7" s="1"/>
  <c r="Q116" i="7" s="1"/>
  <c r="I116" i="7"/>
  <c r="F116" i="7" s="1"/>
  <c r="I30" i="7"/>
  <c r="F30" i="7" s="1"/>
  <c r="N30" i="7"/>
  <c r="P30" i="7" s="1"/>
  <c r="Q30" i="7" s="1"/>
  <c r="O132" i="8"/>
  <c r="N205" i="7"/>
  <c r="P205" i="7" s="1"/>
  <c r="Q205" i="7" s="1"/>
  <c r="I205" i="7"/>
  <c r="F205" i="7" s="1"/>
  <c r="N65" i="7"/>
  <c r="P65" i="7" s="1"/>
  <c r="Q65" i="7" s="1"/>
  <c r="I65" i="7"/>
  <c r="F65" i="7" s="1"/>
  <c r="I1034" i="8"/>
  <c r="N1034" i="8"/>
  <c r="I703" i="8"/>
  <c r="N703" i="8"/>
  <c r="N350" i="8"/>
  <c r="I350" i="8"/>
  <c r="O552" i="8"/>
  <c r="N864" i="8"/>
  <c r="I864" i="8"/>
  <c r="I942" i="8"/>
  <c r="N942" i="8"/>
  <c r="O400" i="8"/>
  <c r="I20" i="1"/>
  <c r="F20" i="1" s="1"/>
  <c r="N20" i="1"/>
  <c r="P20" i="1" s="1"/>
  <c r="Q20" i="1" s="1"/>
  <c r="I199" i="7"/>
  <c r="F199" i="7" s="1"/>
  <c r="N199" i="7"/>
  <c r="P199" i="7" s="1"/>
  <c r="Q199" i="7" s="1"/>
  <c r="O983" i="8"/>
  <c r="I675" i="8"/>
  <c r="N675" i="8"/>
  <c r="I740" i="8"/>
  <c r="N740" i="8"/>
  <c r="O168" i="8"/>
  <c r="O44" i="8"/>
  <c r="I787" i="8"/>
  <c r="N787" i="8"/>
  <c r="I171" i="7"/>
  <c r="F171" i="7" s="1"/>
  <c r="N171" i="7"/>
  <c r="P171" i="7" s="1"/>
  <c r="Q171" i="7" s="1"/>
  <c r="N428" i="8"/>
  <c r="I428" i="8"/>
  <c r="O828" i="8"/>
  <c r="O200" i="8"/>
  <c r="N48" i="7"/>
  <c r="P48" i="7" s="1"/>
  <c r="Q48" i="7" s="1"/>
  <c r="I48" i="7"/>
  <c r="F48" i="7" s="1"/>
  <c r="N198" i="7"/>
  <c r="P198" i="7" s="1"/>
  <c r="Q198" i="7" s="1"/>
  <c r="I198" i="7"/>
  <c r="F198" i="7" s="1"/>
  <c r="I17" i="7"/>
  <c r="F17" i="7" s="1"/>
  <c r="N17" i="7"/>
  <c r="P17" i="7" s="1"/>
  <c r="Q17" i="7" s="1"/>
  <c r="O50" i="8"/>
  <c r="I1039" i="8"/>
  <c r="N1039" i="8"/>
  <c r="O313" i="8"/>
  <c r="O1129" i="8"/>
  <c r="I265" i="8"/>
  <c r="N265" i="8"/>
  <c r="N95" i="7"/>
  <c r="P95" i="7" s="1"/>
  <c r="Q95" i="7" s="1"/>
  <c r="I95" i="7"/>
  <c r="F95" i="7" s="1"/>
  <c r="I38" i="6"/>
  <c r="F38" i="6" s="1"/>
  <c r="N38" i="6"/>
  <c r="P38" i="6" s="1"/>
  <c r="Q38" i="6" s="1"/>
  <c r="O258" i="8"/>
  <c r="N462" i="8"/>
  <c r="I462" i="8"/>
  <c r="I298" i="8"/>
  <c r="N298" i="8"/>
  <c r="O814" i="8"/>
  <c r="O853" i="8"/>
  <c r="I218" i="8"/>
  <c r="N218" i="8"/>
  <c r="N635" i="8"/>
  <c r="I635" i="8"/>
  <c r="O884" i="8"/>
  <c r="I199" i="8"/>
  <c r="N199" i="8"/>
  <c r="I592" i="8"/>
  <c r="N592" i="8"/>
  <c r="O992" i="8"/>
  <c r="O246" i="8"/>
  <c r="O1126" i="8"/>
  <c r="N342" i="8"/>
  <c r="I342" i="8"/>
  <c r="O889" i="8"/>
  <c r="I709" i="8"/>
  <c r="N709" i="8"/>
  <c r="O699" i="8"/>
  <c r="N339" i="8"/>
  <c r="I339" i="8"/>
  <c r="N991" i="8"/>
  <c r="I991" i="8"/>
  <c r="O1075" i="8"/>
  <c r="O607" i="8"/>
  <c r="O492" i="8"/>
  <c r="I266" i="8"/>
  <c r="N266" i="8"/>
  <c r="O681" i="8"/>
  <c r="I926" i="8"/>
  <c r="N926" i="8"/>
  <c r="I800" i="8"/>
  <c r="N800" i="8"/>
  <c r="O1087" i="8"/>
  <c r="O916" i="8"/>
  <c r="O1135" i="8"/>
  <c r="I185" i="8"/>
  <c r="N185" i="8"/>
  <c r="N1138" i="8"/>
  <c r="I1138" i="8"/>
  <c r="N176" i="8"/>
  <c r="I176" i="8"/>
  <c r="N195" i="8"/>
  <c r="I195" i="8"/>
  <c r="I785" i="8"/>
  <c r="N785" i="8"/>
  <c r="N837" i="8"/>
  <c r="I837" i="8"/>
  <c r="O613" i="8"/>
  <c r="O255" i="8"/>
  <c r="N372" i="8"/>
  <c r="I372" i="8"/>
  <c r="I910" i="8"/>
  <c r="N910" i="8"/>
  <c r="I933" i="8"/>
  <c r="N933" i="8"/>
  <c r="I192" i="8"/>
  <c r="N192" i="8"/>
  <c r="I733" i="8"/>
  <c r="N733" i="8"/>
  <c r="O782" i="8"/>
  <c r="O842" i="8"/>
  <c r="N37" i="7"/>
  <c r="P37" i="7" s="1"/>
  <c r="Q37" i="7" s="1"/>
  <c r="I37" i="7"/>
  <c r="F37" i="7" s="1"/>
  <c r="O748" i="8"/>
  <c r="I1002" i="8"/>
  <c r="N1002" i="8"/>
  <c r="N1045" i="8"/>
  <c r="I1045" i="8"/>
  <c r="O549" i="8"/>
  <c r="I322" i="8"/>
  <c r="N322" i="8"/>
  <c r="O705" i="8"/>
  <c r="O586" i="8"/>
  <c r="O801" i="8"/>
  <c r="I1003" i="8"/>
  <c r="N1003" i="8"/>
  <c r="O535" i="8"/>
  <c r="N499" i="8"/>
  <c r="I499" i="8"/>
  <c r="O119" i="8"/>
  <c r="N625" i="8"/>
  <c r="I625" i="8"/>
  <c r="O61" i="8"/>
  <c r="O254" i="8"/>
  <c r="O1074" i="8"/>
  <c r="O1040" i="8"/>
  <c r="N965" i="8"/>
  <c r="I965" i="8"/>
  <c r="N818" i="8"/>
  <c r="I818" i="8"/>
  <c r="O1132" i="8"/>
  <c r="I583" i="8"/>
  <c r="N583" i="8"/>
  <c r="N456" i="8"/>
  <c r="I456" i="8"/>
  <c r="N262" i="8"/>
  <c r="I262" i="8"/>
  <c r="O475" i="8"/>
  <c r="N548" i="8"/>
  <c r="I548" i="8"/>
  <c r="O1052" i="8"/>
  <c r="I238" i="8"/>
  <c r="N238" i="8"/>
  <c r="I806" i="8"/>
  <c r="N806" i="8"/>
  <c r="I212" i="8"/>
  <c r="N212" i="8"/>
  <c r="N626" i="8"/>
  <c r="I626" i="8"/>
  <c r="O777" i="8"/>
  <c r="O152" i="8"/>
  <c r="N908" i="8"/>
  <c r="I908" i="8"/>
  <c r="N575" i="8"/>
  <c r="I575" i="8"/>
  <c r="N1109" i="8"/>
  <c r="I1109" i="8"/>
  <c r="O783" i="8"/>
  <c r="N35" i="8"/>
  <c r="I35" i="8"/>
  <c r="O214" i="8"/>
  <c r="O323" i="8"/>
  <c r="O714" i="8"/>
  <c r="O923" i="8"/>
  <c r="N309" i="8"/>
  <c r="I309" i="8"/>
  <c r="O188" i="8"/>
  <c r="O308" i="8"/>
  <c r="I554" i="8"/>
  <c r="N554" i="8"/>
  <c r="I670" i="8"/>
  <c r="N670" i="8"/>
  <c r="I183" i="8"/>
  <c r="N183" i="8"/>
  <c r="I720" i="8"/>
  <c r="N720" i="8"/>
  <c r="I1096" i="8"/>
  <c r="N1096" i="8"/>
  <c r="O1028" i="8"/>
  <c r="O1041" i="8"/>
  <c r="N833" i="8"/>
  <c r="I833" i="8"/>
  <c r="I937" i="8"/>
  <c r="N937" i="8"/>
  <c r="O77" i="8"/>
  <c r="N677" i="8"/>
  <c r="I677" i="8"/>
  <c r="O871" i="8"/>
  <c r="I87" i="8"/>
  <c r="N87" i="8"/>
  <c r="O213" i="8"/>
  <c r="O144" i="8"/>
  <c r="N945" i="8"/>
  <c r="I945" i="8"/>
  <c r="N886" i="8"/>
  <c r="I886" i="8"/>
  <c r="O792" i="8"/>
  <c r="I18" i="4"/>
  <c r="F18" i="4" s="1"/>
  <c r="N18" i="4"/>
  <c r="P18" i="4" s="1"/>
  <c r="Q18" i="4" s="1"/>
  <c r="I115" i="7"/>
  <c r="F115" i="7" s="1"/>
  <c r="N115" i="7"/>
  <c r="P115" i="7" s="1"/>
  <c r="Q115" i="7" s="1"/>
  <c r="O903" i="8"/>
  <c r="O875" i="8"/>
  <c r="I49" i="8"/>
  <c r="N49" i="8"/>
  <c r="I674" i="8"/>
  <c r="N674" i="8"/>
  <c r="O564" i="8"/>
  <c r="O37" i="8"/>
  <c r="O1073" i="8"/>
  <c r="O28" i="8"/>
  <c r="O366" i="8"/>
  <c r="O474" i="8"/>
  <c r="I947" i="8"/>
  <c r="N947" i="8"/>
  <c r="O256" i="8"/>
  <c r="N109" i="8"/>
  <c r="I109" i="8"/>
  <c r="O857" i="8"/>
  <c r="O465" i="8"/>
  <c r="N211" i="8"/>
  <c r="I211" i="8"/>
  <c r="N934" i="8"/>
  <c r="I934" i="8"/>
  <c r="O241" i="8"/>
  <c r="O473" i="8"/>
  <c r="I157" i="7"/>
  <c r="F157" i="7" s="1"/>
  <c r="N157" i="7"/>
  <c r="P157" i="7" s="1"/>
  <c r="Q157" i="7" s="1"/>
  <c r="O1038" i="8"/>
  <c r="N97" i="7"/>
  <c r="P97" i="7" s="1"/>
  <c r="Q97" i="7" s="1"/>
  <c r="I97" i="7"/>
  <c r="F97" i="7" s="1"/>
  <c r="O85" i="8"/>
  <c r="O643" i="8"/>
  <c r="O731" i="8"/>
  <c r="I741" i="8"/>
  <c r="N741" i="8"/>
  <c r="I293" i="8"/>
  <c r="N293" i="8"/>
  <c r="N747" i="8"/>
  <c r="I747" i="8"/>
  <c r="O955" i="8"/>
  <c r="I182" i="8"/>
  <c r="N182" i="8"/>
  <c r="O905" i="8"/>
  <c r="O209" i="8"/>
  <c r="I411" i="8"/>
  <c r="N411" i="8"/>
  <c r="I155" i="7"/>
  <c r="F155" i="7" s="1"/>
  <c r="N155" i="7"/>
  <c r="P155" i="7" s="1"/>
  <c r="Q155" i="7" s="1"/>
  <c r="I27" i="7"/>
  <c r="F27" i="7" s="1"/>
  <c r="N27" i="7"/>
  <c r="P27" i="7" s="1"/>
  <c r="Q27" i="7" s="1"/>
  <c r="O22" i="8"/>
  <c r="O370" i="8"/>
  <c r="N1117" i="8"/>
  <c r="I1117" i="8"/>
  <c r="O571" i="8"/>
  <c r="O113" i="8"/>
  <c r="N175" i="8"/>
  <c r="I175" i="8"/>
  <c r="O791" i="8"/>
  <c r="O1008" i="8"/>
  <c r="O943" i="8"/>
  <c r="I403" i="8"/>
  <c r="N403" i="8"/>
  <c r="O318" i="8"/>
  <c r="O622" i="8"/>
  <c r="N118" i="8"/>
  <c r="I118" i="8"/>
  <c r="N167" i="8"/>
  <c r="I167" i="8"/>
  <c r="N52" i="7"/>
  <c r="P52" i="7" s="1"/>
  <c r="Q52" i="7" s="1"/>
  <c r="I52" i="7"/>
  <c r="F52" i="7" s="1"/>
  <c r="I1015" i="8"/>
  <c r="N1015" i="8"/>
  <c r="O950" i="8"/>
  <c r="N1071" i="8"/>
  <c r="I1071" i="8"/>
  <c r="O611" i="8"/>
  <c r="O562" i="8"/>
  <c r="O123" i="8"/>
  <c r="O810" i="8"/>
  <c r="O196" i="8"/>
  <c r="I953" i="8"/>
  <c r="N953" i="8"/>
  <c r="N959" i="8"/>
  <c r="I959" i="8"/>
  <c r="O1030" i="8"/>
  <c r="O145" i="8"/>
  <c r="N529" i="8"/>
  <c r="I529" i="8"/>
  <c r="I1010" i="8"/>
  <c r="N1010" i="8"/>
  <c r="I112" i="8"/>
  <c r="N112" i="8"/>
  <c r="I120" i="7"/>
  <c r="F120" i="7" s="1"/>
  <c r="N120" i="7"/>
  <c r="P120" i="7" s="1"/>
  <c r="Q120" i="7" s="1"/>
  <c r="O80" i="8"/>
  <c r="O406" i="8"/>
  <c r="O948" i="8"/>
  <c r="O516" i="8"/>
  <c r="O766" i="8"/>
  <c r="I382" i="8"/>
  <c r="N382" i="8"/>
  <c r="O335" i="8"/>
  <c r="O618" i="8"/>
  <c r="O349" i="8"/>
  <c r="O994" i="8"/>
  <c r="O1004" i="8"/>
  <c r="N297" i="8"/>
  <c r="I297" i="8"/>
  <c r="O539" i="8"/>
  <c r="O381" i="8"/>
  <c r="N655" i="8"/>
  <c r="I655" i="8"/>
  <c r="I913" i="8"/>
  <c r="N913" i="8"/>
  <c r="I746" i="8"/>
  <c r="N746" i="8"/>
  <c r="O763" i="8"/>
  <c r="O632" i="8"/>
  <c r="I239" i="8"/>
  <c r="N239" i="8"/>
  <c r="I25" i="7"/>
  <c r="F25" i="7" s="1"/>
  <c r="N25" i="7"/>
  <c r="P25" i="7" s="1"/>
  <c r="Q25" i="7" s="1"/>
  <c r="N378" i="8"/>
  <c r="I378" i="8"/>
  <c r="O186" i="8"/>
  <c r="O216" i="8"/>
  <c r="N193" i="8"/>
  <c r="I193" i="8"/>
  <c r="I654" i="8"/>
  <c r="N654" i="8"/>
  <c r="O1122" i="8"/>
  <c r="N100" i="7"/>
  <c r="P100" i="7" s="1"/>
  <c r="Q100" i="7" s="1"/>
  <c r="I100" i="7"/>
  <c r="F100" i="7" s="1"/>
  <c r="N294" i="8"/>
  <c r="I294" i="8"/>
  <c r="I416" i="8"/>
  <c r="N416" i="8"/>
  <c r="N143" i="8"/>
  <c r="I143" i="8"/>
  <c r="O756" i="8"/>
  <c r="I101" i="7"/>
  <c r="F101" i="7" s="1"/>
  <c r="N101" i="7"/>
  <c r="P101" i="7" s="1"/>
  <c r="Q101" i="7" s="1"/>
  <c r="N490" i="8"/>
  <c r="I490" i="8"/>
  <c r="O732" i="8"/>
  <c r="N437" i="8"/>
  <c r="I437" i="8"/>
  <c r="N718" i="8"/>
  <c r="I718" i="8"/>
  <c r="N121" i="7"/>
  <c r="P121" i="7" s="1"/>
  <c r="Q121" i="7" s="1"/>
  <c r="I121" i="7"/>
  <c r="F121" i="7" s="1"/>
  <c r="O423" i="8"/>
  <c r="I961" i="8"/>
  <c r="N961" i="8"/>
  <c r="N430" i="8"/>
  <c r="I430" i="8"/>
  <c r="N1101" i="8"/>
  <c r="I1101" i="8"/>
  <c r="I860" i="8"/>
  <c r="N860" i="8"/>
  <c r="O1001" i="8"/>
  <c r="O140" i="8"/>
  <c r="O507" i="8"/>
  <c r="I816" i="8"/>
  <c r="N816" i="8"/>
  <c r="N687" i="8"/>
  <c r="I687" i="8"/>
  <c r="N156" i="8"/>
  <c r="I156" i="8"/>
  <c r="O289" i="8"/>
  <c r="I34" i="6"/>
  <c r="F34" i="6" s="1"/>
  <c r="N34" i="6"/>
  <c r="P34" i="6" s="1"/>
  <c r="Q34" i="6" s="1"/>
  <c r="I190" i="7"/>
  <c r="F190" i="7" s="1"/>
  <c r="N190" i="7"/>
  <c r="P190" i="7" s="1"/>
  <c r="Q190" i="7" s="1"/>
  <c r="I97" i="8"/>
  <c r="N97" i="8"/>
  <c r="O534" i="8"/>
  <c r="O1078" i="8"/>
  <c r="I646" i="8"/>
  <c r="N646" i="8"/>
  <c r="N377" i="8"/>
  <c r="I377" i="8"/>
  <c r="O91" i="8"/>
  <c r="O1104" i="8"/>
  <c r="N700" i="8"/>
  <c r="I700" i="8"/>
  <c r="N907" i="8"/>
  <c r="I907" i="8"/>
  <c r="N594" i="8"/>
  <c r="I594" i="8"/>
  <c r="O447" i="8"/>
  <c r="I47" i="7"/>
  <c r="F47" i="7" s="1"/>
  <c r="N47" i="7"/>
  <c r="P47" i="7" s="1"/>
  <c r="Q47" i="7" s="1"/>
  <c r="N71" i="7"/>
  <c r="P71" i="7" s="1"/>
  <c r="Q71" i="7" s="1"/>
  <c r="I71" i="7"/>
  <c r="F71" i="7" s="1"/>
  <c r="N180" i="8"/>
  <c r="I180" i="8"/>
  <c r="O891" i="8"/>
  <c r="N13" i="5"/>
  <c r="P13" i="5" s="1"/>
  <c r="Q13" i="5" s="1"/>
  <c r="I13" i="5"/>
  <c r="F13" i="5" s="1"/>
  <c r="I706" i="8"/>
  <c r="N706" i="8"/>
  <c r="N533" i="8"/>
  <c r="I533" i="8"/>
  <c r="I497" i="8"/>
  <c r="N497" i="8"/>
  <c r="I935" i="8"/>
  <c r="N935" i="8"/>
  <c r="O852" i="8"/>
  <c r="I36" i="7"/>
  <c r="F36" i="7" s="1"/>
  <c r="N36" i="7"/>
  <c r="P36" i="7" s="1"/>
  <c r="Q36" i="7" s="1"/>
  <c r="O793" i="8"/>
  <c r="I527" i="8"/>
  <c r="N527" i="8"/>
  <c r="O369" i="8"/>
  <c r="O201" i="8"/>
  <c r="O106" i="8"/>
  <c r="O722" i="8"/>
  <c r="I172" i="7"/>
  <c r="F172" i="7" s="1"/>
  <c r="N172" i="7"/>
  <c r="P172" i="7" s="1"/>
  <c r="Q172" i="7" s="1"/>
  <c r="I243" i="8"/>
  <c r="N243" i="8"/>
  <c r="O975" i="8"/>
  <c r="N439" i="8"/>
  <c r="I439" i="8"/>
  <c r="O225" i="8"/>
  <c r="O42" i="8"/>
  <c r="O1067" i="8"/>
  <c r="O855" i="8"/>
  <c r="N621" i="8"/>
  <c r="I621" i="8"/>
  <c r="N642" i="8"/>
  <c r="I642" i="8"/>
  <c r="O458" i="8"/>
  <c r="I1068" i="8"/>
  <c r="N1068" i="8"/>
  <c r="I343" i="8"/>
  <c r="N343" i="8"/>
  <c r="N712" i="8"/>
  <c r="I712" i="8"/>
  <c r="O1046" i="8"/>
  <c r="O879" i="8"/>
  <c r="N803" i="8"/>
  <c r="I803" i="8"/>
  <c r="N491" i="8"/>
  <c r="I491" i="8"/>
  <c r="N81" i="8"/>
  <c r="I81" i="8"/>
  <c r="N781" i="8"/>
  <c r="I781" i="8"/>
  <c r="O489" i="8"/>
  <c r="N877" i="8"/>
  <c r="I877" i="8"/>
  <c r="N835" i="8"/>
  <c r="I835" i="8"/>
  <c r="I25" i="4"/>
  <c r="F25" i="4" s="1"/>
  <c r="N25" i="4"/>
  <c r="P25" i="4" s="1"/>
  <c r="Q25" i="4" s="1"/>
  <c r="O62" i="8"/>
  <c r="I66" i="7"/>
  <c r="F66" i="7" s="1"/>
  <c r="N66" i="7"/>
  <c r="P66" i="7" s="1"/>
  <c r="Q66" i="7" s="1"/>
  <c r="N958" i="8"/>
  <c r="I958" i="8"/>
  <c r="O1034" i="8"/>
  <c r="I807" i="8"/>
  <c r="N807" i="8"/>
  <c r="O1025" i="8"/>
  <c r="O350" i="8"/>
  <c r="N552" i="8"/>
  <c r="I552" i="8"/>
  <c r="O942" i="8"/>
  <c r="O988" i="8"/>
  <c r="O422" i="8"/>
  <c r="O740" i="8"/>
  <c r="N78" i="7"/>
  <c r="P78" i="7" s="1"/>
  <c r="Q78" i="7" s="1"/>
  <c r="I78" i="7"/>
  <c r="F78" i="7" s="1"/>
  <c r="N786" i="8"/>
  <c r="I786" i="8"/>
  <c r="N885" i="8"/>
  <c r="I885" i="8"/>
  <c r="O787" i="8"/>
  <c r="O428" i="8"/>
  <c r="O166" i="8"/>
  <c r="I138" i="7"/>
  <c r="F138" i="7" s="1"/>
  <c r="N138" i="7"/>
  <c r="P138" i="7" s="1"/>
  <c r="Q138" i="7" s="1"/>
  <c r="N828" i="8"/>
  <c r="I828" i="8"/>
  <c r="O651" i="8"/>
  <c r="I15" i="7"/>
  <c r="F15" i="7" s="1"/>
  <c r="N15" i="7"/>
  <c r="P15" i="7" s="1"/>
  <c r="Q15" i="7" s="1"/>
  <c r="I19" i="1"/>
  <c r="F19" i="1" s="1"/>
  <c r="N19" i="1"/>
  <c r="P19" i="1" s="1"/>
  <c r="Q19" i="1" s="1"/>
  <c r="N780" i="8"/>
  <c r="I780" i="8"/>
  <c r="N313" i="8"/>
  <c r="I313" i="8"/>
  <c r="I53" i="7"/>
  <c r="F53" i="7" s="1"/>
  <c r="N53" i="7"/>
  <c r="P53" i="7" s="1"/>
  <c r="Q53" i="7" s="1"/>
  <c r="I176" i="7"/>
  <c r="F176" i="7" s="1"/>
  <c r="N176" i="7"/>
  <c r="P176" i="7" s="1"/>
  <c r="Q176" i="7" s="1"/>
  <c r="N984" i="8"/>
  <c r="I984" i="8"/>
  <c r="N417" i="8"/>
  <c r="I417" i="8"/>
  <c r="O518" i="8"/>
  <c r="I39" i="4"/>
  <c r="F39" i="4" s="1"/>
  <c r="N39" i="4"/>
  <c r="P39" i="4" s="1"/>
  <c r="Q39" i="4" s="1"/>
  <c r="O1049" i="8"/>
  <c r="N664" i="8"/>
  <c r="I664" i="8"/>
  <c r="O462" i="8"/>
  <c r="I368" i="8"/>
  <c r="N368" i="8"/>
  <c r="O125" i="8"/>
  <c r="O472" i="8"/>
  <c r="N149" i="7"/>
  <c r="P149" i="7" s="1"/>
  <c r="Q149" i="7" s="1"/>
  <c r="I149" i="7"/>
  <c r="F149" i="7" s="1"/>
  <c r="O580" i="8"/>
  <c r="I20" i="7"/>
  <c r="F20" i="7" s="1"/>
  <c r="N20" i="7"/>
  <c r="P20" i="7" s="1"/>
  <c r="Q20" i="7" s="1"/>
  <c r="I12" i="1"/>
  <c r="F12" i="1" s="1"/>
  <c r="N12" i="1"/>
  <c r="P12" i="1" s="1"/>
  <c r="Q12" i="1" s="1"/>
  <c r="I1009" i="8"/>
  <c r="N1009" i="8"/>
  <c r="N853" i="8"/>
  <c r="I853" i="8"/>
  <c r="O1070" i="8"/>
  <c r="O215" i="8"/>
  <c r="O199" i="8"/>
  <c r="I823" i="8"/>
  <c r="N823" i="8"/>
  <c r="R198" i="7" l="1"/>
  <c r="R76" i="7"/>
  <c r="R113" i="7"/>
  <c r="R137" i="7"/>
  <c r="R39" i="6"/>
  <c r="R16" i="7"/>
  <c r="R153" i="7"/>
  <c r="R32" i="6"/>
  <c r="R35" i="6"/>
  <c r="R209" i="7"/>
  <c r="R215" i="7"/>
  <c r="R189" i="7"/>
  <c r="R129" i="7"/>
  <c r="R154" i="7"/>
  <c r="R191" i="7"/>
  <c r="R34" i="7"/>
  <c r="R20" i="6"/>
  <c r="R82" i="7"/>
  <c r="R12" i="4"/>
  <c r="R214" i="7"/>
  <c r="R164" i="7"/>
  <c r="R192" i="7"/>
  <c r="R49" i="7"/>
  <c r="R210" i="7"/>
  <c r="R201" i="7"/>
  <c r="I18" i="6"/>
  <c r="F18" i="6" s="1"/>
  <c r="R18" i="6" s="1"/>
  <c r="R52" i="7"/>
  <c r="R111" i="7"/>
  <c r="R151" i="7"/>
  <c r="R79" i="7"/>
  <c r="R158" i="7"/>
  <c r="R212" i="7"/>
  <c r="R81" i="7"/>
  <c r="R93" i="7"/>
  <c r="R29" i="4"/>
  <c r="R134" i="7"/>
  <c r="R202" i="7"/>
  <c r="R144" i="7"/>
  <c r="R14" i="4"/>
  <c r="R100" i="7"/>
  <c r="R97" i="7"/>
  <c r="R23" i="6"/>
  <c r="R80" i="7"/>
  <c r="R33" i="7"/>
  <c r="R62" i="7"/>
  <c r="R92" i="7"/>
  <c r="R13" i="4"/>
  <c r="R114" i="7"/>
  <c r="R125" i="7"/>
  <c r="R11" i="5"/>
  <c r="R26" i="7"/>
  <c r="P18" i="6"/>
  <c r="Q18" i="6" s="1"/>
  <c r="R12" i="1"/>
  <c r="R53" i="7"/>
  <c r="R15" i="7"/>
  <c r="R25" i="4"/>
  <c r="R13" i="5"/>
  <c r="R47" i="7"/>
  <c r="R27" i="7"/>
  <c r="R48" i="7"/>
  <c r="R116" i="7"/>
  <c r="R41" i="4"/>
  <c r="R85" i="7"/>
  <c r="R31" i="6"/>
  <c r="R42" i="4"/>
  <c r="R133" i="7"/>
  <c r="R181" i="7"/>
  <c r="R112" i="7"/>
  <c r="R99" i="7"/>
  <c r="R29" i="7"/>
  <c r="R70" i="7"/>
  <c r="R45" i="7"/>
  <c r="R86" i="7"/>
  <c r="R42" i="7"/>
  <c r="R107" i="7"/>
  <c r="R98" i="7"/>
  <c r="R150" i="7"/>
  <c r="R67" i="7"/>
  <c r="R27" i="6"/>
  <c r="R204" i="7"/>
  <c r="R30" i="4"/>
  <c r="R182" i="7"/>
  <c r="R41" i="7"/>
  <c r="R155" i="7"/>
  <c r="R115" i="7"/>
  <c r="R160" i="7"/>
  <c r="P11" i="7"/>
  <c r="Q11" i="7" s="1"/>
  <c r="R37" i="7"/>
  <c r="R95" i="7"/>
  <c r="R205" i="7"/>
  <c r="R142" i="7"/>
  <c r="R44" i="7"/>
  <c r="R20" i="7"/>
  <c r="R38" i="6"/>
  <c r="R21" i="4"/>
  <c r="R61" i="7"/>
  <c r="R180" i="7"/>
  <c r="R174" i="7"/>
  <c r="R149" i="7"/>
  <c r="R173" i="7"/>
  <c r="R163" i="7"/>
  <c r="R22" i="1"/>
  <c r="R199" i="7"/>
  <c r="R46" i="7"/>
  <c r="R88" i="7"/>
  <c r="R16" i="1"/>
  <c r="R18" i="1"/>
  <c r="R178" i="7"/>
  <c r="R169" i="7"/>
  <c r="R78" i="7"/>
  <c r="R71" i="7"/>
  <c r="R55" i="7"/>
  <c r="R13" i="7"/>
  <c r="R143" i="7"/>
  <c r="R196" i="7"/>
  <c r="R15" i="1"/>
  <c r="F828" i="8"/>
  <c r="P828" i="8"/>
  <c r="F491" i="8"/>
  <c r="P491" i="8"/>
  <c r="F594" i="8"/>
  <c r="P594" i="8"/>
  <c r="F377" i="8"/>
  <c r="P377" i="8"/>
  <c r="F806" i="8"/>
  <c r="P806" i="8"/>
  <c r="P1039" i="8"/>
  <c r="F1039" i="8"/>
  <c r="F582" i="8"/>
  <c r="P582" i="8"/>
  <c r="P375" i="8"/>
  <c r="F375" i="8"/>
  <c r="P1073" i="8"/>
  <c r="F1073" i="8"/>
  <c r="F37" i="8"/>
  <c r="P37" i="8"/>
  <c r="F792" i="8"/>
  <c r="P792" i="8"/>
  <c r="F749" i="8"/>
  <c r="P749" i="8"/>
  <c r="P223" i="8"/>
  <c r="F223" i="8"/>
  <c r="P441" i="8"/>
  <c r="F441" i="8"/>
  <c r="F1038" i="8"/>
  <c r="P1038" i="8"/>
  <c r="P205" i="8"/>
  <c r="F205" i="8"/>
  <c r="P701" i="8"/>
  <c r="F701" i="8"/>
  <c r="P336" i="8"/>
  <c r="F336" i="8"/>
  <c r="P985" i="8"/>
  <c r="F985" i="8"/>
  <c r="P805" i="8"/>
  <c r="F805" i="8"/>
  <c r="P159" i="8"/>
  <c r="F159" i="8"/>
  <c r="F812" i="8"/>
  <c r="P812" i="8"/>
  <c r="F977" i="8"/>
  <c r="P977" i="8"/>
  <c r="F963" i="8"/>
  <c r="P963" i="8"/>
  <c r="F862" i="8"/>
  <c r="P862" i="8"/>
  <c r="F288" i="8"/>
  <c r="P288" i="8"/>
  <c r="P1133" i="8"/>
  <c r="F1133" i="8"/>
  <c r="F737" i="8"/>
  <c r="P737" i="8"/>
  <c r="F680" i="8"/>
  <c r="P680" i="8"/>
  <c r="F1086" i="8"/>
  <c r="P1086" i="8"/>
  <c r="P86" i="8"/>
  <c r="F86" i="8"/>
  <c r="F419" i="8"/>
  <c r="P419" i="8"/>
  <c r="F604" i="8"/>
  <c r="P604" i="8"/>
  <c r="F257" i="8"/>
  <c r="P257" i="8"/>
  <c r="P630" i="8"/>
  <c r="F630" i="8"/>
  <c r="P1103" i="8"/>
  <c r="F1103" i="8"/>
  <c r="P158" i="8"/>
  <c r="F158" i="8"/>
  <c r="P679" i="8"/>
  <c r="F679" i="8"/>
  <c r="P16" i="8"/>
  <c r="F16" i="8"/>
  <c r="F664" i="8"/>
  <c r="P664" i="8"/>
  <c r="P984" i="8"/>
  <c r="F984" i="8"/>
  <c r="F780" i="8"/>
  <c r="P780" i="8"/>
  <c r="F343" i="8"/>
  <c r="P343" i="8"/>
  <c r="R190" i="7"/>
  <c r="R120" i="7"/>
  <c r="F499" i="8"/>
  <c r="P499" i="8"/>
  <c r="P489" i="8"/>
  <c r="F489" i="8"/>
  <c r="F879" i="8"/>
  <c r="P879" i="8"/>
  <c r="R43" i="7"/>
  <c r="F855" i="8"/>
  <c r="P855" i="8"/>
  <c r="F866" i="8"/>
  <c r="P866" i="8"/>
  <c r="P330" i="8"/>
  <c r="F330" i="8"/>
  <c r="F622" i="8"/>
  <c r="P622" i="8"/>
  <c r="P258" i="8"/>
  <c r="F258" i="8"/>
  <c r="P1130" i="8"/>
  <c r="F1130" i="8"/>
  <c r="F498" i="8"/>
  <c r="P498" i="8"/>
  <c r="R168" i="7"/>
  <c r="F210" i="8"/>
  <c r="P210" i="8"/>
  <c r="F455" i="8"/>
  <c r="P455" i="8"/>
  <c r="P94" i="8"/>
  <c r="F94" i="8"/>
  <c r="F517" i="8"/>
  <c r="P517" i="8"/>
  <c r="P380" i="8"/>
  <c r="F380" i="8"/>
  <c r="F224" i="8"/>
  <c r="P224" i="8"/>
  <c r="P259" i="8"/>
  <c r="F259" i="8"/>
  <c r="F508" i="8"/>
  <c r="P508" i="8"/>
  <c r="F260" i="8"/>
  <c r="P260" i="8"/>
  <c r="P318" i="8"/>
  <c r="F318" i="8"/>
  <c r="F366" i="8"/>
  <c r="P366" i="8"/>
  <c r="F526" i="8"/>
  <c r="P526" i="8"/>
  <c r="P24" i="8"/>
  <c r="F24" i="8"/>
  <c r="F905" i="8"/>
  <c r="P905" i="8"/>
  <c r="F858" i="8"/>
  <c r="P858" i="8"/>
  <c r="P157" i="8"/>
  <c r="F157" i="8"/>
  <c r="F1055" i="8"/>
  <c r="P1055" i="8"/>
  <c r="F822" i="8"/>
  <c r="P822" i="8"/>
  <c r="F600" i="8"/>
  <c r="P600" i="8"/>
  <c r="I5" i="7"/>
  <c r="I3" i="7"/>
  <c r="I1" i="7"/>
  <c r="I6" i="7"/>
  <c r="F11" i="7"/>
  <c r="F652" i="8"/>
  <c r="P652" i="8"/>
  <c r="F920" i="8"/>
  <c r="P920" i="8"/>
  <c r="P897" i="8"/>
  <c r="F897" i="8"/>
  <c r="F1120" i="8"/>
  <c r="P1120" i="8"/>
  <c r="F425" i="8"/>
  <c r="P425" i="8"/>
  <c r="P95" i="8"/>
  <c r="F95" i="8"/>
  <c r="F707" i="8"/>
  <c r="P707" i="8"/>
  <c r="P70" i="8"/>
  <c r="F70" i="8"/>
  <c r="R54" i="7"/>
  <c r="P242" i="8"/>
  <c r="F242" i="8"/>
  <c r="R36" i="6"/>
  <c r="P479" i="8"/>
  <c r="F479" i="8"/>
  <c r="R21" i="7"/>
  <c r="F1043" i="8"/>
  <c r="P1043" i="8"/>
  <c r="P85" i="8"/>
  <c r="F85" i="8"/>
  <c r="F808" i="8"/>
  <c r="P808" i="8"/>
  <c r="R40" i="4"/>
  <c r="F803" i="8"/>
  <c r="P803" i="8"/>
  <c r="P533" i="8"/>
  <c r="F533" i="8"/>
  <c r="F959" i="8"/>
  <c r="P959" i="8"/>
  <c r="F411" i="8"/>
  <c r="P411" i="8"/>
  <c r="F309" i="8"/>
  <c r="P309" i="8"/>
  <c r="F428" i="8"/>
  <c r="P428" i="8"/>
  <c r="F790" i="8"/>
  <c r="P790" i="8"/>
  <c r="P45" i="8"/>
  <c r="F45" i="8"/>
  <c r="F661" i="8"/>
  <c r="P661" i="8"/>
  <c r="F308" i="8"/>
  <c r="P308" i="8"/>
  <c r="F736" i="8"/>
  <c r="P736" i="8"/>
  <c r="F50" i="8"/>
  <c r="P50" i="8"/>
  <c r="F166" i="8"/>
  <c r="P166" i="8"/>
  <c r="F379" i="8"/>
  <c r="P379" i="8"/>
  <c r="F520" i="8"/>
  <c r="P520" i="8"/>
  <c r="P845" i="8"/>
  <c r="F845" i="8"/>
  <c r="P563" i="8"/>
  <c r="F563" i="8"/>
  <c r="F21" i="8"/>
  <c r="P21" i="8"/>
  <c r="P315" i="8"/>
  <c r="F315" i="8"/>
  <c r="P337" i="8"/>
  <c r="F337" i="8"/>
  <c r="P694" i="8"/>
  <c r="F694" i="8"/>
  <c r="I5" i="8"/>
  <c r="F11" i="8"/>
  <c r="I3" i="8"/>
  <c r="P11" i="8"/>
  <c r="I1" i="8"/>
  <c r="I6" i="8"/>
  <c r="P43" i="8"/>
  <c r="F43" i="8"/>
  <c r="P191" i="8"/>
  <c r="F191" i="8"/>
  <c r="R28" i="7"/>
  <c r="F521" i="8"/>
  <c r="P521" i="8"/>
  <c r="F659" i="8"/>
  <c r="P659" i="8"/>
  <c r="P429" i="8"/>
  <c r="F429" i="8"/>
  <c r="F103" i="8"/>
  <c r="P103" i="8"/>
  <c r="F400" i="8"/>
  <c r="P400" i="8"/>
  <c r="P989" i="8"/>
  <c r="F989" i="8"/>
  <c r="F607" i="8"/>
  <c r="P607" i="8"/>
  <c r="F356" i="8"/>
  <c r="P356" i="8"/>
  <c r="R37" i="6"/>
  <c r="F23" i="8"/>
  <c r="P23" i="8"/>
  <c r="R19" i="4"/>
  <c r="R35" i="4"/>
  <c r="P887" i="8"/>
  <c r="F887" i="8"/>
  <c r="P796" i="8"/>
  <c r="F796" i="8"/>
  <c r="F88" i="8"/>
  <c r="P88" i="8"/>
  <c r="F1089" i="8"/>
  <c r="P1089" i="8"/>
  <c r="P108" i="8"/>
  <c r="F108" i="8"/>
  <c r="F1013" i="8"/>
  <c r="P1013" i="8"/>
  <c r="F1068" i="8"/>
  <c r="P1068" i="8"/>
  <c r="R172" i="7"/>
  <c r="F112" i="8"/>
  <c r="P112" i="8"/>
  <c r="F293" i="8"/>
  <c r="P293" i="8"/>
  <c r="F87" i="8"/>
  <c r="P87" i="8"/>
  <c r="P183" i="8"/>
  <c r="F183" i="8"/>
  <c r="P1109" i="8"/>
  <c r="F1109" i="8"/>
  <c r="F626" i="8"/>
  <c r="P626" i="8"/>
  <c r="P926" i="8"/>
  <c r="F926" i="8"/>
  <c r="F298" i="8"/>
  <c r="P298" i="8"/>
  <c r="R17" i="7"/>
  <c r="F740" i="8"/>
  <c r="P740" i="8"/>
  <c r="P222" i="8"/>
  <c r="F222" i="8"/>
  <c r="F922" i="8"/>
  <c r="P922" i="8"/>
  <c r="F201" i="8"/>
  <c r="P201" i="8"/>
  <c r="F100" i="8"/>
  <c r="P100" i="8"/>
  <c r="P735" i="8"/>
  <c r="F735" i="8"/>
  <c r="F481" i="8"/>
  <c r="P481" i="8"/>
  <c r="P810" i="8"/>
  <c r="F810" i="8"/>
  <c r="F388" i="8"/>
  <c r="P388" i="8"/>
  <c r="F197" i="8"/>
  <c r="P197" i="8"/>
  <c r="F875" i="8"/>
  <c r="P875" i="8"/>
  <c r="P129" i="8"/>
  <c r="F129" i="8"/>
  <c r="F188" i="8"/>
  <c r="P188" i="8"/>
  <c r="P698" i="8"/>
  <c r="F698" i="8"/>
  <c r="F324" i="8"/>
  <c r="P324" i="8"/>
  <c r="P826" i="8"/>
  <c r="F826" i="8"/>
  <c r="P699" i="8"/>
  <c r="F699" i="8"/>
  <c r="F976" i="8"/>
  <c r="P976" i="8"/>
  <c r="F234" i="8"/>
  <c r="P234" i="8"/>
  <c r="F549" i="8"/>
  <c r="P549" i="8"/>
  <c r="F170" i="8"/>
  <c r="P170" i="8"/>
  <c r="R23" i="7"/>
  <c r="P775" i="8"/>
  <c r="F775" i="8"/>
  <c r="F341" i="8"/>
  <c r="P341" i="8"/>
  <c r="P83" i="8"/>
  <c r="F83" i="8"/>
  <c r="P395" i="8"/>
  <c r="F395" i="8"/>
  <c r="F1085" i="8"/>
  <c r="P1085" i="8"/>
  <c r="F631" i="8"/>
  <c r="P631" i="8"/>
  <c r="F22" i="8"/>
  <c r="P22" i="8"/>
  <c r="F598" i="8"/>
  <c r="P598" i="8"/>
  <c r="R197" i="7"/>
  <c r="F903" i="8"/>
  <c r="P903" i="8"/>
  <c r="P656" i="8"/>
  <c r="F656" i="8"/>
  <c r="R130" i="7"/>
  <c r="R22" i="4"/>
  <c r="P74" i="8"/>
  <c r="F74" i="8"/>
  <c r="F317" i="8"/>
  <c r="P317" i="8"/>
  <c r="P813" i="8"/>
  <c r="F813" i="8"/>
  <c r="R33" i="6"/>
  <c r="F463" i="8"/>
  <c r="P463" i="8"/>
  <c r="R35" i="7"/>
  <c r="R24" i="7"/>
  <c r="P962" i="8"/>
  <c r="F962" i="8"/>
  <c r="F328" i="8"/>
  <c r="P328" i="8"/>
  <c r="F1137" i="8"/>
  <c r="P1137" i="8"/>
  <c r="P198" i="8"/>
  <c r="F198" i="8"/>
  <c r="P973" i="8"/>
  <c r="F973" i="8"/>
  <c r="F795" i="8"/>
  <c r="P795" i="8"/>
  <c r="F126" i="8"/>
  <c r="P126" i="8"/>
  <c r="F710" i="8"/>
  <c r="P710" i="8"/>
  <c r="P272" i="8"/>
  <c r="F272" i="8"/>
  <c r="P64" i="8"/>
  <c r="F64" i="8"/>
  <c r="F980" i="8"/>
  <c r="P980" i="8"/>
  <c r="P58" i="8"/>
  <c r="F58" i="8"/>
  <c r="F538" i="8"/>
  <c r="P538" i="8"/>
  <c r="F839" i="8"/>
  <c r="P839" i="8"/>
  <c r="F752" i="8"/>
  <c r="P752" i="8"/>
  <c r="F1061" i="8"/>
  <c r="P1061" i="8"/>
  <c r="F477" i="8"/>
  <c r="P477" i="8"/>
  <c r="R119" i="7"/>
  <c r="R19" i="7"/>
  <c r="G4" i="8"/>
  <c r="G2" i="8"/>
  <c r="F778" i="8"/>
  <c r="P778" i="8"/>
  <c r="F915" i="8"/>
  <c r="P915" i="8"/>
  <c r="P1083" i="8"/>
  <c r="F1083" i="8"/>
  <c r="P405" i="8"/>
  <c r="F405" i="8"/>
  <c r="P323" i="8"/>
  <c r="F323" i="8"/>
  <c r="P1111" i="8"/>
  <c r="F1111" i="8"/>
  <c r="F565" i="8"/>
  <c r="P565" i="8"/>
  <c r="P651" i="8"/>
  <c r="F651" i="8"/>
  <c r="F1067" i="8"/>
  <c r="P1067" i="8"/>
  <c r="F161" i="8"/>
  <c r="P161" i="8"/>
  <c r="H2" i="6"/>
  <c r="H4" i="6"/>
  <c r="P442" i="8"/>
  <c r="F442" i="8"/>
  <c r="F254" i="8"/>
  <c r="P254" i="8"/>
  <c r="R74" i="7"/>
  <c r="P728" i="8"/>
  <c r="F728" i="8"/>
  <c r="P990" i="8"/>
  <c r="F990" i="8"/>
  <c r="P1108" i="8"/>
  <c r="F1108" i="8"/>
  <c r="P141" i="8"/>
  <c r="F141" i="8"/>
  <c r="R72" i="7"/>
  <c r="P229" i="8"/>
  <c r="F229" i="8"/>
  <c r="F784" i="8"/>
  <c r="P784" i="8"/>
  <c r="P278" i="8"/>
  <c r="F278" i="8"/>
  <c r="F344" i="8"/>
  <c r="P344" i="8"/>
  <c r="R200" i="7"/>
  <c r="F925" i="8"/>
  <c r="P925" i="8"/>
  <c r="R15" i="6"/>
  <c r="P671" i="8"/>
  <c r="F671" i="8"/>
  <c r="F764" i="8"/>
  <c r="P764" i="8"/>
  <c r="F173" i="8"/>
  <c r="P173" i="8"/>
  <c r="F610" i="8"/>
  <c r="P610" i="8"/>
  <c r="P912" i="8"/>
  <c r="F912" i="8"/>
  <c r="P797" i="8"/>
  <c r="F797" i="8"/>
  <c r="F657" i="8"/>
  <c r="P657" i="8"/>
  <c r="R77" i="7"/>
  <c r="F1097" i="8"/>
  <c r="P1097" i="8"/>
  <c r="F522" i="8"/>
  <c r="P522" i="8"/>
  <c r="P921" i="8"/>
  <c r="F921" i="8"/>
  <c r="P509" i="8"/>
  <c r="F509" i="8"/>
  <c r="F169" i="8"/>
  <c r="P169" i="8"/>
  <c r="F503" i="8"/>
  <c r="P503" i="8"/>
  <c r="F458" i="8"/>
  <c r="P458" i="8"/>
  <c r="P478" i="8"/>
  <c r="F478" i="8"/>
  <c r="P636" i="8"/>
  <c r="F636" i="8"/>
  <c r="F857" i="8"/>
  <c r="P857" i="8"/>
  <c r="P986" i="8"/>
  <c r="F986" i="8"/>
  <c r="F629" i="8"/>
  <c r="P629" i="8"/>
  <c r="F385" i="8"/>
  <c r="P385" i="8"/>
  <c r="P492" i="8"/>
  <c r="F492" i="8"/>
  <c r="F1070" i="8"/>
  <c r="P1070" i="8"/>
  <c r="P302" i="8"/>
  <c r="F302" i="8"/>
  <c r="F756" i="8"/>
  <c r="P756" i="8"/>
  <c r="P867" i="8"/>
  <c r="F867" i="8"/>
  <c r="F1087" i="8"/>
  <c r="P1087" i="8"/>
  <c r="F754" i="8"/>
  <c r="P754" i="8"/>
  <c r="R17" i="4"/>
  <c r="P54" i="8"/>
  <c r="F54" i="8"/>
  <c r="R23" i="1"/>
  <c r="P135" i="8"/>
  <c r="F135" i="8"/>
  <c r="R36" i="4"/>
  <c r="F1115" i="8"/>
  <c r="P1115" i="8"/>
  <c r="R146" i="7"/>
  <c r="P410" i="8"/>
  <c r="F410" i="8"/>
  <c r="P460" i="8"/>
  <c r="F460" i="8"/>
  <c r="F683" i="8"/>
  <c r="P683" i="8"/>
  <c r="P348" i="8"/>
  <c r="F348" i="8"/>
  <c r="F939" i="8"/>
  <c r="P939" i="8"/>
  <c r="P307" i="8"/>
  <c r="F307" i="8"/>
  <c r="P1016" i="8"/>
  <c r="F1016" i="8"/>
  <c r="F145" i="8"/>
  <c r="P145" i="8"/>
  <c r="F537" i="8"/>
  <c r="P537" i="8"/>
  <c r="P589" i="8"/>
  <c r="F589" i="8"/>
  <c r="P766" i="8"/>
  <c r="F766" i="8"/>
  <c r="F950" i="8"/>
  <c r="P950" i="8"/>
  <c r="F18" i="8"/>
  <c r="P18" i="8"/>
  <c r="P389" i="8"/>
  <c r="F389" i="8"/>
  <c r="F767" i="8"/>
  <c r="P767" i="8"/>
  <c r="F77" i="8"/>
  <c r="P77" i="8"/>
  <c r="F807" i="8"/>
  <c r="P807" i="8"/>
  <c r="F81" i="8"/>
  <c r="P81" i="8"/>
  <c r="F712" i="8"/>
  <c r="P712" i="8"/>
  <c r="F490" i="8"/>
  <c r="P490" i="8"/>
  <c r="F416" i="8"/>
  <c r="P416" i="8"/>
  <c r="F193" i="8"/>
  <c r="P193" i="8"/>
  <c r="F529" i="8"/>
  <c r="P529" i="8"/>
  <c r="P109" i="8"/>
  <c r="F109" i="8"/>
  <c r="P1101" i="8"/>
  <c r="F1101" i="8"/>
  <c r="P747" i="8"/>
  <c r="F747" i="8"/>
  <c r="P965" i="8"/>
  <c r="F965" i="8"/>
  <c r="P192" i="8"/>
  <c r="F192" i="8"/>
  <c r="P106" i="8"/>
  <c r="F106" i="8"/>
  <c r="F793" i="8"/>
  <c r="P793" i="8"/>
  <c r="F532" i="8"/>
  <c r="P532" i="8"/>
  <c r="P1004" i="8"/>
  <c r="F1004" i="8"/>
  <c r="P653" i="8"/>
  <c r="F653" i="8"/>
  <c r="P714" i="8"/>
  <c r="F714" i="8"/>
  <c r="P987" i="8"/>
  <c r="F987" i="8"/>
  <c r="P27" i="8"/>
  <c r="F27" i="8"/>
  <c r="P44" i="8"/>
  <c r="F44" i="8"/>
  <c r="F438" i="8"/>
  <c r="P438" i="8"/>
  <c r="P544" i="8"/>
  <c r="F544" i="8"/>
  <c r="F1024" i="8"/>
  <c r="P1024" i="8"/>
  <c r="P1023" i="8"/>
  <c r="F1023" i="8"/>
  <c r="F968" i="8"/>
  <c r="P968" i="8"/>
  <c r="F772" i="8"/>
  <c r="P772" i="8"/>
  <c r="F470" i="8"/>
  <c r="P470" i="8"/>
  <c r="P819" i="8"/>
  <c r="F819" i="8"/>
  <c r="P536" i="8"/>
  <c r="F536" i="8"/>
  <c r="F673" i="8"/>
  <c r="P673" i="8"/>
  <c r="F98" i="8"/>
  <c r="P98" i="8"/>
  <c r="F124" i="8"/>
  <c r="P124" i="8"/>
  <c r="F1134" i="8"/>
  <c r="P1134" i="8"/>
  <c r="P483" i="8"/>
  <c r="F483" i="8"/>
  <c r="P1076" i="8"/>
  <c r="F1076" i="8"/>
  <c r="F969" i="8"/>
  <c r="P969" i="8"/>
  <c r="F691" i="8"/>
  <c r="P691" i="8"/>
  <c r="F928" i="8"/>
  <c r="P928" i="8"/>
  <c r="P724" i="8"/>
  <c r="F724" i="8"/>
  <c r="P102" i="8"/>
  <c r="F102" i="8"/>
  <c r="P851" i="8"/>
  <c r="F851" i="8"/>
  <c r="F178" i="8"/>
  <c r="P178" i="8"/>
  <c r="P331" i="8"/>
  <c r="F331" i="8"/>
  <c r="P848" i="8"/>
  <c r="F848" i="8"/>
  <c r="P391" i="8"/>
  <c r="F391" i="8"/>
  <c r="F742" i="8"/>
  <c r="P742" i="8"/>
  <c r="F1114" i="8"/>
  <c r="P1114" i="8"/>
  <c r="F967" i="8"/>
  <c r="P967" i="8"/>
  <c r="F902" i="8"/>
  <c r="P902" i="8"/>
  <c r="P1037" i="8"/>
  <c r="F1037" i="8"/>
  <c r="P445" i="8"/>
  <c r="F445" i="8"/>
  <c r="F561" i="8"/>
  <c r="P561" i="8"/>
  <c r="F501" i="8"/>
  <c r="P501" i="8"/>
  <c r="P882" i="8"/>
  <c r="F882" i="8"/>
  <c r="P534" i="8"/>
  <c r="F534" i="8"/>
  <c r="P181" i="8"/>
  <c r="F181" i="8"/>
  <c r="P619" i="8"/>
  <c r="F619" i="8"/>
  <c r="P216" i="8"/>
  <c r="F216" i="8"/>
  <c r="F996" i="8"/>
  <c r="P996" i="8"/>
  <c r="F168" i="8"/>
  <c r="P168" i="8"/>
  <c r="P975" i="8"/>
  <c r="F975" i="8"/>
  <c r="P123" i="8"/>
  <c r="F123" i="8"/>
  <c r="P853" i="8"/>
  <c r="F853" i="8"/>
  <c r="F877" i="8"/>
  <c r="P877" i="8"/>
  <c r="R101" i="7"/>
  <c r="P403" i="8"/>
  <c r="F403" i="8"/>
  <c r="F1117" i="8"/>
  <c r="P1117" i="8"/>
  <c r="F937" i="8"/>
  <c r="P937" i="8"/>
  <c r="P720" i="8"/>
  <c r="F720" i="8"/>
  <c r="P349" i="8"/>
  <c r="F349" i="8"/>
  <c r="P122" i="8"/>
  <c r="F122" i="8"/>
  <c r="F184" i="8"/>
  <c r="P184" i="8"/>
  <c r="F249" i="8"/>
  <c r="P249" i="8"/>
  <c r="F61" i="8"/>
  <c r="P61" i="8"/>
  <c r="F1027" i="8"/>
  <c r="P1027" i="8"/>
  <c r="P878" i="8"/>
  <c r="F878" i="8"/>
  <c r="P893" i="8"/>
  <c r="F893" i="8"/>
  <c r="P569" i="8"/>
  <c r="F569" i="8"/>
  <c r="R28" i="6"/>
  <c r="F612" i="8"/>
  <c r="P612" i="8"/>
  <c r="F130" i="8"/>
  <c r="P130" i="8"/>
  <c r="F530" i="8"/>
  <c r="P530" i="8"/>
  <c r="F500" i="8"/>
  <c r="P500" i="8"/>
  <c r="F547" i="8"/>
  <c r="P547" i="8"/>
  <c r="F121" i="8"/>
  <c r="P121" i="8"/>
  <c r="P669" i="8"/>
  <c r="F669" i="8"/>
  <c r="P762" i="8"/>
  <c r="F762" i="8"/>
  <c r="P42" i="8"/>
  <c r="F42" i="8"/>
  <c r="P1119" i="8"/>
  <c r="F1119" i="8"/>
  <c r="F415" i="8"/>
  <c r="P415" i="8"/>
  <c r="F296" i="8"/>
  <c r="P296" i="8"/>
  <c r="F359" i="8"/>
  <c r="P359" i="8"/>
  <c r="F581" i="8"/>
  <c r="P581" i="8"/>
  <c r="P620" i="8"/>
  <c r="F620" i="8"/>
  <c r="F136" i="8"/>
  <c r="P136" i="8"/>
  <c r="R156" i="7"/>
  <c r="F906" i="8"/>
  <c r="P906" i="8"/>
  <c r="R165" i="7"/>
  <c r="P601" i="8"/>
  <c r="F601" i="8"/>
  <c r="P247" i="8"/>
  <c r="F247" i="8"/>
  <c r="R20" i="4"/>
  <c r="P627" i="8"/>
  <c r="F627" i="8"/>
  <c r="P518" i="8"/>
  <c r="F518" i="8"/>
  <c r="F1005" i="8"/>
  <c r="P1005" i="8"/>
  <c r="F1124" i="8"/>
  <c r="P1124" i="8"/>
  <c r="R195" i="7"/>
  <c r="F431" i="8"/>
  <c r="P431" i="8"/>
  <c r="F798" i="8"/>
  <c r="P798" i="8"/>
  <c r="P944" i="8"/>
  <c r="F944" i="8"/>
  <c r="P142" i="8"/>
  <c r="F142" i="8"/>
  <c r="P274" i="8"/>
  <c r="F274" i="8"/>
  <c r="F34" i="8"/>
  <c r="P34" i="8"/>
  <c r="F940" i="8"/>
  <c r="P940" i="8"/>
  <c r="P1025" i="8"/>
  <c r="F1025" i="8"/>
  <c r="P577" i="8"/>
  <c r="F577" i="8"/>
  <c r="F1053" i="8"/>
  <c r="P1053" i="8"/>
  <c r="F510" i="8"/>
  <c r="P510" i="8"/>
  <c r="F974" i="8"/>
  <c r="P974" i="8"/>
  <c r="F907" i="8"/>
  <c r="P907" i="8"/>
  <c r="F378" i="8"/>
  <c r="P378" i="8"/>
  <c r="F167" i="8"/>
  <c r="P167" i="8"/>
  <c r="F211" i="8"/>
  <c r="P211" i="8"/>
  <c r="P947" i="8"/>
  <c r="F947" i="8"/>
  <c r="F674" i="8"/>
  <c r="P674" i="8"/>
  <c r="R18" i="4"/>
  <c r="R20" i="1"/>
  <c r="F994" i="8"/>
  <c r="P994" i="8"/>
  <c r="P571" i="8"/>
  <c r="F571" i="8"/>
  <c r="R83" i="7"/>
  <c r="F230" i="8"/>
  <c r="P230" i="8"/>
  <c r="P779" i="8"/>
  <c r="F779" i="8"/>
  <c r="P1020" i="8"/>
  <c r="F1020" i="8"/>
  <c r="R19" i="6"/>
  <c r="P917" i="8"/>
  <c r="F917" i="8"/>
  <c r="P957" i="8"/>
  <c r="F957" i="8"/>
  <c r="F927" i="8"/>
  <c r="P927" i="8"/>
  <c r="P139" i="8"/>
  <c r="F139" i="8"/>
  <c r="R103" i="7"/>
  <c r="P62" i="8"/>
  <c r="F62" i="8"/>
  <c r="F566" i="8"/>
  <c r="P566" i="8"/>
  <c r="P31" i="8"/>
  <c r="F31" i="8"/>
  <c r="P1063" i="8"/>
  <c r="F1063" i="8"/>
  <c r="P160" i="8"/>
  <c r="F160" i="8"/>
  <c r="F1113" i="8"/>
  <c r="P1113" i="8"/>
  <c r="F47" i="8"/>
  <c r="P47" i="8"/>
  <c r="F997" i="8"/>
  <c r="P997" i="8"/>
  <c r="P1077" i="8"/>
  <c r="F1077" i="8"/>
  <c r="R14" i="7"/>
  <c r="F632" i="8"/>
  <c r="P632" i="8"/>
  <c r="F618" i="8"/>
  <c r="P618" i="8"/>
  <c r="F890" i="8"/>
  <c r="P890" i="8"/>
  <c r="P832" i="8"/>
  <c r="F832" i="8"/>
  <c r="P57" i="8"/>
  <c r="F57" i="8"/>
  <c r="P662" i="8"/>
  <c r="F662" i="8"/>
  <c r="R177" i="7"/>
  <c r="F1112" i="8"/>
  <c r="P1112" i="8"/>
  <c r="P286" i="8"/>
  <c r="F286" i="8"/>
  <c r="R40" i="6"/>
  <c r="F467" i="8"/>
  <c r="P467" i="8"/>
  <c r="F406" i="8"/>
  <c r="P406" i="8"/>
  <c r="P320" i="8"/>
  <c r="F320" i="8"/>
  <c r="P208" i="8"/>
  <c r="F208" i="8"/>
  <c r="F316" i="8"/>
  <c r="P316" i="8"/>
  <c r="P314" i="8"/>
  <c r="F314" i="8"/>
  <c r="P722" i="8"/>
  <c r="F722" i="8"/>
  <c r="P543" i="8"/>
  <c r="F543" i="8"/>
  <c r="R66" i="7"/>
  <c r="P646" i="8"/>
  <c r="F646" i="8"/>
  <c r="R34" i="6"/>
  <c r="P746" i="8"/>
  <c r="F746" i="8"/>
  <c r="P1071" i="8"/>
  <c r="F1071" i="8"/>
  <c r="R176" i="7"/>
  <c r="R19" i="1"/>
  <c r="P118" i="8"/>
  <c r="F118" i="8"/>
  <c r="P49" i="8"/>
  <c r="F49" i="8"/>
  <c r="F886" i="8"/>
  <c r="P886" i="8"/>
  <c r="F548" i="8"/>
  <c r="P548" i="8"/>
  <c r="F583" i="8"/>
  <c r="P583" i="8"/>
  <c r="P1045" i="8"/>
  <c r="F1045" i="8"/>
  <c r="P910" i="8"/>
  <c r="F910" i="8"/>
  <c r="P785" i="8"/>
  <c r="F785" i="8"/>
  <c r="F185" i="8"/>
  <c r="P185" i="8"/>
  <c r="F339" i="8"/>
  <c r="P339" i="8"/>
  <c r="F635" i="8"/>
  <c r="P635" i="8"/>
  <c r="F462" i="8"/>
  <c r="P462" i="8"/>
  <c r="P265" i="8"/>
  <c r="F265" i="8"/>
  <c r="P703" i="8"/>
  <c r="F703" i="8"/>
  <c r="P1046" i="8"/>
  <c r="F1046" i="8"/>
  <c r="R23" i="4"/>
  <c r="P949" i="8"/>
  <c r="F949" i="8"/>
  <c r="P523" i="8"/>
  <c r="F523" i="8"/>
  <c r="R183" i="7"/>
  <c r="F645" i="8"/>
  <c r="P645" i="8"/>
  <c r="P68" i="8"/>
  <c r="F68" i="8"/>
  <c r="R147" i="7"/>
  <c r="P666" i="8"/>
  <c r="F666" i="8"/>
  <c r="R109" i="7"/>
  <c r="F370" i="8"/>
  <c r="P370" i="8"/>
  <c r="P643" i="8"/>
  <c r="F643" i="8"/>
  <c r="F753" i="8"/>
  <c r="P753" i="8"/>
  <c r="P214" i="8"/>
  <c r="F214" i="8"/>
  <c r="P705" i="8"/>
  <c r="F705" i="8"/>
  <c r="F452" i="8"/>
  <c r="P452" i="8"/>
  <c r="F449" i="8"/>
  <c r="P449" i="8"/>
  <c r="F760" i="8"/>
  <c r="P760" i="8"/>
  <c r="F421" i="8"/>
  <c r="P421" i="8"/>
  <c r="F863" i="8"/>
  <c r="P863" i="8"/>
  <c r="F916" i="8"/>
  <c r="P916" i="8"/>
  <c r="F485" i="8"/>
  <c r="P485" i="8"/>
  <c r="F1132" i="8"/>
  <c r="P1132" i="8"/>
  <c r="P748" i="8"/>
  <c r="F748" i="8"/>
  <c r="F884" i="8"/>
  <c r="P884" i="8"/>
  <c r="R18" i="7"/>
  <c r="F983" i="8"/>
  <c r="P983" i="8"/>
  <c r="F202" i="8"/>
  <c r="P202" i="8"/>
  <c r="F719" i="8"/>
  <c r="P719" i="8"/>
  <c r="F1110" i="8"/>
  <c r="P1110" i="8"/>
  <c r="F993" i="8"/>
  <c r="P993" i="8"/>
  <c r="P71" i="8"/>
  <c r="F71" i="8"/>
  <c r="F901" i="8"/>
  <c r="P901" i="8"/>
  <c r="P516" i="8"/>
  <c r="F516" i="8"/>
  <c r="F894" i="8"/>
  <c r="P894" i="8"/>
  <c r="P329" i="8"/>
  <c r="F329" i="8"/>
  <c r="F404" i="8"/>
  <c r="P404" i="8"/>
  <c r="P929" i="8"/>
  <c r="F929" i="8"/>
  <c r="P256" i="8"/>
  <c r="F256" i="8"/>
  <c r="F474" i="8"/>
  <c r="P474" i="8"/>
  <c r="P757" i="8"/>
  <c r="F757" i="8"/>
  <c r="P220" i="8"/>
  <c r="F220" i="8"/>
  <c r="P859" i="8"/>
  <c r="F859" i="8"/>
  <c r="F484" i="8"/>
  <c r="P484" i="8"/>
  <c r="F99" i="8"/>
  <c r="P99" i="8"/>
  <c r="P723" i="8"/>
  <c r="F723" i="8"/>
  <c r="P287" i="8"/>
  <c r="F287" i="8"/>
  <c r="P1082" i="8"/>
  <c r="F1082" i="8"/>
  <c r="P715" i="8"/>
  <c r="F715" i="8"/>
  <c r="P519" i="8"/>
  <c r="F519" i="8"/>
  <c r="P729" i="8"/>
  <c r="F729" i="8"/>
  <c r="F82" i="8"/>
  <c r="P82" i="8"/>
  <c r="P137" i="8"/>
  <c r="F137" i="8"/>
  <c r="F131" i="8"/>
  <c r="P131" i="8"/>
  <c r="P1012" i="8"/>
  <c r="F1012" i="8"/>
  <c r="F488" i="8"/>
  <c r="P488" i="8"/>
  <c r="P1128" i="8"/>
  <c r="F1128" i="8"/>
  <c r="F1060" i="8"/>
  <c r="P1060" i="8"/>
  <c r="P407" i="8"/>
  <c r="F407" i="8"/>
  <c r="P914" i="8"/>
  <c r="F914" i="8"/>
  <c r="F1080" i="8"/>
  <c r="P1080" i="8"/>
  <c r="F114" i="8"/>
  <c r="P114" i="8"/>
  <c r="F873" i="8"/>
  <c r="P873" i="8"/>
  <c r="F482" i="8"/>
  <c r="P482" i="8"/>
  <c r="P1036" i="8"/>
  <c r="F1036" i="8"/>
  <c r="P847" i="8"/>
  <c r="F847" i="8"/>
  <c r="F423" i="8"/>
  <c r="P423" i="8"/>
  <c r="F759" i="8"/>
  <c r="P759" i="8"/>
  <c r="G2" i="6"/>
  <c r="G4" i="6"/>
  <c r="P111" i="8"/>
  <c r="F111" i="8"/>
  <c r="P392" i="8"/>
  <c r="F392" i="8"/>
  <c r="F128" i="8"/>
  <c r="P128" i="8"/>
  <c r="P579" i="8"/>
  <c r="F579" i="8"/>
  <c r="F335" i="8"/>
  <c r="P335" i="8"/>
  <c r="P15" i="8"/>
  <c r="F15" i="8"/>
  <c r="F283" i="8"/>
  <c r="P283" i="8"/>
  <c r="P955" i="8"/>
  <c r="F955" i="8"/>
  <c r="F1072" i="8"/>
  <c r="P1072" i="8"/>
  <c r="F692" i="8"/>
  <c r="P692" i="8"/>
  <c r="F647" i="8"/>
  <c r="P647" i="8"/>
  <c r="F107" i="8"/>
  <c r="P107" i="8"/>
  <c r="F739" i="8"/>
  <c r="P739" i="8"/>
  <c r="F895" i="8"/>
  <c r="P895" i="8"/>
  <c r="F1022" i="8"/>
  <c r="P1022" i="8"/>
  <c r="F658" i="8"/>
  <c r="P658" i="8"/>
  <c r="F578" i="8"/>
  <c r="P578" i="8"/>
  <c r="F567" i="8"/>
  <c r="P567" i="8"/>
  <c r="P1044" i="8"/>
  <c r="F1044" i="8"/>
  <c r="R63" i="7"/>
  <c r="F597" i="8"/>
  <c r="P597" i="8"/>
  <c r="F804" i="8"/>
  <c r="P804" i="8"/>
  <c r="F515" i="8"/>
  <c r="P515" i="8"/>
  <c r="P333" i="8"/>
  <c r="F333" i="8"/>
  <c r="F609" i="8"/>
  <c r="P609" i="8"/>
  <c r="F572" i="8"/>
  <c r="P572" i="8"/>
  <c r="F688" i="8"/>
  <c r="P688" i="8"/>
  <c r="P596" i="8"/>
  <c r="F596" i="8"/>
  <c r="P232" i="8"/>
  <c r="F232" i="8"/>
  <c r="F1001" i="8"/>
  <c r="P1001" i="8"/>
  <c r="F1064" i="8"/>
  <c r="P1064" i="8"/>
  <c r="F38" i="8"/>
  <c r="P38" i="8"/>
  <c r="P494" i="8"/>
  <c r="F494" i="8"/>
  <c r="P80" i="8"/>
  <c r="F80" i="8"/>
  <c r="F250" i="8"/>
  <c r="P250" i="8"/>
  <c r="R162" i="7"/>
  <c r="F513" i="8"/>
  <c r="P513" i="8"/>
  <c r="P1054" i="8"/>
  <c r="F1054" i="8"/>
  <c r="F815" i="8"/>
  <c r="P815" i="8"/>
  <c r="P825" i="8"/>
  <c r="F825" i="8"/>
  <c r="F514" i="8"/>
  <c r="P514" i="8"/>
  <c r="F53" i="8"/>
  <c r="P53" i="8"/>
  <c r="P637" i="8"/>
  <c r="F637" i="8"/>
  <c r="P588" i="8"/>
  <c r="F588" i="8"/>
  <c r="F734" i="8"/>
  <c r="P734" i="8"/>
  <c r="P281" i="8"/>
  <c r="F281" i="8"/>
  <c r="R38" i="4"/>
  <c r="F444" i="8"/>
  <c r="P444" i="8"/>
  <c r="P559" i="8"/>
  <c r="F559" i="8"/>
  <c r="P390" i="8"/>
  <c r="F390" i="8"/>
  <c r="F794" i="8"/>
  <c r="P794" i="8"/>
  <c r="F904" i="8"/>
  <c r="P904" i="8"/>
  <c r="P215" i="8"/>
  <c r="F215" i="8"/>
  <c r="P132" i="8"/>
  <c r="F132" i="8"/>
  <c r="F369" i="8"/>
  <c r="P369" i="8"/>
  <c r="F846" i="8"/>
  <c r="P846" i="8"/>
  <c r="P981" i="8"/>
  <c r="F981" i="8"/>
  <c r="P182" i="8"/>
  <c r="F182" i="8"/>
  <c r="F958" i="8"/>
  <c r="P958" i="8"/>
  <c r="P934" i="8"/>
  <c r="F934" i="8"/>
  <c r="P35" i="8"/>
  <c r="F35" i="8"/>
  <c r="F709" i="8"/>
  <c r="P709" i="8"/>
  <c r="P592" i="8"/>
  <c r="F592" i="8"/>
  <c r="P1104" i="8"/>
  <c r="F1104" i="8"/>
  <c r="P14" i="8"/>
  <c r="F14" i="8"/>
  <c r="P562" i="8"/>
  <c r="F562" i="8"/>
  <c r="P638" i="8"/>
  <c r="F638" i="8"/>
  <c r="F367" i="8"/>
  <c r="P367" i="8"/>
  <c r="P574" i="8"/>
  <c r="F574" i="8"/>
  <c r="P535" i="8"/>
  <c r="F535" i="8"/>
  <c r="P383" i="8"/>
  <c r="F383" i="8"/>
  <c r="P685" i="8"/>
  <c r="F685" i="8"/>
  <c r="P144" i="8"/>
  <c r="F144" i="8"/>
  <c r="H4" i="7"/>
  <c r="H2" i="7"/>
  <c r="F587" i="8"/>
  <c r="P587" i="8"/>
  <c r="P1048" i="8"/>
  <c r="F1048" i="8"/>
  <c r="F154" i="8"/>
  <c r="P154" i="8"/>
  <c r="F105" i="8"/>
  <c r="P105" i="8"/>
  <c r="P56" i="8"/>
  <c r="F56" i="8"/>
  <c r="P251" i="8"/>
  <c r="F251" i="8"/>
  <c r="P450" i="8"/>
  <c r="F450" i="8"/>
  <c r="F386" i="8"/>
  <c r="P386" i="8"/>
  <c r="F838" i="8"/>
  <c r="P838" i="8"/>
  <c r="F551" i="8"/>
  <c r="P551" i="8"/>
  <c r="F924" i="8"/>
  <c r="P924" i="8"/>
  <c r="F932" i="8"/>
  <c r="P932" i="8"/>
  <c r="F951" i="8"/>
  <c r="P951" i="8"/>
  <c r="F615" i="8"/>
  <c r="P615" i="8"/>
  <c r="F676" i="8"/>
  <c r="P676" i="8"/>
  <c r="F237" i="8"/>
  <c r="P237" i="8"/>
  <c r="F358" i="8"/>
  <c r="P358" i="8"/>
  <c r="F590" i="8"/>
  <c r="P590" i="8"/>
  <c r="F360" i="8"/>
  <c r="P360" i="8"/>
  <c r="F245" i="8"/>
  <c r="P245" i="8"/>
  <c r="F475" i="8"/>
  <c r="P475" i="8"/>
  <c r="F217" i="8"/>
  <c r="P217" i="8"/>
  <c r="F235" i="8"/>
  <c r="P235" i="8"/>
  <c r="P711" i="8"/>
  <c r="F711" i="8"/>
  <c r="P32" i="8"/>
  <c r="F32" i="8"/>
  <c r="P1123" i="8"/>
  <c r="F1123" i="8"/>
  <c r="P25" i="8"/>
  <c r="F25" i="8"/>
  <c r="P219" i="8"/>
  <c r="F219" i="8"/>
  <c r="P972" i="8"/>
  <c r="F972" i="8"/>
  <c r="P465" i="8"/>
  <c r="F465" i="8"/>
  <c r="F786" i="8"/>
  <c r="P786" i="8"/>
  <c r="P552" i="8"/>
  <c r="F552" i="8"/>
  <c r="P243" i="8"/>
  <c r="F243" i="8"/>
  <c r="P527" i="8"/>
  <c r="F527" i="8"/>
  <c r="P497" i="8"/>
  <c r="F497" i="8"/>
  <c r="P180" i="8"/>
  <c r="F180" i="8"/>
  <c r="P718" i="8"/>
  <c r="F718" i="8"/>
  <c r="F456" i="8"/>
  <c r="P456" i="8"/>
  <c r="F837" i="8"/>
  <c r="P837" i="8"/>
  <c r="F1138" i="8"/>
  <c r="P1138" i="8"/>
  <c r="P800" i="8"/>
  <c r="F800" i="8"/>
  <c r="P350" i="8"/>
  <c r="F350" i="8"/>
  <c r="F852" i="8"/>
  <c r="P852" i="8"/>
  <c r="P447" i="8"/>
  <c r="F447" i="8"/>
  <c r="P46" i="8"/>
  <c r="F46" i="8"/>
  <c r="P52" i="8"/>
  <c r="F52" i="8"/>
  <c r="P1122" i="8"/>
  <c r="F1122" i="8"/>
  <c r="P1030" i="8"/>
  <c r="F1030" i="8"/>
  <c r="P829" i="8"/>
  <c r="F829" i="8"/>
  <c r="F1018" i="8"/>
  <c r="P1018" i="8"/>
  <c r="P1047" i="8"/>
  <c r="F1047" i="8"/>
  <c r="P970" i="8"/>
  <c r="F970" i="8"/>
  <c r="R118" i="7"/>
  <c r="F1075" i="8"/>
  <c r="P1075" i="8"/>
  <c r="F1099" i="8"/>
  <c r="P1099" i="8"/>
  <c r="F60" i="8"/>
  <c r="P60" i="8"/>
  <c r="F540" i="8"/>
  <c r="P540" i="8"/>
  <c r="F693" i="8"/>
  <c r="P693" i="8"/>
  <c r="R102" i="7"/>
  <c r="P29" i="8"/>
  <c r="F29" i="8"/>
  <c r="P788" i="8"/>
  <c r="F788" i="8"/>
  <c r="F69" i="8"/>
  <c r="P69" i="8"/>
  <c r="P1000" i="8"/>
  <c r="F1000" i="8"/>
  <c r="F731" i="8"/>
  <c r="P731" i="8"/>
  <c r="P55" i="8"/>
  <c r="F55" i="8"/>
  <c r="F954" i="8"/>
  <c r="P954" i="8"/>
  <c r="F352" i="8"/>
  <c r="P352" i="8"/>
  <c r="F73" i="8"/>
  <c r="P73" i="8"/>
  <c r="P261" i="8"/>
  <c r="F261" i="8"/>
  <c r="F433" i="8"/>
  <c r="P433" i="8"/>
  <c r="P556" i="8"/>
  <c r="F556" i="8"/>
  <c r="F1035" i="8"/>
  <c r="P1035" i="8"/>
  <c r="F865" i="8"/>
  <c r="P865" i="8"/>
  <c r="P1058" i="8"/>
  <c r="F1058" i="8"/>
  <c r="F892" i="8"/>
  <c r="P892" i="8"/>
  <c r="F270" i="8"/>
  <c r="P270" i="8"/>
  <c r="F116" i="8"/>
  <c r="P116" i="8"/>
  <c r="F446" i="8"/>
  <c r="P446" i="8"/>
  <c r="P776" i="8"/>
  <c r="F776" i="8"/>
  <c r="F769" i="8"/>
  <c r="P769" i="8"/>
  <c r="F227" i="8"/>
  <c r="P227" i="8"/>
  <c r="P799" i="8"/>
  <c r="F799" i="8"/>
  <c r="P1019" i="8"/>
  <c r="F1019" i="8"/>
  <c r="P1102" i="8"/>
  <c r="F1102" i="8"/>
  <c r="P936" i="8"/>
  <c r="F936" i="8"/>
  <c r="F1011" i="8"/>
  <c r="P1011" i="8"/>
  <c r="P326" i="8"/>
  <c r="F326" i="8"/>
  <c r="R17" i="1"/>
  <c r="F351" i="8"/>
  <c r="P351" i="8"/>
  <c r="P225" i="8"/>
  <c r="F225" i="8"/>
  <c r="R64" i="7"/>
  <c r="F617" i="8"/>
  <c r="P617" i="8"/>
  <c r="F51" i="8"/>
  <c r="P51" i="8"/>
  <c r="F738" i="8"/>
  <c r="P738" i="8"/>
  <c r="P1107" i="8"/>
  <c r="F1107" i="8"/>
  <c r="F871" i="8"/>
  <c r="P871" i="8"/>
  <c r="F816" i="8"/>
  <c r="P816" i="8"/>
  <c r="P430" i="8"/>
  <c r="F430" i="8"/>
  <c r="F297" i="8"/>
  <c r="P297" i="8"/>
  <c r="F382" i="8"/>
  <c r="P382" i="8"/>
  <c r="F833" i="8"/>
  <c r="P833" i="8"/>
  <c r="F238" i="8"/>
  <c r="P238" i="8"/>
  <c r="F322" i="8"/>
  <c r="P322" i="8"/>
  <c r="F933" i="8"/>
  <c r="P933" i="8"/>
  <c r="P991" i="8"/>
  <c r="F991" i="8"/>
  <c r="F342" i="8"/>
  <c r="P342" i="8"/>
  <c r="P199" i="8"/>
  <c r="F199" i="8"/>
  <c r="F282" i="8"/>
  <c r="P282" i="8"/>
  <c r="P726" i="8"/>
  <c r="F726" i="8"/>
  <c r="P91" i="8"/>
  <c r="F91" i="8"/>
  <c r="F868" i="8"/>
  <c r="P868" i="8"/>
  <c r="P207" i="8"/>
  <c r="F207" i="8"/>
  <c r="P466" i="8"/>
  <c r="F466" i="8"/>
  <c r="F918" i="8"/>
  <c r="P918" i="8"/>
  <c r="F393" i="8"/>
  <c r="P393" i="8"/>
  <c r="F1062" i="8"/>
  <c r="P1062" i="8"/>
  <c r="P146" i="8"/>
  <c r="F146" i="8"/>
  <c r="F774" i="8"/>
  <c r="P774" i="8"/>
  <c r="P295" i="8"/>
  <c r="F295" i="8"/>
  <c r="F376" i="8"/>
  <c r="P376" i="8"/>
  <c r="F319" i="8"/>
  <c r="P319" i="8"/>
  <c r="F602" i="8"/>
  <c r="P602" i="8"/>
  <c r="P115" i="8"/>
  <c r="F115" i="8"/>
  <c r="F495" i="8"/>
  <c r="P495" i="8"/>
  <c r="P39" i="8"/>
  <c r="F39" i="8"/>
  <c r="R12" i="6"/>
  <c r="F614" i="8"/>
  <c r="P614" i="8"/>
  <c r="R11" i="4"/>
  <c r="R87" i="7"/>
  <c r="P471" i="8"/>
  <c r="F471" i="8"/>
  <c r="P900" i="8"/>
  <c r="F900" i="8"/>
  <c r="P133" i="8"/>
  <c r="F133" i="8"/>
  <c r="P524" i="8"/>
  <c r="F524" i="8"/>
  <c r="P413" i="8"/>
  <c r="F413" i="8"/>
  <c r="F84" i="8"/>
  <c r="P84" i="8"/>
  <c r="F1079" i="8"/>
  <c r="P1079" i="8"/>
  <c r="P743" i="8"/>
  <c r="F743" i="8"/>
  <c r="P689" i="8"/>
  <c r="F689" i="8"/>
  <c r="P151" i="8"/>
  <c r="F151" i="8"/>
  <c r="F75" i="8"/>
  <c r="P75" i="8"/>
  <c r="P134" i="8"/>
  <c r="F134" i="8"/>
  <c r="F639" i="8"/>
  <c r="P639" i="8"/>
  <c r="F1056" i="8"/>
  <c r="P1056" i="8"/>
  <c r="R139" i="7"/>
  <c r="R22" i="7"/>
  <c r="F189" i="8"/>
  <c r="P189" i="8"/>
  <c r="G4" i="7"/>
  <c r="G2" i="7"/>
  <c r="P480" i="8"/>
  <c r="F480" i="8"/>
  <c r="F648" i="8"/>
  <c r="P648" i="8"/>
  <c r="P525" i="8"/>
  <c r="F525" i="8"/>
  <c r="F125" i="8"/>
  <c r="P125" i="8"/>
  <c r="P611" i="8"/>
  <c r="F611" i="8"/>
  <c r="P564" i="8"/>
  <c r="F564" i="8"/>
  <c r="F681" i="8"/>
  <c r="P681" i="8"/>
  <c r="P1017" i="8"/>
  <c r="F1017" i="8"/>
  <c r="F240" i="8"/>
  <c r="P240" i="8"/>
  <c r="P357" i="8"/>
  <c r="F357" i="8"/>
  <c r="P730" i="8"/>
  <c r="F730" i="8"/>
  <c r="P1116" i="8"/>
  <c r="F1116" i="8"/>
  <c r="P325" i="8"/>
  <c r="F325" i="8"/>
  <c r="P1131" i="8"/>
  <c r="F1131" i="8"/>
  <c r="F464" i="8"/>
  <c r="P464" i="8"/>
  <c r="P345" i="8"/>
  <c r="F345" i="8"/>
  <c r="R94" i="7"/>
  <c r="R138" i="7"/>
  <c r="F437" i="8"/>
  <c r="P437" i="8"/>
  <c r="P143" i="8"/>
  <c r="F143" i="8"/>
  <c r="P1009" i="8"/>
  <c r="F1009" i="8"/>
  <c r="F781" i="8"/>
  <c r="P781" i="8"/>
  <c r="R36" i="7"/>
  <c r="F700" i="8"/>
  <c r="P700" i="8"/>
  <c r="P823" i="8"/>
  <c r="F823" i="8"/>
  <c r="R39" i="4"/>
  <c r="F642" i="8"/>
  <c r="P642" i="8"/>
  <c r="P439" i="8"/>
  <c r="F439" i="8"/>
  <c r="P706" i="8"/>
  <c r="F706" i="8"/>
  <c r="P156" i="8"/>
  <c r="F156" i="8"/>
  <c r="F961" i="8"/>
  <c r="P961" i="8"/>
  <c r="P654" i="8"/>
  <c r="F654" i="8"/>
  <c r="R25" i="7"/>
  <c r="F913" i="8"/>
  <c r="P913" i="8"/>
  <c r="P1010" i="8"/>
  <c r="F1010" i="8"/>
  <c r="F953" i="8"/>
  <c r="P953" i="8"/>
  <c r="F175" i="8"/>
  <c r="P175" i="8"/>
  <c r="P741" i="8"/>
  <c r="F741" i="8"/>
  <c r="R157" i="7"/>
  <c r="P677" i="8"/>
  <c r="F677" i="8"/>
  <c r="F670" i="8"/>
  <c r="P670" i="8"/>
  <c r="F575" i="8"/>
  <c r="P575" i="8"/>
  <c r="F1003" i="8"/>
  <c r="P1003" i="8"/>
  <c r="P372" i="8"/>
  <c r="F372" i="8"/>
  <c r="P195" i="8"/>
  <c r="F195" i="8"/>
  <c r="R171" i="7"/>
  <c r="F675" i="8"/>
  <c r="P675" i="8"/>
  <c r="P942" i="8"/>
  <c r="F942" i="8"/>
  <c r="R30" i="7"/>
  <c r="R34" i="4"/>
  <c r="F605" i="8"/>
  <c r="P605" i="8"/>
  <c r="P140" i="8"/>
  <c r="F140" i="8"/>
  <c r="P306" i="8"/>
  <c r="F306" i="8"/>
  <c r="P381" i="8"/>
  <c r="F381" i="8"/>
  <c r="P496" i="8"/>
  <c r="F496" i="8"/>
  <c r="F511" i="8"/>
  <c r="P511" i="8"/>
  <c r="P448" i="8"/>
  <c r="F448" i="8"/>
  <c r="R132" i="7"/>
  <c r="F943" i="8"/>
  <c r="P943" i="8"/>
  <c r="F187" i="8"/>
  <c r="P187" i="8"/>
  <c r="F209" i="8"/>
  <c r="P209" i="8"/>
  <c r="P414" i="8"/>
  <c r="F414" i="8"/>
  <c r="F204" i="8"/>
  <c r="P204" i="8"/>
  <c r="F90" i="8"/>
  <c r="P90" i="8"/>
  <c r="R57" i="7"/>
  <c r="P1041" i="8"/>
  <c r="F1041" i="8"/>
  <c r="F624" i="8"/>
  <c r="P624" i="8"/>
  <c r="P418" i="8"/>
  <c r="F418" i="8"/>
  <c r="F373" i="8"/>
  <c r="P373" i="8"/>
  <c r="F595" i="8"/>
  <c r="P595" i="8"/>
  <c r="P1100" i="8"/>
  <c r="F1100" i="8"/>
  <c r="F765" i="8"/>
  <c r="P765" i="8"/>
  <c r="P401" i="8"/>
  <c r="F401" i="8"/>
  <c r="F1074" i="8"/>
  <c r="P1074" i="8"/>
  <c r="F789" i="8"/>
  <c r="P789" i="8"/>
  <c r="P660" i="8"/>
  <c r="F660" i="8"/>
  <c r="F255" i="8"/>
  <c r="P255" i="8"/>
  <c r="F888" i="8"/>
  <c r="P888" i="8"/>
  <c r="F177" i="8"/>
  <c r="P177" i="8"/>
  <c r="P440" i="8"/>
  <c r="F440" i="8"/>
  <c r="P580" i="8"/>
  <c r="F580" i="8"/>
  <c r="F634" i="8"/>
  <c r="P634" i="8"/>
  <c r="R122" i="7"/>
  <c r="R11" i="1"/>
  <c r="R141" i="7"/>
  <c r="R89" i="7"/>
  <c r="P289" i="8"/>
  <c r="F289" i="8"/>
  <c r="F1094" i="8"/>
  <c r="P1094" i="8"/>
  <c r="P30" i="8"/>
  <c r="F30" i="8"/>
  <c r="F179" i="8"/>
  <c r="P179" i="8"/>
  <c r="P649" i="8"/>
  <c r="F649" i="8"/>
  <c r="F149" i="8"/>
  <c r="P149" i="8"/>
  <c r="F285" i="8"/>
  <c r="P285" i="8"/>
  <c r="F311" i="8"/>
  <c r="P311" i="8"/>
  <c r="R16" i="6"/>
  <c r="F899" i="8"/>
  <c r="P899" i="8"/>
  <c r="P840" i="8"/>
  <c r="F840" i="8"/>
  <c r="F599" i="8"/>
  <c r="P599" i="8"/>
  <c r="F641" i="8"/>
  <c r="P641" i="8"/>
  <c r="R207" i="7"/>
  <c r="R30" i="6"/>
  <c r="P67" i="8"/>
  <c r="F67" i="8"/>
  <c r="F435" i="8"/>
  <c r="P435" i="8"/>
  <c r="P469" i="8"/>
  <c r="F469" i="8"/>
  <c r="F966" i="8"/>
  <c r="P966" i="8"/>
  <c r="P203" i="8"/>
  <c r="F203" i="8"/>
  <c r="F20" i="8"/>
  <c r="P20" i="8"/>
  <c r="F190" i="8"/>
  <c r="P190" i="8"/>
  <c r="R59" i="7"/>
  <c r="F120" i="8"/>
  <c r="P120" i="8"/>
  <c r="F1090" i="8"/>
  <c r="P1090" i="8"/>
  <c r="P163" i="8"/>
  <c r="F163" i="8"/>
  <c r="F412" i="8"/>
  <c r="P412" i="8"/>
  <c r="R187" i="7"/>
  <c r="R175" i="7"/>
  <c r="P982" i="8"/>
  <c r="F982" i="8"/>
  <c r="P26" i="8"/>
  <c r="F26" i="8"/>
  <c r="P1127" i="8"/>
  <c r="F1127" i="8"/>
  <c r="F1051" i="8"/>
  <c r="P1051" i="8"/>
  <c r="P226" i="8"/>
  <c r="F226" i="8"/>
  <c r="P387" i="8"/>
  <c r="F387" i="8"/>
  <c r="F557" i="8"/>
  <c r="P557" i="8"/>
  <c r="P640" i="8"/>
  <c r="F640" i="8"/>
  <c r="F708" i="8"/>
  <c r="P708" i="8"/>
  <c r="F76" i="8"/>
  <c r="P76" i="8"/>
  <c r="F665" i="8"/>
  <c r="P665" i="8"/>
  <c r="P420" i="8"/>
  <c r="F420" i="8"/>
  <c r="P277" i="8"/>
  <c r="F277" i="8"/>
  <c r="F830" i="8"/>
  <c r="P830" i="8"/>
  <c r="P48" i="8"/>
  <c r="F48" i="8"/>
  <c r="F998" i="8"/>
  <c r="P998" i="8"/>
  <c r="F396" i="8"/>
  <c r="P396" i="8"/>
  <c r="P1066" i="8"/>
  <c r="F1066" i="8"/>
  <c r="R50" i="7"/>
  <c r="F228" i="8"/>
  <c r="P228" i="8"/>
  <c r="P241" i="8"/>
  <c r="F241" i="8"/>
  <c r="P371" i="8"/>
  <c r="F371" i="8"/>
  <c r="P152" i="8"/>
  <c r="F152" i="8"/>
  <c r="F172" i="8"/>
  <c r="P172" i="8"/>
  <c r="P505" i="8"/>
  <c r="F505" i="8"/>
  <c r="P628" i="8"/>
  <c r="F628" i="8"/>
  <c r="R25" i="6"/>
  <c r="F264" i="8"/>
  <c r="P264" i="8"/>
  <c r="R194" i="7"/>
  <c r="R58" i="7"/>
  <c r="R75" i="7"/>
  <c r="P398" i="8"/>
  <c r="F398" i="8"/>
  <c r="P332" i="8"/>
  <c r="F332" i="8"/>
  <c r="F291" i="8"/>
  <c r="P291" i="8"/>
  <c r="P340" i="8"/>
  <c r="F340" i="8"/>
  <c r="R126" i="7"/>
  <c r="P310" i="8"/>
  <c r="F310" i="8"/>
  <c r="F363" i="8"/>
  <c r="P363" i="8"/>
  <c r="P856" i="8"/>
  <c r="F856" i="8"/>
  <c r="F1095" i="8"/>
  <c r="P1095" i="8"/>
  <c r="P616" i="8"/>
  <c r="F616" i="8"/>
  <c r="F811" i="8"/>
  <c r="P811" i="8"/>
  <c r="R31" i="7"/>
  <c r="P770" i="8"/>
  <c r="F770" i="8"/>
  <c r="F409" i="8"/>
  <c r="P409" i="8"/>
  <c r="P570" i="8"/>
  <c r="F570" i="8"/>
  <c r="R136" i="7"/>
  <c r="F303" i="8"/>
  <c r="P303" i="8"/>
  <c r="F155" i="8"/>
  <c r="P155" i="8"/>
  <c r="F79" i="8"/>
  <c r="P79" i="8"/>
  <c r="R184" i="7"/>
  <c r="F1050" i="8"/>
  <c r="P1050" i="8"/>
  <c r="P1065" i="8"/>
  <c r="F1065" i="8"/>
  <c r="P684" i="8"/>
  <c r="F684" i="8"/>
  <c r="F269" i="8"/>
  <c r="P269" i="8"/>
  <c r="F162" i="8"/>
  <c r="P162" i="8"/>
  <c r="P881" i="8"/>
  <c r="F881" i="8"/>
  <c r="F545" i="8"/>
  <c r="P545" i="8"/>
  <c r="R108" i="7"/>
  <c r="R123" i="7"/>
  <c r="F327" i="8"/>
  <c r="P327" i="8"/>
  <c r="F334" i="8"/>
  <c r="P334" i="8"/>
  <c r="P672" i="8"/>
  <c r="F672" i="8"/>
  <c r="R13" i="1"/>
  <c r="P434" i="8"/>
  <c r="F434" i="8"/>
  <c r="P66" i="8"/>
  <c r="F66" i="8"/>
  <c r="P279" i="8"/>
  <c r="F279" i="8"/>
  <c r="P96" i="8"/>
  <c r="F96" i="8"/>
  <c r="F17" i="8"/>
  <c r="P17" i="8"/>
  <c r="F791" i="8"/>
  <c r="P791" i="8"/>
  <c r="F1042" i="8"/>
  <c r="P1042" i="8"/>
  <c r="F727" i="8"/>
  <c r="P727" i="8"/>
  <c r="F777" i="8"/>
  <c r="P777" i="8"/>
  <c r="P843" i="8"/>
  <c r="F843" i="8"/>
  <c r="R21" i="1"/>
  <c r="F623" i="8"/>
  <c r="P623" i="8"/>
  <c r="R17" i="6"/>
  <c r="F956" i="8"/>
  <c r="P956" i="8"/>
  <c r="F13" i="8"/>
  <c r="P13" i="8"/>
  <c r="F267" i="8"/>
  <c r="P267" i="8"/>
  <c r="R186" i="7"/>
  <c r="F542" i="8"/>
  <c r="P542" i="8"/>
  <c r="R91" i="7"/>
  <c r="R32" i="7"/>
  <c r="R40" i="7"/>
  <c r="P745" i="8"/>
  <c r="F745" i="8"/>
  <c r="R135" i="7"/>
  <c r="F275" i="8"/>
  <c r="P275" i="8"/>
  <c r="F361" i="8"/>
  <c r="P361" i="8"/>
  <c r="P40" i="8"/>
  <c r="F40" i="8"/>
  <c r="F244" i="8"/>
  <c r="P244" i="8"/>
  <c r="R29" i="6"/>
  <c r="F725" i="8"/>
  <c r="P725" i="8"/>
  <c r="R22" i="6"/>
  <c r="P568" i="8"/>
  <c r="F568" i="8"/>
  <c r="P531" i="8"/>
  <c r="F531" i="8"/>
  <c r="F586" i="8"/>
  <c r="P586" i="8"/>
  <c r="P809" i="8"/>
  <c r="F809" i="8"/>
  <c r="F1008" i="8"/>
  <c r="P1008" i="8"/>
  <c r="P512" i="8"/>
  <c r="F512" i="8"/>
  <c r="R188" i="7"/>
  <c r="P820" i="8"/>
  <c r="F820" i="8"/>
  <c r="F36" i="8"/>
  <c r="P36" i="8"/>
  <c r="P923" i="8"/>
  <c r="F923" i="8"/>
  <c r="F292" i="8"/>
  <c r="P292" i="8"/>
  <c r="F655" i="8"/>
  <c r="P655" i="8"/>
  <c r="P945" i="8"/>
  <c r="F945" i="8"/>
  <c r="P212" i="8"/>
  <c r="F212" i="8"/>
  <c r="F818" i="8"/>
  <c r="P818" i="8"/>
  <c r="F625" i="8"/>
  <c r="P625" i="8"/>
  <c r="F733" i="8"/>
  <c r="P733" i="8"/>
  <c r="P266" i="8"/>
  <c r="F266" i="8"/>
  <c r="P864" i="8"/>
  <c r="F864" i="8"/>
  <c r="F1034" i="8"/>
  <c r="P1034" i="8"/>
  <c r="F476" i="8"/>
  <c r="P476" i="8"/>
  <c r="F312" i="8"/>
  <c r="P312" i="8"/>
  <c r="F384" i="8"/>
  <c r="P384" i="8"/>
  <c r="F1033" i="8"/>
  <c r="P1033" i="8"/>
  <c r="F28" i="8"/>
  <c r="P28" i="8"/>
  <c r="P1028" i="8"/>
  <c r="F1028" i="8"/>
  <c r="P717" i="8"/>
  <c r="F717" i="8"/>
  <c r="P952" i="8"/>
  <c r="F952" i="8"/>
  <c r="F1135" i="8"/>
  <c r="P1135" i="8"/>
  <c r="P870" i="8"/>
  <c r="F870" i="8"/>
  <c r="P782" i="8"/>
  <c r="F782" i="8"/>
  <c r="P290" i="8"/>
  <c r="F290" i="8"/>
  <c r="P802" i="8"/>
  <c r="F802" i="8"/>
  <c r="F842" i="8"/>
  <c r="P842" i="8"/>
  <c r="F280" i="8"/>
  <c r="P280" i="8"/>
  <c r="F1129" i="8"/>
  <c r="P1129" i="8"/>
  <c r="P1088" i="8"/>
  <c r="F1088" i="8"/>
  <c r="F424" i="8"/>
  <c r="P424" i="8"/>
  <c r="F755" i="8"/>
  <c r="P755" i="8"/>
  <c r="F164" i="8"/>
  <c r="P164" i="8"/>
  <c r="F231" i="8"/>
  <c r="P231" i="8"/>
  <c r="P682" i="8"/>
  <c r="F682" i="8"/>
  <c r="F702" i="8"/>
  <c r="P702" i="8"/>
  <c r="F453" i="8"/>
  <c r="P453" i="8"/>
  <c r="P473" i="8"/>
  <c r="F473" i="8"/>
  <c r="P576" i="8"/>
  <c r="F576" i="8"/>
  <c r="F426" i="8"/>
  <c r="P426" i="8"/>
  <c r="P41" i="8"/>
  <c r="F41" i="8"/>
  <c r="F148" i="8"/>
  <c r="P148" i="8"/>
  <c r="P844" i="8"/>
  <c r="F844" i="8"/>
  <c r="P399" i="8"/>
  <c r="F399" i="8"/>
  <c r="P150" i="8"/>
  <c r="F150" i="8"/>
  <c r="P65" i="8"/>
  <c r="F65" i="8"/>
  <c r="P931" i="8"/>
  <c r="F931" i="8"/>
  <c r="F194" i="8"/>
  <c r="P194" i="8"/>
  <c r="P273" i="8"/>
  <c r="F273" i="8"/>
  <c r="F300" i="8"/>
  <c r="P300" i="8"/>
  <c r="F758" i="8"/>
  <c r="P758" i="8"/>
  <c r="P946" i="8"/>
  <c r="F946" i="8"/>
  <c r="P593" i="8"/>
  <c r="F593" i="8"/>
  <c r="P486" i="8"/>
  <c r="F486" i="8"/>
  <c r="P1069" i="8"/>
  <c r="F1069" i="8"/>
  <c r="P817" i="8"/>
  <c r="F817" i="8"/>
  <c r="P436" i="8"/>
  <c r="F436" i="8"/>
  <c r="P721" i="8"/>
  <c r="F721" i="8"/>
  <c r="F1091" i="8"/>
  <c r="P1091" i="8"/>
  <c r="P110" i="8"/>
  <c r="F110" i="8"/>
  <c r="F909" i="8"/>
  <c r="P909" i="8"/>
  <c r="P696" i="8"/>
  <c r="F696" i="8"/>
  <c r="P362" i="8"/>
  <c r="F362" i="8"/>
  <c r="F174" i="8"/>
  <c r="P174" i="8"/>
  <c r="F941" i="8"/>
  <c r="P941" i="8"/>
  <c r="F1007" i="8"/>
  <c r="P1007" i="8"/>
  <c r="F271" i="8"/>
  <c r="P271" i="8"/>
  <c r="P891" i="8"/>
  <c r="F891" i="8"/>
  <c r="P346" i="8"/>
  <c r="F346" i="8"/>
  <c r="F930" i="8"/>
  <c r="P930" i="8"/>
  <c r="F553" i="8"/>
  <c r="P553" i="8"/>
  <c r="I5" i="6"/>
  <c r="F11" i="6"/>
  <c r="R11" i="6" s="1"/>
  <c r="I6" i="6"/>
  <c r="I1" i="6"/>
  <c r="I3" i="6"/>
  <c r="P365" i="8"/>
  <c r="F365" i="8"/>
  <c r="P1126" i="8"/>
  <c r="F1126" i="8"/>
  <c r="F284" i="8"/>
  <c r="P284" i="8"/>
  <c r="P971" i="8"/>
  <c r="F971" i="8"/>
  <c r="F773" i="8"/>
  <c r="P773" i="8"/>
  <c r="P801" i="8"/>
  <c r="F801" i="8"/>
  <c r="P92" i="8"/>
  <c r="F92" i="8"/>
  <c r="P468" i="8"/>
  <c r="F468" i="8"/>
  <c r="F750" i="8"/>
  <c r="P750" i="8"/>
  <c r="P585" i="8"/>
  <c r="F585" i="8"/>
  <c r="F606" i="8"/>
  <c r="P606" i="8"/>
  <c r="F995" i="8"/>
  <c r="P995" i="8"/>
  <c r="P321" i="8"/>
  <c r="F321" i="8"/>
  <c r="F504" i="8"/>
  <c r="P504" i="8"/>
  <c r="P301" i="8"/>
  <c r="F301" i="8"/>
  <c r="P1014" i="8"/>
  <c r="F1014" i="8"/>
  <c r="P408" i="8"/>
  <c r="F408" i="8"/>
  <c r="F1029" i="8"/>
  <c r="P1029" i="8"/>
  <c r="F1136" i="8"/>
  <c r="P1136" i="8"/>
  <c r="F1105" i="8"/>
  <c r="P1105" i="8"/>
  <c r="P165" i="8"/>
  <c r="F165" i="8"/>
  <c r="F1021" i="8"/>
  <c r="P1021" i="8"/>
  <c r="F667" i="8"/>
  <c r="P667" i="8"/>
  <c r="F883" i="8"/>
  <c r="P883" i="8"/>
  <c r="F221" i="8"/>
  <c r="P221" i="8"/>
  <c r="F697" i="8"/>
  <c r="P697" i="8"/>
  <c r="F451" i="8"/>
  <c r="P451" i="8"/>
  <c r="F896" i="8"/>
  <c r="P896" i="8"/>
  <c r="F12" i="8"/>
  <c r="P12" i="8"/>
  <c r="P591" i="8"/>
  <c r="F591" i="8"/>
  <c r="P841" i="8"/>
  <c r="F841" i="8"/>
  <c r="P960" i="8"/>
  <c r="F960" i="8"/>
  <c r="P507" i="8"/>
  <c r="F507" i="8"/>
  <c r="P374" i="8"/>
  <c r="F374" i="8"/>
  <c r="F1052" i="8"/>
  <c r="P1052" i="8"/>
  <c r="P268" i="8"/>
  <c r="F268" i="8"/>
  <c r="F305" i="8"/>
  <c r="P305" i="8"/>
  <c r="F889" i="8"/>
  <c r="P889" i="8"/>
  <c r="P147" i="8"/>
  <c r="F147" i="8"/>
  <c r="P555" i="8"/>
  <c r="F555" i="8"/>
  <c r="P1092" i="8"/>
  <c r="F1092" i="8"/>
  <c r="P72" i="8"/>
  <c r="F72" i="8"/>
  <c r="F33" i="8"/>
  <c r="P33" i="8"/>
  <c r="F1031" i="8"/>
  <c r="P1031" i="8"/>
  <c r="F861" i="8"/>
  <c r="P861" i="8"/>
  <c r="P252" i="8"/>
  <c r="F252" i="8"/>
  <c r="P364" i="8"/>
  <c r="F364" i="8"/>
  <c r="F558" i="8"/>
  <c r="P558" i="8"/>
  <c r="P1078" i="8"/>
  <c r="F1078" i="8"/>
  <c r="P850" i="8"/>
  <c r="F850" i="8"/>
  <c r="F541" i="8"/>
  <c r="P541" i="8"/>
  <c r="P650" i="8"/>
  <c r="F650" i="8"/>
  <c r="P206" i="8"/>
  <c r="F206" i="8"/>
  <c r="P678" i="8"/>
  <c r="F678" i="8"/>
  <c r="P196" i="8"/>
  <c r="F196" i="8"/>
  <c r="P113" i="8"/>
  <c r="F113" i="8"/>
  <c r="P1040" i="8"/>
  <c r="F1040" i="8"/>
  <c r="I12" i="5"/>
  <c r="F12" i="5" s="1"/>
  <c r="N12" i="5"/>
  <c r="P12" i="5" s="1"/>
  <c r="Q12" i="5" s="1"/>
  <c r="P368" i="8"/>
  <c r="F368" i="8"/>
  <c r="F417" i="8"/>
  <c r="P417" i="8"/>
  <c r="P313" i="8"/>
  <c r="F313" i="8"/>
  <c r="F885" i="8"/>
  <c r="P885" i="8"/>
  <c r="P835" i="8"/>
  <c r="F835" i="8"/>
  <c r="P621" i="8"/>
  <c r="F621" i="8"/>
  <c r="P935" i="8"/>
  <c r="F935" i="8"/>
  <c r="P97" i="8"/>
  <c r="F97" i="8"/>
  <c r="P687" i="8"/>
  <c r="F687" i="8"/>
  <c r="F860" i="8"/>
  <c r="P860" i="8"/>
  <c r="R121" i="7"/>
  <c r="P294" i="8"/>
  <c r="F294" i="8"/>
  <c r="P239" i="8"/>
  <c r="F239" i="8"/>
  <c r="P1015" i="8"/>
  <c r="F1015" i="8"/>
  <c r="P1096" i="8"/>
  <c r="F1096" i="8"/>
  <c r="F554" i="8"/>
  <c r="P554" i="8"/>
  <c r="F908" i="8"/>
  <c r="P908" i="8"/>
  <c r="P262" i="8"/>
  <c r="F262" i="8"/>
  <c r="F1002" i="8"/>
  <c r="P1002" i="8"/>
  <c r="F176" i="8"/>
  <c r="P176" i="8"/>
  <c r="F218" i="8"/>
  <c r="P218" i="8"/>
  <c r="F787" i="8"/>
  <c r="P787" i="8"/>
  <c r="R65" i="7"/>
  <c r="R27" i="4"/>
  <c r="P716" i="8"/>
  <c r="F716" i="8"/>
  <c r="R24" i="6"/>
  <c r="R56" i="7"/>
  <c r="R110" i="7"/>
  <c r="P763" i="8"/>
  <c r="F763" i="8"/>
  <c r="F539" i="8"/>
  <c r="P539" i="8"/>
  <c r="R14" i="6"/>
  <c r="R140" i="7"/>
  <c r="P880" i="8"/>
  <c r="F880" i="8"/>
  <c r="R170" i="7"/>
  <c r="P898" i="8"/>
  <c r="F898" i="8"/>
  <c r="R96" i="7"/>
  <c r="P397" i="8"/>
  <c r="F397" i="8"/>
  <c r="P1093" i="8"/>
  <c r="F1093" i="8"/>
  <c r="F353" i="8"/>
  <c r="P353" i="8"/>
  <c r="F457" i="8"/>
  <c r="P457" i="8"/>
  <c r="F771" i="8"/>
  <c r="P771" i="8"/>
  <c r="F821" i="8"/>
  <c r="P821" i="8"/>
  <c r="P979" i="8"/>
  <c r="F979" i="8"/>
  <c r="F992" i="8"/>
  <c r="P992" i="8"/>
  <c r="P1118" i="8"/>
  <c r="F1118" i="8"/>
  <c r="P1006" i="8"/>
  <c r="F1006" i="8"/>
  <c r="F836" i="8"/>
  <c r="P836" i="8"/>
  <c r="P101" i="8"/>
  <c r="F101" i="8"/>
  <c r="P1059" i="8"/>
  <c r="F1059" i="8"/>
  <c r="R193" i="7"/>
  <c r="F472" i="8"/>
  <c r="P472" i="8"/>
  <c r="P200" i="8"/>
  <c r="F200" i="8"/>
  <c r="P299" i="8"/>
  <c r="F299" i="8"/>
  <c r="P988" i="8"/>
  <c r="F988" i="8"/>
  <c r="R60" i="7"/>
  <c r="R131" i="7"/>
  <c r="F744" i="8"/>
  <c r="P744" i="8"/>
  <c r="P454" i="8"/>
  <c r="F454" i="8"/>
  <c r="F1121" i="8"/>
  <c r="P1121" i="8"/>
  <c r="F768" i="8"/>
  <c r="P768" i="8"/>
  <c r="F186" i="8"/>
  <c r="P186" i="8"/>
  <c r="R26" i="4"/>
  <c r="F550" i="8"/>
  <c r="P550" i="8"/>
  <c r="P633" i="8"/>
  <c r="F633" i="8"/>
  <c r="R21" i="6"/>
  <c r="P93" i="8"/>
  <c r="F93" i="8"/>
  <c r="F919" i="8"/>
  <c r="P919" i="8"/>
  <c r="F1106" i="8"/>
  <c r="P1106" i="8"/>
  <c r="F854" i="8"/>
  <c r="P854" i="8"/>
  <c r="R32" i="4"/>
  <c r="P89" i="8"/>
  <c r="F89" i="8"/>
  <c r="P502" i="8"/>
  <c r="F502" i="8"/>
  <c r="P432" i="8"/>
  <c r="F432" i="8"/>
  <c r="F104" i="8"/>
  <c r="P104" i="8"/>
  <c r="R208" i="7"/>
  <c r="F506" i="8"/>
  <c r="P506" i="8"/>
  <c r="P938" i="8"/>
  <c r="F938" i="8"/>
  <c r="R161" i="7"/>
  <c r="F153" i="8"/>
  <c r="P153" i="8"/>
  <c r="F138" i="8"/>
  <c r="P138" i="8"/>
  <c r="F394" i="8"/>
  <c r="P394" i="8"/>
  <c r="R166" i="7"/>
  <c r="F751" i="8"/>
  <c r="P751" i="8"/>
  <c r="P1125" i="8"/>
  <c r="F1125" i="8"/>
  <c r="P236" i="8"/>
  <c r="F236" i="8"/>
  <c r="F1057" i="8"/>
  <c r="P1057" i="8"/>
  <c r="R148" i="7"/>
  <c r="F347" i="8"/>
  <c r="P347" i="8"/>
  <c r="F443" i="8"/>
  <c r="P443" i="8"/>
  <c r="F276" i="8"/>
  <c r="P276" i="8"/>
  <c r="P761" i="8"/>
  <c r="F761" i="8"/>
  <c r="P59" i="8"/>
  <c r="F59" i="8"/>
  <c r="F869" i="8"/>
  <c r="P869" i="8"/>
  <c r="R152" i="7"/>
  <c r="P427" i="8"/>
  <c r="F427" i="8"/>
  <c r="F560" i="8"/>
  <c r="P560" i="8"/>
  <c r="P528" i="8"/>
  <c r="F528" i="8"/>
  <c r="R105" i="7"/>
  <c r="F304" i="8"/>
  <c r="P304" i="8"/>
  <c r="P834" i="8"/>
  <c r="F834" i="8"/>
  <c r="F253" i="8"/>
  <c r="P253" i="8"/>
  <c r="R37" i="4"/>
  <c r="P422" i="8"/>
  <c r="F422" i="8"/>
  <c r="R73" i="7"/>
  <c r="R211" i="7"/>
  <c r="P233" i="8"/>
  <c r="F233" i="8"/>
  <c r="P964" i="8"/>
  <c r="F964" i="8"/>
  <c r="P948" i="8"/>
  <c r="F948" i="8"/>
  <c r="F1084" i="8"/>
  <c r="P1084" i="8"/>
  <c r="F246" i="8"/>
  <c r="P246" i="8"/>
  <c r="P263" i="8"/>
  <c r="F263" i="8"/>
  <c r="F546" i="8"/>
  <c r="P546" i="8"/>
  <c r="P117" i="8"/>
  <c r="F117" i="8"/>
  <c r="R104" i="7"/>
  <c r="R69" i="7"/>
  <c r="F876" i="8"/>
  <c r="P876" i="8"/>
  <c r="R185" i="7"/>
  <c r="F487" i="8"/>
  <c r="P487" i="8"/>
  <c r="F402" i="8"/>
  <c r="P402" i="8"/>
  <c r="F849" i="8"/>
  <c r="P849" i="8"/>
  <c r="F999" i="8"/>
  <c r="P999" i="8"/>
  <c r="R26" i="6"/>
  <c r="R13" i="6"/>
  <c r="R167" i="7"/>
  <c r="P63" i="8"/>
  <c r="F63" i="8"/>
  <c r="P831" i="8"/>
  <c r="F831" i="8"/>
  <c r="H2" i="8"/>
  <c r="H4" i="8"/>
  <c r="P911" i="8"/>
  <c r="F911" i="8"/>
  <c r="F1098" i="8"/>
  <c r="P1098" i="8"/>
  <c r="P690" i="8"/>
  <c r="F690" i="8"/>
  <c r="P354" i="8"/>
  <c r="F354" i="8"/>
  <c r="F713" i="8"/>
  <c r="P713" i="8"/>
  <c r="F704" i="8"/>
  <c r="P704" i="8"/>
  <c r="F603" i="8"/>
  <c r="P603" i="8"/>
  <c r="F824" i="8"/>
  <c r="P824" i="8"/>
  <c r="R128" i="7"/>
  <c r="P493" i="8"/>
  <c r="F493" i="8"/>
  <c r="F171" i="8"/>
  <c r="P171" i="8"/>
  <c r="P127" i="8"/>
  <c r="F127" i="8"/>
  <c r="F668" i="8"/>
  <c r="P668" i="8"/>
  <c r="P663" i="8"/>
  <c r="F663" i="8"/>
  <c r="F1049" i="8"/>
  <c r="P1049" i="8"/>
  <c r="F732" i="8"/>
  <c r="P732" i="8"/>
  <c r="F644" i="8"/>
  <c r="P644" i="8"/>
  <c r="R28" i="4"/>
  <c r="P248" i="8"/>
  <c r="F248" i="8"/>
  <c r="F213" i="8"/>
  <c r="P213" i="8"/>
  <c r="F584" i="8"/>
  <c r="P584" i="8"/>
  <c r="F119" i="8"/>
  <c r="P119" i="8"/>
  <c r="P573" i="8"/>
  <c r="F573" i="8"/>
  <c r="P461" i="8"/>
  <c r="F461" i="8"/>
  <c r="R213" i="7"/>
  <c r="P78" i="8"/>
  <c r="F78" i="8"/>
  <c r="F355" i="8"/>
  <c r="P355" i="8"/>
  <c r="R68" i="7"/>
  <c r="R16" i="4"/>
  <c r="P827" i="8"/>
  <c r="F827" i="8"/>
  <c r="P686" i="8"/>
  <c r="F686" i="8"/>
  <c r="P19" i="8"/>
  <c r="F19" i="8"/>
  <c r="F1081" i="8"/>
  <c r="P1081" i="8"/>
  <c r="F459" i="8"/>
  <c r="P459" i="8"/>
  <c r="F1026" i="8"/>
  <c r="P1026" i="8"/>
  <c r="R39" i="7"/>
  <c r="P1032" i="8"/>
  <c r="F1032" i="8"/>
  <c r="F874" i="8"/>
  <c r="P874" i="8"/>
  <c r="P338" i="8"/>
  <c r="F338" i="8"/>
  <c r="F695" i="8"/>
  <c r="P695" i="8"/>
  <c r="R84" i="7"/>
  <c r="F608" i="8"/>
  <c r="P608" i="8"/>
  <c r="P978" i="8"/>
  <c r="F978" i="8"/>
  <c r="F872" i="8"/>
  <c r="P872" i="8"/>
  <c r="R159" i="7"/>
  <c r="P814" i="8"/>
  <c r="F814" i="8"/>
  <c r="R38" i="7"/>
  <c r="F783" i="8"/>
  <c r="P783" i="8"/>
  <c r="P613" i="8"/>
  <c r="F613" i="8"/>
  <c r="R11" i="7" l="1"/>
  <c r="Q12" i="8"/>
  <c r="R12" i="8" s="1"/>
  <c r="Q869" i="8"/>
  <c r="R869" i="8" s="1"/>
  <c r="Q138" i="8"/>
  <c r="R138" i="8" s="1"/>
  <c r="Q454" i="8"/>
  <c r="R454" i="8" s="1"/>
  <c r="Q992" i="8"/>
  <c r="R992" i="8" s="1"/>
  <c r="Q716" i="8"/>
  <c r="R716" i="8" s="1"/>
  <c r="Q294" i="8"/>
  <c r="R294" i="8" s="1"/>
  <c r="Q783" i="8"/>
  <c r="R783" i="8" s="1"/>
  <c r="Q459" i="8"/>
  <c r="R459" i="8" s="1"/>
  <c r="Q732" i="8"/>
  <c r="R732" i="8" s="1"/>
  <c r="Q999" i="8"/>
  <c r="R999" i="8" s="1"/>
  <c r="Q422" i="8"/>
  <c r="R422" i="8" s="1"/>
  <c r="Q236" i="8"/>
  <c r="R236" i="8" s="1"/>
  <c r="Q299" i="8"/>
  <c r="R299" i="8" s="1"/>
  <c r="Q539" i="8"/>
  <c r="R539" i="8" s="1"/>
  <c r="Q844" i="8"/>
  <c r="R844" i="8" s="1"/>
  <c r="Q266" i="8"/>
  <c r="R266" i="8" s="1"/>
  <c r="Q277" i="8"/>
  <c r="R277" i="8" s="1"/>
  <c r="Q1100" i="8"/>
  <c r="R1100" i="8" s="1"/>
  <c r="Q642" i="8"/>
  <c r="R642" i="8" s="1"/>
  <c r="Q936" i="8"/>
  <c r="R936" i="8" s="1"/>
  <c r="Q261" i="8"/>
  <c r="R261" i="8" s="1"/>
  <c r="Q970" i="8"/>
  <c r="R970" i="8" s="1"/>
  <c r="Q180" i="8"/>
  <c r="R180" i="8" s="1"/>
  <c r="Q182" i="8"/>
  <c r="R182" i="8" s="1"/>
  <c r="Q514" i="8"/>
  <c r="R514" i="8" s="1"/>
  <c r="Q404" i="8"/>
  <c r="R404" i="8" s="1"/>
  <c r="Q265" i="8"/>
  <c r="R265" i="8" s="1"/>
  <c r="Q118" i="8"/>
  <c r="R118" i="8" s="1"/>
  <c r="Q997" i="8"/>
  <c r="R997" i="8" s="1"/>
  <c r="Q669" i="8"/>
  <c r="R669" i="8" s="1"/>
  <c r="Q307" i="8"/>
  <c r="R307" i="8" s="1"/>
  <c r="Q161" i="8"/>
  <c r="R161" i="8" s="1"/>
  <c r="Q538" i="8"/>
  <c r="R538" i="8" s="1"/>
  <c r="Q813" i="8"/>
  <c r="R813" i="8" s="1"/>
  <c r="Q563" i="8"/>
  <c r="R563" i="8" s="1"/>
  <c r="Q258" i="8"/>
  <c r="R258" i="8" s="1"/>
  <c r="Q419" i="8"/>
  <c r="R419" i="8" s="1"/>
  <c r="Q827" i="8"/>
  <c r="R827" i="8" s="1"/>
  <c r="Q127" i="8"/>
  <c r="R127" i="8" s="1"/>
  <c r="Q744" i="8"/>
  <c r="R744" i="8" s="1"/>
  <c r="Q206" i="8"/>
  <c r="R206" i="8" s="1"/>
  <c r="Q165" i="8"/>
  <c r="R165" i="8" s="1"/>
  <c r="Q476" i="8"/>
  <c r="R476" i="8" s="1"/>
  <c r="Q881" i="8"/>
  <c r="R881" i="8" s="1"/>
  <c r="Q998" i="8"/>
  <c r="R998" i="8" s="1"/>
  <c r="Q120" i="8"/>
  <c r="R120" i="8" s="1"/>
  <c r="Q149" i="8"/>
  <c r="R149" i="8" s="1"/>
  <c r="Q1074" i="8"/>
  <c r="R1074" i="8" s="1"/>
  <c r="Q677" i="8"/>
  <c r="R677" i="8" s="1"/>
  <c r="Q480" i="8"/>
  <c r="R480" i="8" s="1"/>
  <c r="Q900" i="8"/>
  <c r="R900" i="8" s="1"/>
  <c r="Q816" i="8"/>
  <c r="R816" i="8" s="1"/>
  <c r="Q769" i="8"/>
  <c r="R769" i="8" s="1"/>
  <c r="Q731" i="8"/>
  <c r="R731" i="8" s="1"/>
  <c r="Q786" i="8"/>
  <c r="R786" i="8" s="1"/>
  <c r="Q676" i="8"/>
  <c r="R676" i="8" s="1"/>
  <c r="Q579" i="8"/>
  <c r="R579" i="8" s="1"/>
  <c r="Q137" i="8"/>
  <c r="R137" i="8" s="1"/>
  <c r="Q863" i="8"/>
  <c r="R863" i="8" s="1"/>
  <c r="Q949" i="8"/>
  <c r="R949" i="8" s="1"/>
  <c r="Q548" i="8"/>
  <c r="R548" i="8" s="1"/>
  <c r="Q467" i="8"/>
  <c r="R467" i="8" s="1"/>
  <c r="Q1063" i="8"/>
  <c r="R1063" i="8" s="1"/>
  <c r="Q907" i="8"/>
  <c r="R907" i="8" s="1"/>
  <c r="Q518" i="8"/>
  <c r="R518" i="8" s="1"/>
  <c r="Q130" i="8"/>
  <c r="R130" i="8" s="1"/>
  <c r="Q877" i="8"/>
  <c r="R877" i="8" s="1"/>
  <c r="Q967" i="8"/>
  <c r="R967" i="8" s="1"/>
  <c r="Q124" i="8"/>
  <c r="R124" i="8" s="1"/>
  <c r="Q807" i="8"/>
  <c r="R807" i="8" s="1"/>
  <c r="Q503" i="8"/>
  <c r="R503" i="8" s="1"/>
  <c r="Q973" i="8"/>
  <c r="R973" i="8" s="1"/>
  <c r="Q875" i="8"/>
  <c r="R875" i="8" s="1"/>
  <c r="Q183" i="8"/>
  <c r="R183" i="8" s="1"/>
  <c r="Q989" i="8"/>
  <c r="R989" i="8" s="1"/>
  <c r="Q24" i="8"/>
  <c r="R24" i="8" s="1"/>
  <c r="Q622" i="8"/>
  <c r="R622" i="8" s="1"/>
  <c r="Q1049" i="8"/>
  <c r="R1049" i="8" s="1"/>
  <c r="Q831" i="8"/>
  <c r="R831" i="8" s="1"/>
  <c r="Q964" i="8"/>
  <c r="R964" i="8" s="1"/>
  <c r="Q347" i="8"/>
  <c r="R347" i="8" s="1"/>
  <c r="Q93" i="8"/>
  <c r="R93" i="8" s="1"/>
  <c r="Q836" i="8"/>
  <c r="R836" i="8" s="1"/>
  <c r="Q558" i="8"/>
  <c r="R558" i="8" s="1"/>
  <c r="Q486" i="8"/>
  <c r="R486" i="8" s="1"/>
  <c r="Q473" i="8"/>
  <c r="R473" i="8" s="1"/>
  <c r="Q945" i="8"/>
  <c r="R945" i="8" s="1"/>
  <c r="Q327" i="8"/>
  <c r="R327" i="8" s="1"/>
  <c r="Q1050" i="8"/>
  <c r="R1050" i="8" s="1"/>
  <c r="Q856" i="8"/>
  <c r="R856" i="8" s="1"/>
  <c r="Q172" i="8"/>
  <c r="R172" i="8" s="1"/>
  <c r="Q640" i="8"/>
  <c r="R640" i="8" s="1"/>
  <c r="Q899" i="8"/>
  <c r="R899" i="8" s="1"/>
  <c r="Q209" i="8"/>
  <c r="R209" i="8" s="1"/>
  <c r="Q306" i="8"/>
  <c r="R306" i="8" s="1"/>
  <c r="Q1003" i="8"/>
  <c r="R1003" i="8" s="1"/>
  <c r="Q639" i="8"/>
  <c r="R639" i="8" s="1"/>
  <c r="Q39" i="8"/>
  <c r="R39" i="8" s="1"/>
  <c r="Q146" i="8"/>
  <c r="R146" i="8" s="1"/>
  <c r="Q726" i="8"/>
  <c r="R726" i="8" s="1"/>
  <c r="Q1099" i="8"/>
  <c r="R1099" i="8" s="1"/>
  <c r="Q1122" i="8"/>
  <c r="R1122" i="8" s="1"/>
  <c r="Q450" i="8"/>
  <c r="R450" i="8" s="1"/>
  <c r="Q144" i="8"/>
  <c r="R144" i="8" s="1"/>
  <c r="Q14" i="8"/>
  <c r="R14" i="8" s="1"/>
  <c r="Q981" i="8"/>
  <c r="R981" i="8" s="1"/>
  <c r="Q559" i="8"/>
  <c r="R559" i="8" s="1"/>
  <c r="Q596" i="8"/>
  <c r="R596" i="8" s="1"/>
  <c r="Q647" i="8"/>
  <c r="R647" i="8" s="1"/>
  <c r="Q128" i="8"/>
  <c r="R128" i="8" s="1"/>
  <c r="Q482" i="8"/>
  <c r="R482" i="8" s="1"/>
  <c r="Q488" i="8"/>
  <c r="R488" i="8" s="1"/>
  <c r="Q474" i="8"/>
  <c r="R474" i="8" s="1"/>
  <c r="Q748" i="8"/>
  <c r="R748" i="8" s="1"/>
  <c r="Q68" i="8"/>
  <c r="R68" i="8" s="1"/>
  <c r="Q785" i="8"/>
  <c r="R785" i="8" s="1"/>
  <c r="Q662" i="8"/>
  <c r="R662" i="8" s="1"/>
  <c r="Q47" i="8"/>
  <c r="R47" i="8" s="1"/>
  <c r="Q139" i="8"/>
  <c r="R139" i="8" s="1"/>
  <c r="Q571" i="8"/>
  <c r="R571" i="8" s="1"/>
  <c r="Q274" i="8"/>
  <c r="R274" i="8" s="1"/>
  <c r="Q937" i="8"/>
  <c r="R937" i="8" s="1"/>
  <c r="Q848" i="8"/>
  <c r="R848" i="8" s="1"/>
  <c r="Q819" i="8"/>
  <c r="R819" i="8" s="1"/>
  <c r="Q44" i="8"/>
  <c r="R44" i="8" s="1"/>
  <c r="Q106" i="8"/>
  <c r="R106" i="8" s="1"/>
  <c r="Q492" i="8"/>
  <c r="R492" i="8" s="1"/>
  <c r="Q254" i="8"/>
  <c r="R254" i="8" s="1"/>
  <c r="Q1061" i="8"/>
  <c r="R1061" i="8" s="1"/>
  <c r="Q710" i="8"/>
  <c r="R710" i="8" s="1"/>
  <c r="Q1085" i="8"/>
  <c r="R1085" i="8" s="1"/>
  <c r="Q87" i="8"/>
  <c r="R87" i="8" s="1"/>
  <c r="Q400" i="8"/>
  <c r="R400" i="8" s="1"/>
  <c r="Q845" i="8"/>
  <c r="R845" i="8" s="1"/>
  <c r="Q45" i="8"/>
  <c r="R45" i="8" s="1"/>
  <c r="Q808" i="8"/>
  <c r="R808" i="8" s="1"/>
  <c r="Q508" i="8"/>
  <c r="R508" i="8" s="1"/>
  <c r="Q343" i="8"/>
  <c r="R343" i="8" s="1"/>
  <c r="Q1038" i="8"/>
  <c r="R1038" i="8" s="1"/>
  <c r="Q792" i="8"/>
  <c r="R792" i="8" s="1"/>
  <c r="Q582" i="8"/>
  <c r="R582" i="8" s="1"/>
  <c r="Q594" i="8"/>
  <c r="R594" i="8" s="1"/>
  <c r="Q704" i="8"/>
  <c r="R704" i="8" s="1"/>
  <c r="Q1098" i="8"/>
  <c r="R1098" i="8" s="1"/>
  <c r="Q246" i="8"/>
  <c r="R246" i="8" s="1"/>
  <c r="Q560" i="8"/>
  <c r="R560" i="8" s="1"/>
  <c r="Q59" i="8"/>
  <c r="R59" i="8" s="1"/>
  <c r="Q751" i="8"/>
  <c r="R751" i="8" s="1"/>
  <c r="Q854" i="8"/>
  <c r="R854" i="8" s="1"/>
  <c r="Q768" i="8"/>
  <c r="R768" i="8" s="1"/>
  <c r="Q472" i="8"/>
  <c r="R472" i="8" s="1"/>
  <c r="Q979" i="8"/>
  <c r="R979" i="8" s="1"/>
  <c r="Q763" i="8"/>
  <c r="R763" i="8" s="1"/>
  <c r="Q787" i="8"/>
  <c r="R787" i="8" s="1"/>
  <c r="Q621" i="8"/>
  <c r="R621" i="8" s="1"/>
  <c r="Q113" i="8"/>
  <c r="R113" i="8" s="1"/>
  <c r="Q650" i="8"/>
  <c r="R650" i="8" s="1"/>
  <c r="Q555" i="8"/>
  <c r="R555" i="8" s="1"/>
  <c r="Q268" i="8"/>
  <c r="R268" i="8" s="1"/>
  <c r="Q960" i="8"/>
  <c r="R960" i="8" s="1"/>
  <c r="Q1014" i="8"/>
  <c r="R1014" i="8" s="1"/>
  <c r="Q468" i="8"/>
  <c r="R468" i="8" s="1"/>
  <c r="Q971" i="8"/>
  <c r="R971" i="8" s="1"/>
  <c r="Q941" i="8"/>
  <c r="R941" i="8" s="1"/>
  <c r="Q909" i="8"/>
  <c r="R909" i="8" s="1"/>
  <c r="Q453" i="8"/>
  <c r="R453" i="8" s="1"/>
  <c r="Q164" i="8"/>
  <c r="R164" i="8" s="1"/>
  <c r="Q1129" i="8"/>
  <c r="R1129" i="8" s="1"/>
  <c r="Q1033" i="8"/>
  <c r="R1033" i="8" s="1"/>
  <c r="Q1034" i="8"/>
  <c r="R1034" i="8" s="1"/>
  <c r="Q625" i="8"/>
  <c r="R625" i="8" s="1"/>
  <c r="Q655" i="8"/>
  <c r="R655" i="8" s="1"/>
  <c r="Q809" i="8"/>
  <c r="R809" i="8" s="1"/>
  <c r="Q725" i="8"/>
  <c r="R725" i="8" s="1"/>
  <c r="Q956" i="8"/>
  <c r="R956" i="8" s="1"/>
  <c r="Q777" i="8"/>
  <c r="R777" i="8" s="1"/>
  <c r="Q17" i="8"/>
  <c r="R17" i="8" s="1"/>
  <c r="Q811" i="8"/>
  <c r="R811" i="8" s="1"/>
  <c r="Q363" i="8"/>
  <c r="R363" i="8" s="1"/>
  <c r="Q264" i="8"/>
  <c r="R264" i="8" s="1"/>
  <c r="Q665" i="8"/>
  <c r="R665" i="8" s="1"/>
  <c r="Q557" i="8"/>
  <c r="R557" i="8" s="1"/>
  <c r="Q412" i="8"/>
  <c r="R412" i="8" s="1"/>
  <c r="Q255" i="8"/>
  <c r="R255" i="8" s="1"/>
  <c r="Q373" i="8"/>
  <c r="R373" i="8" s="1"/>
  <c r="Q511" i="8"/>
  <c r="R511" i="8" s="1"/>
  <c r="Q675" i="8"/>
  <c r="R675" i="8" s="1"/>
  <c r="Q913" i="8"/>
  <c r="R913" i="8" s="1"/>
  <c r="Q156" i="8"/>
  <c r="R156" i="8" s="1"/>
  <c r="Q1009" i="8"/>
  <c r="R1009" i="8" s="1"/>
  <c r="Q345" i="8"/>
  <c r="R345" i="8" s="1"/>
  <c r="Q1116" i="8"/>
  <c r="R1116" i="8" s="1"/>
  <c r="Q1017" i="8"/>
  <c r="R1017" i="8" s="1"/>
  <c r="Q689" i="8"/>
  <c r="R689" i="8" s="1"/>
  <c r="Q413" i="8"/>
  <c r="R413" i="8" s="1"/>
  <c r="Q471" i="8"/>
  <c r="R471" i="8" s="1"/>
  <c r="Q495" i="8"/>
  <c r="R495" i="8" s="1"/>
  <c r="Q376" i="8"/>
  <c r="R376" i="8" s="1"/>
  <c r="Q1062" i="8"/>
  <c r="R1062" i="8" s="1"/>
  <c r="Q282" i="8"/>
  <c r="R282" i="8" s="1"/>
  <c r="Q933" i="8"/>
  <c r="R933" i="8" s="1"/>
  <c r="Q382" i="8"/>
  <c r="R382" i="8" s="1"/>
  <c r="Q871" i="8"/>
  <c r="R871" i="8" s="1"/>
  <c r="Q617" i="8"/>
  <c r="R617" i="8" s="1"/>
  <c r="Q892" i="8"/>
  <c r="R892" i="8" s="1"/>
  <c r="Q352" i="8"/>
  <c r="R352" i="8" s="1"/>
  <c r="Q1018" i="8"/>
  <c r="R1018" i="8" s="1"/>
  <c r="Q456" i="8"/>
  <c r="R456" i="8" s="1"/>
  <c r="Q217" i="8"/>
  <c r="R217" i="8" s="1"/>
  <c r="Q590" i="8"/>
  <c r="R590" i="8" s="1"/>
  <c r="Q615" i="8"/>
  <c r="R615" i="8" s="1"/>
  <c r="Q551" i="8"/>
  <c r="R551" i="8" s="1"/>
  <c r="Q367" i="8"/>
  <c r="R367" i="8" s="1"/>
  <c r="Q846" i="8"/>
  <c r="R846" i="8" s="1"/>
  <c r="Q904" i="8"/>
  <c r="R904" i="8" s="1"/>
  <c r="Q444" i="8"/>
  <c r="R444" i="8" s="1"/>
  <c r="Q588" i="8"/>
  <c r="R588" i="8" s="1"/>
  <c r="Q825" i="8"/>
  <c r="R825" i="8" s="1"/>
  <c r="Q250" i="8"/>
  <c r="R250" i="8" s="1"/>
  <c r="Q1064" i="8"/>
  <c r="R1064" i="8" s="1"/>
  <c r="Q688" i="8"/>
  <c r="R688" i="8" s="1"/>
  <c r="Q515" i="8"/>
  <c r="R515" i="8" s="1"/>
  <c r="Q1044" i="8"/>
  <c r="R1044" i="8" s="1"/>
  <c r="Q914" i="8"/>
  <c r="R914" i="8" s="1"/>
  <c r="Q1082" i="8"/>
  <c r="R1082" i="8" s="1"/>
  <c r="Q329" i="8"/>
  <c r="R329" i="8" s="1"/>
  <c r="Q71" i="8"/>
  <c r="R71" i="8" s="1"/>
  <c r="Q1132" i="8"/>
  <c r="R1132" i="8" s="1"/>
  <c r="Q421" i="8"/>
  <c r="R421" i="8" s="1"/>
  <c r="Q370" i="8"/>
  <c r="R370" i="8" s="1"/>
  <c r="Q645" i="8"/>
  <c r="R645" i="8" s="1"/>
  <c r="Q635" i="8"/>
  <c r="R635" i="8" s="1"/>
  <c r="Q886" i="8"/>
  <c r="R886" i="8" s="1"/>
  <c r="Q632" i="8"/>
  <c r="R632" i="8" s="1"/>
  <c r="Q31" i="8"/>
  <c r="R31" i="8" s="1"/>
  <c r="Q927" i="8"/>
  <c r="R927" i="8" s="1"/>
  <c r="Q1020" i="8"/>
  <c r="R1020" i="8" s="1"/>
  <c r="Q994" i="8"/>
  <c r="R994" i="8" s="1"/>
  <c r="Q211" i="8"/>
  <c r="R211" i="8" s="1"/>
  <c r="Q974" i="8"/>
  <c r="R974" i="8" s="1"/>
  <c r="Q627" i="8"/>
  <c r="R627" i="8" s="1"/>
  <c r="Q359" i="8"/>
  <c r="R359" i="8" s="1"/>
  <c r="Q547" i="8"/>
  <c r="R547" i="8" s="1"/>
  <c r="Q612" i="8"/>
  <c r="R612" i="8" s="1"/>
  <c r="Q878" i="8"/>
  <c r="R878" i="8" s="1"/>
  <c r="Q996" i="8"/>
  <c r="R996" i="8" s="1"/>
  <c r="Q1114" i="8"/>
  <c r="R1114" i="8" s="1"/>
  <c r="Q98" i="8"/>
  <c r="R98" i="8" s="1"/>
  <c r="Q470" i="8"/>
  <c r="R470" i="8" s="1"/>
  <c r="Q1024" i="8"/>
  <c r="R1024" i="8" s="1"/>
  <c r="Q490" i="8"/>
  <c r="R490" i="8" s="1"/>
  <c r="Q77" i="8"/>
  <c r="R77" i="8" s="1"/>
  <c r="Q950" i="8"/>
  <c r="R950" i="8" s="1"/>
  <c r="Q145" i="8"/>
  <c r="R145" i="8" s="1"/>
  <c r="Q54" i="8"/>
  <c r="R54" i="8" s="1"/>
  <c r="Q756" i="8"/>
  <c r="R756" i="8" s="1"/>
  <c r="Q385" i="8"/>
  <c r="R385" i="8" s="1"/>
  <c r="Q169" i="8"/>
  <c r="R169" i="8" s="1"/>
  <c r="Q1097" i="8"/>
  <c r="R1097" i="8" s="1"/>
  <c r="Q912" i="8"/>
  <c r="R912" i="8" s="1"/>
  <c r="Q671" i="8"/>
  <c r="R671" i="8" s="1"/>
  <c r="Q278" i="8"/>
  <c r="R278" i="8" s="1"/>
  <c r="Q323" i="8"/>
  <c r="R323" i="8" s="1"/>
  <c r="Q58" i="8"/>
  <c r="R58" i="8" s="1"/>
  <c r="Q198" i="8"/>
  <c r="R198" i="8" s="1"/>
  <c r="Q775" i="8"/>
  <c r="R775" i="8" s="1"/>
  <c r="Q976" i="8"/>
  <c r="R976" i="8" s="1"/>
  <c r="Q197" i="8"/>
  <c r="R197" i="8" s="1"/>
  <c r="Q926" i="8"/>
  <c r="R926" i="8" s="1"/>
  <c r="Q1013" i="8"/>
  <c r="R1013" i="8" s="1"/>
  <c r="Q11" i="8"/>
  <c r="R11" i="8" s="1"/>
  <c r="Q520" i="8"/>
  <c r="R520" i="8" s="1"/>
  <c r="Q736" i="8"/>
  <c r="R736" i="8" s="1"/>
  <c r="Q790" i="8"/>
  <c r="R790" i="8" s="1"/>
  <c r="Q959" i="8"/>
  <c r="R959" i="8" s="1"/>
  <c r="Q920" i="8"/>
  <c r="R920" i="8" s="1"/>
  <c r="Q157" i="8"/>
  <c r="R157" i="8" s="1"/>
  <c r="Q498" i="8"/>
  <c r="R498" i="8" s="1"/>
  <c r="Q16" i="8"/>
  <c r="R16" i="8" s="1"/>
  <c r="Q630" i="8"/>
  <c r="R630" i="8" s="1"/>
  <c r="Q86" i="8"/>
  <c r="R86" i="8" s="1"/>
  <c r="Q1133" i="8"/>
  <c r="R1133" i="8" s="1"/>
  <c r="Q985" i="8"/>
  <c r="R985" i="8" s="1"/>
  <c r="Q354" i="8"/>
  <c r="R354" i="8" s="1"/>
  <c r="Q443" i="8"/>
  <c r="R443" i="8" s="1"/>
  <c r="Q457" i="8"/>
  <c r="R457" i="8" s="1"/>
  <c r="Q861" i="8"/>
  <c r="R861" i="8" s="1"/>
  <c r="Q221" i="8"/>
  <c r="R221" i="8" s="1"/>
  <c r="Q750" i="8"/>
  <c r="R750" i="8" s="1"/>
  <c r="Q682" i="8"/>
  <c r="R682" i="8" s="1"/>
  <c r="Q1028" i="8"/>
  <c r="R1028" i="8" s="1"/>
  <c r="Q923" i="8"/>
  <c r="R923" i="8" s="1"/>
  <c r="Q745" i="8"/>
  <c r="R745" i="8" s="1"/>
  <c r="Q334" i="8"/>
  <c r="R334" i="8" s="1"/>
  <c r="Q226" i="8"/>
  <c r="R226" i="8" s="1"/>
  <c r="Q1056" i="8"/>
  <c r="R1056" i="8" s="1"/>
  <c r="Q351" i="8"/>
  <c r="R351" i="8" s="1"/>
  <c r="Q60" i="8"/>
  <c r="R60" i="8" s="1"/>
  <c r="Q711" i="8"/>
  <c r="R711" i="8" s="1"/>
  <c r="Q734" i="8"/>
  <c r="R734" i="8" s="1"/>
  <c r="Q232" i="8"/>
  <c r="R232" i="8" s="1"/>
  <c r="Q107" i="8"/>
  <c r="R107" i="8" s="1"/>
  <c r="Q1080" i="8"/>
  <c r="R1080" i="8" s="1"/>
  <c r="Q99" i="8"/>
  <c r="R99" i="8" s="1"/>
  <c r="Q719" i="8"/>
  <c r="R719" i="8" s="1"/>
  <c r="Q917" i="8"/>
  <c r="R917" i="8" s="1"/>
  <c r="Q620" i="8"/>
  <c r="R620" i="8" s="1"/>
  <c r="Q619" i="8"/>
  <c r="R619" i="8" s="1"/>
  <c r="Q851" i="8"/>
  <c r="R851" i="8" s="1"/>
  <c r="Q747" i="8"/>
  <c r="R747" i="8" s="1"/>
  <c r="Q589" i="8"/>
  <c r="R589" i="8" s="1"/>
  <c r="Q921" i="8"/>
  <c r="R921" i="8" s="1"/>
  <c r="Q728" i="8"/>
  <c r="R728" i="8" s="1"/>
  <c r="Q477" i="8"/>
  <c r="R477" i="8" s="1"/>
  <c r="Q341" i="8"/>
  <c r="R341" i="8" s="1"/>
  <c r="Q810" i="8"/>
  <c r="R810" i="8" s="1"/>
  <c r="Q694" i="8"/>
  <c r="R694" i="8" s="1"/>
  <c r="Q1055" i="8"/>
  <c r="R1055" i="8" s="1"/>
  <c r="Q210" i="8"/>
  <c r="R210" i="8" s="1"/>
  <c r="Q377" i="8"/>
  <c r="R377" i="8" s="1"/>
  <c r="Q186" i="8"/>
  <c r="R186" i="8" s="1"/>
  <c r="Q1002" i="8"/>
  <c r="R1002" i="8" s="1"/>
  <c r="Q1040" i="8"/>
  <c r="R1040" i="8" s="1"/>
  <c r="Q1092" i="8"/>
  <c r="R1092" i="8" s="1"/>
  <c r="Q1007" i="8"/>
  <c r="R1007" i="8" s="1"/>
  <c r="Q300" i="8"/>
  <c r="R300" i="8" s="1"/>
  <c r="Q231" i="8"/>
  <c r="R231" i="8" s="1"/>
  <c r="Q28" i="8"/>
  <c r="R28" i="8" s="1"/>
  <c r="Q36" i="8"/>
  <c r="R36" i="8" s="1"/>
  <c r="Q13" i="8"/>
  <c r="R13" i="8" s="1"/>
  <c r="Q770" i="8"/>
  <c r="R770" i="8" s="1"/>
  <c r="Q241" i="8"/>
  <c r="R241" i="8" s="1"/>
  <c r="Q840" i="8"/>
  <c r="R840" i="8" s="1"/>
  <c r="Q888" i="8"/>
  <c r="R888" i="8" s="1"/>
  <c r="Q414" i="8"/>
  <c r="R414" i="8" s="1"/>
  <c r="Q372" i="8"/>
  <c r="R372" i="8" s="1"/>
  <c r="Q611" i="8"/>
  <c r="R611" i="8" s="1"/>
  <c r="Q833" i="8"/>
  <c r="R833" i="8" s="1"/>
  <c r="Q73" i="8"/>
  <c r="R73" i="8" s="1"/>
  <c r="Q360" i="8"/>
  <c r="R360" i="8" s="1"/>
  <c r="Q154" i="8"/>
  <c r="R154" i="8" s="1"/>
  <c r="Q955" i="8"/>
  <c r="R955" i="8" s="1"/>
  <c r="Q1128" i="8"/>
  <c r="R1128" i="8" s="1"/>
  <c r="Q757" i="8"/>
  <c r="R757" i="8" s="1"/>
  <c r="Q316" i="8"/>
  <c r="R316" i="8" s="1"/>
  <c r="Q431" i="8"/>
  <c r="R431" i="8" s="1"/>
  <c r="Q121" i="8"/>
  <c r="R121" i="8" s="1"/>
  <c r="Q720" i="8"/>
  <c r="R720" i="8" s="1"/>
  <c r="Q561" i="8"/>
  <c r="R561" i="8" s="1"/>
  <c r="Q969" i="8"/>
  <c r="R969" i="8" s="1"/>
  <c r="Q416" i="8"/>
  <c r="R416" i="8" s="1"/>
  <c r="Q939" i="8"/>
  <c r="R939" i="8" s="1"/>
  <c r="Q857" i="8"/>
  <c r="R857" i="8" s="1"/>
  <c r="Q1111" i="8"/>
  <c r="R1111" i="8" s="1"/>
  <c r="Q272" i="8"/>
  <c r="R272" i="8" s="1"/>
  <c r="Q903" i="8"/>
  <c r="R903" i="8" s="1"/>
  <c r="Q324" i="8"/>
  <c r="R324" i="8" s="1"/>
  <c r="Q23" i="8"/>
  <c r="R23" i="8" s="1"/>
  <c r="Q411" i="8"/>
  <c r="R411" i="8" s="1"/>
  <c r="Q205" i="8"/>
  <c r="R205" i="8" s="1"/>
  <c r="Q608" i="8"/>
  <c r="R608" i="8" s="1"/>
  <c r="Q690" i="8"/>
  <c r="R690" i="8" s="1"/>
  <c r="Q263" i="8"/>
  <c r="R263" i="8" s="1"/>
  <c r="Q104" i="8"/>
  <c r="R104" i="8" s="1"/>
  <c r="Q200" i="8"/>
  <c r="R200" i="8" s="1"/>
  <c r="Q898" i="8"/>
  <c r="R898" i="8" s="1"/>
  <c r="Q860" i="8"/>
  <c r="R860" i="8" s="1"/>
  <c r="Q1105" i="8"/>
  <c r="R1105" i="8" s="1"/>
  <c r="I2" i="6"/>
  <c r="I4" i="6"/>
  <c r="Q721" i="8"/>
  <c r="R721" i="8" s="1"/>
  <c r="Q1088" i="8"/>
  <c r="R1088" i="8" s="1"/>
  <c r="Q361" i="8"/>
  <c r="R361" i="8" s="1"/>
  <c r="Q843" i="8"/>
  <c r="R843" i="8" s="1"/>
  <c r="Q66" i="8"/>
  <c r="R66" i="8" s="1"/>
  <c r="Q162" i="8"/>
  <c r="R162" i="8" s="1"/>
  <c r="Q291" i="8"/>
  <c r="R291" i="8" s="1"/>
  <c r="Q228" i="8"/>
  <c r="R228" i="8" s="1"/>
  <c r="Q420" i="8"/>
  <c r="R420" i="8" s="1"/>
  <c r="Q966" i="8"/>
  <c r="R966" i="8" s="1"/>
  <c r="Q1041" i="8"/>
  <c r="R1041" i="8" s="1"/>
  <c r="Q448" i="8"/>
  <c r="R448" i="8" s="1"/>
  <c r="Q942" i="8"/>
  <c r="R942" i="8" s="1"/>
  <c r="Q1010" i="8"/>
  <c r="R1010" i="8" s="1"/>
  <c r="Q125" i="8"/>
  <c r="R125" i="8" s="1"/>
  <c r="Q466" i="8"/>
  <c r="R466" i="8" s="1"/>
  <c r="Q991" i="8"/>
  <c r="R991" i="8" s="1"/>
  <c r="Q1102" i="8"/>
  <c r="R1102" i="8" s="1"/>
  <c r="Q29" i="8"/>
  <c r="R29" i="8" s="1"/>
  <c r="Q1047" i="8"/>
  <c r="R1047" i="8" s="1"/>
  <c r="Q497" i="8"/>
  <c r="R497" i="8" s="1"/>
  <c r="Q25" i="8"/>
  <c r="R25" i="8" s="1"/>
  <c r="Q574" i="8"/>
  <c r="R574" i="8" s="1"/>
  <c r="Q35" i="8"/>
  <c r="R35" i="8" s="1"/>
  <c r="Q215" i="8"/>
  <c r="R215" i="8" s="1"/>
  <c r="Q333" i="8"/>
  <c r="R333" i="8" s="1"/>
  <c r="Q1022" i="8"/>
  <c r="R1022" i="8" s="1"/>
  <c r="Q283" i="8"/>
  <c r="R283" i="8" s="1"/>
  <c r="Q759" i="8"/>
  <c r="R759" i="8" s="1"/>
  <c r="Q82" i="8"/>
  <c r="R82" i="8" s="1"/>
  <c r="Q484" i="8"/>
  <c r="R484" i="8" s="1"/>
  <c r="Q202" i="8"/>
  <c r="R202" i="8" s="1"/>
  <c r="Q643" i="8"/>
  <c r="R643" i="8" s="1"/>
  <c r="Q947" i="8"/>
  <c r="R947" i="8" s="1"/>
  <c r="Q577" i="8"/>
  <c r="R577" i="8" s="1"/>
  <c r="Q906" i="8"/>
  <c r="R906" i="8" s="1"/>
  <c r="Q1119" i="8"/>
  <c r="R1119" i="8" s="1"/>
  <c r="Q184" i="8"/>
  <c r="R184" i="8" s="1"/>
  <c r="Q181" i="8"/>
  <c r="R181" i="8" s="1"/>
  <c r="Q102" i="8"/>
  <c r="R102" i="8" s="1"/>
  <c r="Q1023" i="8"/>
  <c r="R1023" i="8" s="1"/>
  <c r="Q653" i="8"/>
  <c r="R653" i="8" s="1"/>
  <c r="Q1101" i="8"/>
  <c r="R1101" i="8" s="1"/>
  <c r="Q410" i="8"/>
  <c r="R410" i="8" s="1"/>
  <c r="Q867" i="8"/>
  <c r="R867" i="8" s="1"/>
  <c r="Q141" i="8"/>
  <c r="R141" i="8" s="1"/>
  <c r="Q1067" i="8"/>
  <c r="R1067" i="8" s="1"/>
  <c r="Q778" i="8"/>
  <c r="R778" i="8" s="1"/>
  <c r="Q521" i="8"/>
  <c r="R521" i="8" s="1"/>
  <c r="Q337" i="8"/>
  <c r="R337" i="8" s="1"/>
  <c r="Q479" i="8"/>
  <c r="R479" i="8" s="1"/>
  <c r="Q897" i="8"/>
  <c r="R897" i="8" s="1"/>
  <c r="I4" i="7"/>
  <c r="I2" i="7"/>
  <c r="Q526" i="8"/>
  <c r="R526" i="8" s="1"/>
  <c r="Q517" i="8"/>
  <c r="R517" i="8" s="1"/>
  <c r="Q879" i="8"/>
  <c r="R879" i="8" s="1"/>
  <c r="Q977" i="8"/>
  <c r="R977" i="8" s="1"/>
  <c r="Q814" i="8"/>
  <c r="R814" i="8" s="1"/>
  <c r="Q1032" i="8"/>
  <c r="R1032" i="8" s="1"/>
  <c r="Q355" i="8"/>
  <c r="R355" i="8" s="1"/>
  <c r="Q573" i="8"/>
  <c r="R573" i="8" s="1"/>
  <c r="Q248" i="8"/>
  <c r="R248" i="8" s="1"/>
  <c r="Q63" i="8"/>
  <c r="R63" i="8" s="1"/>
  <c r="Q402" i="8"/>
  <c r="R402" i="8" s="1"/>
  <c r="Q233" i="8"/>
  <c r="R233" i="8" s="1"/>
  <c r="Q821" i="8"/>
  <c r="R821" i="8" s="1"/>
  <c r="Q262" i="8"/>
  <c r="R262" i="8" s="1"/>
  <c r="Q1015" i="8"/>
  <c r="R1015" i="8" s="1"/>
  <c r="Q541" i="8"/>
  <c r="R541" i="8" s="1"/>
  <c r="Q33" i="8"/>
  <c r="R33" i="8" s="1"/>
  <c r="Q1052" i="8"/>
  <c r="R1052" i="8" s="1"/>
  <c r="Q451" i="8"/>
  <c r="R451" i="8" s="1"/>
  <c r="Q667" i="8"/>
  <c r="R667" i="8" s="1"/>
  <c r="Q1136" i="8"/>
  <c r="R1136" i="8" s="1"/>
  <c r="Q606" i="8"/>
  <c r="R606" i="8" s="1"/>
  <c r="Q284" i="8"/>
  <c r="R284" i="8" s="1"/>
  <c r="Q346" i="8"/>
  <c r="R346" i="8" s="1"/>
  <c r="Q436" i="8"/>
  <c r="R436" i="8" s="1"/>
  <c r="Q593" i="8"/>
  <c r="R593" i="8" s="1"/>
  <c r="Q273" i="8"/>
  <c r="R273" i="8" s="1"/>
  <c r="Q150" i="8"/>
  <c r="R150" i="8" s="1"/>
  <c r="Q41" i="8"/>
  <c r="R41" i="8" s="1"/>
  <c r="Q290" i="8"/>
  <c r="R290" i="8" s="1"/>
  <c r="Q952" i="8"/>
  <c r="R952" i="8" s="1"/>
  <c r="Q820" i="8"/>
  <c r="R820" i="8" s="1"/>
  <c r="Q586" i="8"/>
  <c r="R586" i="8" s="1"/>
  <c r="Q275" i="8"/>
  <c r="R275" i="8" s="1"/>
  <c r="Q542" i="8"/>
  <c r="R542" i="8" s="1"/>
  <c r="Q434" i="8"/>
  <c r="R434" i="8" s="1"/>
  <c r="Q269" i="8"/>
  <c r="R269" i="8" s="1"/>
  <c r="Q48" i="8"/>
  <c r="R48" i="8" s="1"/>
  <c r="Q1127" i="8"/>
  <c r="R1127" i="8" s="1"/>
  <c r="Q190" i="8"/>
  <c r="R190" i="8" s="1"/>
  <c r="Q641" i="8"/>
  <c r="R641" i="8" s="1"/>
  <c r="Q649" i="8"/>
  <c r="R649" i="8" s="1"/>
  <c r="Q289" i="8"/>
  <c r="R289" i="8" s="1"/>
  <c r="Q580" i="8"/>
  <c r="R580" i="8" s="1"/>
  <c r="Q401" i="8"/>
  <c r="R401" i="8" s="1"/>
  <c r="Q90" i="8"/>
  <c r="R90" i="8" s="1"/>
  <c r="Q187" i="8"/>
  <c r="R187" i="8" s="1"/>
  <c r="Q140" i="8"/>
  <c r="R140" i="8" s="1"/>
  <c r="Q575" i="8"/>
  <c r="R575" i="8" s="1"/>
  <c r="Q741" i="8"/>
  <c r="R741" i="8" s="1"/>
  <c r="Q823" i="8"/>
  <c r="R823" i="8" s="1"/>
  <c r="Q464" i="8"/>
  <c r="R464" i="8" s="1"/>
  <c r="Q681" i="8"/>
  <c r="R681" i="8" s="1"/>
  <c r="Q189" i="8"/>
  <c r="R189" i="8" s="1"/>
  <c r="Q207" i="8"/>
  <c r="R207" i="8" s="1"/>
  <c r="Q326" i="8"/>
  <c r="R326" i="8" s="1"/>
  <c r="Q1019" i="8"/>
  <c r="R1019" i="8" s="1"/>
  <c r="Q776" i="8"/>
  <c r="R776" i="8" s="1"/>
  <c r="Q556" i="8"/>
  <c r="R556" i="8" s="1"/>
  <c r="Q1000" i="8"/>
  <c r="R1000" i="8" s="1"/>
  <c r="Q693" i="8"/>
  <c r="R693" i="8" s="1"/>
  <c r="Q1075" i="8"/>
  <c r="R1075" i="8" s="1"/>
  <c r="Q52" i="8"/>
  <c r="R52" i="8" s="1"/>
  <c r="Q350" i="8"/>
  <c r="R350" i="8" s="1"/>
  <c r="Q527" i="8"/>
  <c r="R527" i="8" s="1"/>
  <c r="Q465" i="8"/>
  <c r="R465" i="8" s="1"/>
  <c r="Q1123" i="8"/>
  <c r="R1123" i="8" s="1"/>
  <c r="Q251" i="8"/>
  <c r="R251" i="8" s="1"/>
  <c r="Q1048" i="8"/>
  <c r="R1048" i="8" s="1"/>
  <c r="Q685" i="8"/>
  <c r="R685" i="8" s="1"/>
  <c r="Q1104" i="8"/>
  <c r="R1104" i="8" s="1"/>
  <c r="Q934" i="8"/>
  <c r="R934" i="8" s="1"/>
  <c r="Q815" i="8"/>
  <c r="R815" i="8" s="1"/>
  <c r="Q567" i="8"/>
  <c r="R567" i="8" s="1"/>
  <c r="Q895" i="8"/>
  <c r="R895" i="8" s="1"/>
  <c r="Q692" i="8"/>
  <c r="R692" i="8" s="1"/>
  <c r="Q423" i="8"/>
  <c r="R423" i="8" s="1"/>
  <c r="Q873" i="8"/>
  <c r="R873" i="8" s="1"/>
  <c r="Q894" i="8"/>
  <c r="R894" i="8" s="1"/>
  <c r="Q993" i="8"/>
  <c r="R993" i="8" s="1"/>
  <c r="Q983" i="8"/>
  <c r="R983" i="8" s="1"/>
  <c r="Q705" i="8"/>
  <c r="R705" i="8" s="1"/>
  <c r="Q1046" i="8"/>
  <c r="R1046" i="8" s="1"/>
  <c r="Q910" i="8"/>
  <c r="R910" i="8" s="1"/>
  <c r="Q1071" i="8"/>
  <c r="R1071" i="8" s="1"/>
  <c r="Q543" i="8"/>
  <c r="R543" i="8" s="1"/>
  <c r="Q208" i="8"/>
  <c r="R208" i="8" s="1"/>
  <c r="Q57" i="8"/>
  <c r="R57" i="8" s="1"/>
  <c r="Q1113" i="8"/>
  <c r="R1113" i="8" s="1"/>
  <c r="Q566" i="8"/>
  <c r="R566" i="8" s="1"/>
  <c r="Q1025" i="8"/>
  <c r="R1025" i="8" s="1"/>
  <c r="Q142" i="8"/>
  <c r="R142" i="8" s="1"/>
  <c r="Q1124" i="8"/>
  <c r="R1124" i="8" s="1"/>
  <c r="Q42" i="8"/>
  <c r="R42" i="8" s="1"/>
  <c r="Q1027" i="8"/>
  <c r="R1027" i="8" s="1"/>
  <c r="Q1117" i="8"/>
  <c r="R1117" i="8" s="1"/>
  <c r="Q853" i="8"/>
  <c r="R853" i="8" s="1"/>
  <c r="Q534" i="8"/>
  <c r="R534" i="8" s="1"/>
  <c r="Q445" i="8"/>
  <c r="R445" i="8" s="1"/>
  <c r="Q331" i="8"/>
  <c r="R331" i="8" s="1"/>
  <c r="Q724" i="8"/>
  <c r="R724" i="8" s="1"/>
  <c r="Q1076" i="8"/>
  <c r="R1076" i="8" s="1"/>
  <c r="Q27" i="8"/>
  <c r="R27" i="8" s="1"/>
  <c r="Q1004" i="8"/>
  <c r="R1004" i="8" s="1"/>
  <c r="Q192" i="8"/>
  <c r="R192" i="8" s="1"/>
  <c r="Q109" i="8"/>
  <c r="R109" i="8" s="1"/>
  <c r="Q348" i="8"/>
  <c r="R348" i="8" s="1"/>
  <c r="Q1115" i="8"/>
  <c r="R1115" i="8" s="1"/>
  <c r="Q636" i="8"/>
  <c r="R636" i="8" s="1"/>
  <c r="Q610" i="8"/>
  <c r="R610" i="8" s="1"/>
  <c r="Q784" i="8"/>
  <c r="R784" i="8" s="1"/>
  <c r="Q1108" i="8"/>
  <c r="R1108" i="8" s="1"/>
  <c r="Q752" i="8"/>
  <c r="R752" i="8" s="1"/>
  <c r="Q980" i="8"/>
  <c r="R980" i="8" s="1"/>
  <c r="Q126" i="8"/>
  <c r="R126" i="8" s="1"/>
  <c r="Q1137" i="8"/>
  <c r="R1137" i="8" s="1"/>
  <c r="Q463" i="8"/>
  <c r="R463" i="8" s="1"/>
  <c r="Q74" i="8"/>
  <c r="R74" i="8" s="1"/>
  <c r="Q598" i="8"/>
  <c r="R598" i="8" s="1"/>
  <c r="Q698" i="8"/>
  <c r="R698" i="8" s="1"/>
  <c r="Q735" i="8"/>
  <c r="R735" i="8" s="1"/>
  <c r="Q222" i="8"/>
  <c r="R222" i="8" s="1"/>
  <c r="Q626" i="8"/>
  <c r="R626" i="8" s="1"/>
  <c r="Q293" i="8"/>
  <c r="R293" i="8" s="1"/>
  <c r="Q796" i="8"/>
  <c r="R796" i="8" s="1"/>
  <c r="Q356" i="8"/>
  <c r="R356" i="8" s="1"/>
  <c r="Q103" i="8"/>
  <c r="R103" i="8" s="1"/>
  <c r="I2" i="8"/>
  <c r="I4" i="8"/>
  <c r="Q315" i="8"/>
  <c r="R315" i="8" s="1"/>
  <c r="Q95" i="8"/>
  <c r="R95" i="8" s="1"/>
  <c r="Q600" i="8"/>
  <c r="R600" i="8" s="1"/>
  <c r="Q858" i="8"/>
  <c r="R858" i="8" s="1"/>
  <c r="Q366" i="8"/>
  <c r="R366" i="8" s="1"/>
  <c r="Q330" i="8"/>
  <c r="R330" i="8" s="1"/>
  <c r="Q780" i="8"/>
  <c r="R780" i="8" s="1"/>
  <c r="Q257" i="8"/>
  <c r="R257" i="8" s="1"/>
  <c r="Q1086" i="8"/>
  <c r="R1086" i="8" s="1"/>
  <c r="Q288" i="8"/>
  <c r="R288" i="8" s="1"/>
  <c r="Q812" i="8"/>
  <c r="R812" i="8" s="1"/>
  <c r="Q37" i="8"/>
  <c r="R37" i="8" s="1"/>
  <c r="Q491" i="8"/>
  <c r="R491" i="8" s="1"/>
  <c r="Q1069" i="8"/>
  <c r="R1069" i="8" s="1"/>
  <c r="Q576" i="8"/>
  <c r="R576" i="8" s="1"/>
  <c r="Q870" i="8"/>
  <c r="R870" i="8" s="1"/>
  <c r="Q212" i="8"/>
  <c r="R212" i="8" s="1"/>
  <c r="Q279" i="8"/>
  <c r="R279" i="8" s="1"/>
  <c r="Q30" i="8"/>
  <c r="R30" i="8" s="1"/>
  <c r="Q781" i="8"/>
  <c r="R781" i="8" s="1"/>
  <c r="Q91" i="8"/>
  <c r="R91" i="8" s="1"/>
  <c r="Q788" i="8"/>
  <c r="R788" i="8" s="1"/>
  <c r="Q447" i="8"/>
  <c r="R447" i="8" s="1"/>
  <c r="Q219" i="8"/>
  <c r="R219" i="8" s="1"/>
  <c r="Q562" i="8"/>
  <c r="R562" i="8" s="1"/>
  <c r="Q390" i="8"/>
  <c r="R390" i="8" s="1"/>
  <c r="Q494" i="8"/>
  <c r="R494" i="8" s="1"/>
  <c r="Q658" i="8"/>
  <c r="R658" i="8" s="1"/>
  <c r="Q901" i="8"/>
  <c r="R901" i="8" s="1"/>
  <c r="Q314" i="8"/>
  <c r="R314" i="8" s="1"/>
  <c r="Q601" i="8"/>
  <c r="R601" i="8" s="1"/>
  <c r="Q975" i="8"/>
  <c r="R975" i="8" s="1"/>
  <c r="Q391" i="8"/>
  <c r="R391" i="8" s="1"/>
  <c r="Q536" i="8"/>
  <c r="R536" i="8" s="1"/>
  <c r="Q389" i="8"/>
  <c r="R389" i="8" s="1"/>
  <c r="Q135" i="8"/>
  <c r="R135" i="8" s="1"/>
  <c r="Q344" i="8"/>
  <c r="R344" i="8" s="1"/>
  <c r="Q915" i="8"/>
  <c r="R915" i="8" s="1"/>
  <c r="Q631" i="8"/>
  <c r="R631" i="8" s="1"/>
  <c r="Q129" i="8"/>
  <c r="R129" i="8" s="1"/>
  <c r="Q43" i="8"/>
  <c r="R43" i="8" s="1"/>
  <c r="Q664" i="8"/>
  <c r="R664" i="8" s="1"/>
  <c r="Q963" i="8"/>
  <c r="R963" i="8" s="1"/>
  <c r="Q874" i="8"/>
  <c r="R874" i="8" s="1"/>
  <c r="Q213" i="8"/>
  <c r="R213" i="8" s="1"/>
  <c r="Q101" i="8"/>
  <c r="R101" i="8" s="1"/>
  <c r="Q313" i="8"/>
  <c r="R313" i="8" s="1"/>
  <c r="Q321" i="8"/>
  <c r="R321" i="8" s="1"/>
  <c r="Q930" i="8"/>
  <c r="R930" i="8" s="1"/>
  <c r="Q1135" i="8"/>
  <c r="R1135" i="8" s="1"/>
  <c r="Q40" i="8"/>
  <c r="R40" i="8" s="1"/>
  <c r="Q303" i="8"/>
  <c r="R303" i="8" s="1"/>
  <c r="Q505" i="8"/>
  <c r="R505" i="8" s="1"/>
  <c r="Q1051" i="8"/>
  <c r="R1051" i="8" s="1"/>
  <c r="Q67" i="8"/>
  <c r="R67" i="8" s="1"/>
  <c r="Q634" i="8"/>
  <c r="R634" i="8" s="1"/>
  <c r="Q151" i="8"/>
  <c r="R151" i="8" s="1"/>
  <c r="Q319" i="8"/>
  <c r="R319" i="8" s="1"/>
  <c r="Q1035" i="8"/>
  <c r="R1035" i="8" s="1"/>
  <c r="Q837" i="8"/>
  <c r="R837" i="8" s="1"/>
  <c r="Q235" i="8"/>
  <c r="R235" i="8" s="1"/>
  <c r="Q38" i="8"/>
  <c r="R38" i="8" s="1"/>
  <c r="Q581" i="8"/>
  <c r="R581" i="8" s="1"/>
  <c r="Q893" i="8"/>
  <c r="R893" i="8" s="1"/>
  <c r="Q168" i="8"/>
  <c r="R168" i="8" s="1"/>
  <c r="Q18" i="8"/>
  <c r="R18" i="8" s="1"/>
  <c r="Q522" i="8"/>
  <c r="R522" i="8" s="1"/>
  <c r="Q962" i="8"/>
  <c r="R962" i="8" s="1"/>
  <c r="Q481" i="8"/>
  <c r="R481" i="8" s="1"/>
  <c r="Q1068" i="8"/>
  <c r="R1068" i="8" s="1"/>
  <c r="Q50" i="8"/>
  <c r="R50" i="8" s="1"/>
  <c r="Q707" i="8"/>
  <c r="R707" i="8" s="1"/>
  <c r="Q375" i="8"/>
  <c r="R375" i="8" s="1"/>
  <c r="Q1081" i="8"/>
  <c r="R1081" i="8" s="1"/>
  <c r="Q171" i="8"/>
  <c r="R171" i="8" s="1"/>
  <c r="Q849" i="8"/>
  <c r="R849" i="8" s="1"/>
  <c r="Q253" i="8"/>
  <c r="R253" i="8" s="1"/>
  <c r="Q1125" i="8"/>
  <c r="R1125" i="8" s="1"/>
  <c r="Q417" i="8"/>
  <c r="R417" i="8" s="1"/>
  <c r="Q1031" i="8"/>
  <c r="R1031" i="8" s="1"/>
  <c r="Q896" i="8"/>
  <c r="R896" i="8" s="1"/>
  <c r="Q995" i="8"/>
  <c r="R995" i="8" s="1"/>
  <c r="Q695" i="8"/>
  <c r="R695" i="8" s="1"/>
  <c r="Q663" i="8"/>
  <c r="R663" i="8" s="1"/>
  <c r="Q713" i="8"/>
  <c r="R713" i="8" s="1"/>
  <c r="Q1084" i="8"/>
  <c r="R1084" i="8" s="1"/>
  <c r="Q1057" i="8"/>
  <c r="R1057" i="8" s="1"/>
  <c r="Q432" i="8"/>
  <c r="R432" i="8" s="1"/>
  <c r="Q633" i="8"/>
  <c r="R633" i="8" s="1"/>
  <c r="Q880" i="8"/>
  <c r="R880" i="8" s="1"/>
  <c r="Q908" i="8"/>
  <c r="R908" i="8" s="1"/>
  <c r="Q687" i="8"/>
  <c r="R687" i="8" s="1"/>
  <c r="Q368" i="8"/>
  <c r="R368" i="8" s="1"/>
  <c r="Q174" i="8"/>
  <c r="R174" i="8" s="1"/>
  <c r="Q194" i="8"/>
  <c r="R194" i="8" s="1"/>
  <c r="Q426" i="8"/>
  <c r="R426" i="8" s="1"/>
  <c r="Q755" i="8"/>
  <c r="R755" i="8" s="1"/>
  <c r="Q384" i="8"/>
  <c r="R384" i="8" s="1"/>
  <c r="Q818" i="8"/>
  <c r="R818" i="8" s="1"/>
  <c r="Q79" i="8"/>
  <c r="R79" i="8" s="1"/>
  <c r="Q332" i="8"/>
  <c r="R332" i="8" s="1"/>
  <c r="Q76" i="8"/>
  <c r="R76" i="8" s="1"/>
  <c r="Q179" i="8"/>
  <c r="R179" i="8" s="1"/>
  <c r="Q605" i="8"/>
  <c r="R605" i="8" s="1"/>
  <c r="Q175" i="8"/>
  <c r="R175" i="8" s="1"/>
  <c r="Q700" i="8"/>
  <c r="R700" i="8" s="1"/>
  <c r="Q743" i="8"/>
  <c r="R743" i="8" s="1"/>
  <c r="Q393" i="8"/>
  <c r="R393" i="8" s="1"/>
  <c r="Q297" i="8"/>
  <c r="R297" i="8" s="1"/>
  <c r="Q1011" i="8"/>
  <c r="R1011" i="8" s="1"/>
  <c r="Q446" i="8"/>
  <c r="R446" i="8" s="1"/>
  <c r="Q433" i="8"/>
  <c r="R433" i="8" s="1"/>
  <c r="Q69" i="8"/>
  <c r="R69" i="8" s="1"/>
  <c r="Q475" i="8"/>
  <c r="R475" i="8" s="1"/>
  <c r="Q951" i="8"/>
  <c r="R951" i="8" s="1"/>
  <c r="Q369" i="8"/>
  <c r="R369" i="8" s="1"/>
  <c r="Q637" i="8"/>
  <c r="R637" i="8" s="1"/>
  <c r="Q572" i="8"/>
  <c r="R572" i="8" s="1"/>
  <c r="Q392" i="8"/>
  <c r="R392" i="8" s="1"/>
  <c r="Q1012" i="8"/>
  <c r="R1012" i="8" s="1"/>
  <c r="Q287" i="8"/>
  <c r="R287" i="8" s="1"/>
  <c r="Q256" i="8"/>
  <c r="R256" i="8" s="1"/>
  <c r="Q485" i="8"/>
  <c r="R485" i="8" s="1"/>
  <c r="Q339" i="8"/>
  <c r="R339" i="8" s="1"/>
  <c r="Q286" i="8"/>
  <c r="R286" i="8" s="1"/>
  <c r="Q167" i="8"/>
  <c r="R167" i="8" s="1"/>
  <c r="Q940" i="8"/>
  <c r="R940" i="8" s="1"/>
  <c r="Q136" i="8"/>
  <c r="R136" i="8" s="1"/>
  <c r="Q178" i="8"/>
  <c r="R178" i="8" s="1"/>
  <c r="Q772" i="8"/>
  <c r="R772" i="8" s="1"/>
  <c r="Q712" i="8"/>
  <c r="R712" i="8" s="1"/>
  <c r="Q683" i="8"/>
  <c r="R683" i="8" s="1"/>
  <c r="Q754" i="8"/>
  <c r="R754" i="8" s="1"/>
  <c r="Q629" i="8"/>
  <c r="R629" i="8" s="1"/>
  <c r="Q925" i="8"/>
  <c r="R925" i="8" s="1"/>
  <c r="Q651" i="8"/>
  <c r="R651" i="8" s="1"/>
  <c r="Q395" i="8"/>
  <c r="R395" i="8" s="1"/>
  <c r="Q388" i="8"/>
  <c r="R388" i="8" s="1"/>
  <c r="Q740" i="8"/>
  <c r="R740" i="8" s="1"/>
  <c r="Q379" i="8"/>
  <c r="R379" i="8" s="1"/>
  <c r="Q428" i="8"/>
  <c r="R428" i="8" s="1"/>
  <c r="Q85" i="8"/>
  <c r="R85" i="8" s="1"/>
  <c r="Q425" i="8"/>
  <c r="R425" i="8" s="1"/>
  <c r="Q94" i="8"/>
  <c r="R94" i="8" s="1"/>
  <c r="Q866" i="8"/>
  <c r="R866" i="8" s="1"/>
  <c r="Q336" i="8"/>
  <c r="R336" i="8" s="1"/>
  <c r="Q872" i="8"/>
  <c r="R872" i="8" s="1"/>
  <c r="Q1026" i="8"/>
  <c r="R1026" i="8" s="1"/>
  <c r="Q644" i="8"/>
  <c r="R644" i="8" s="1"/>
  <c r="Q668" i="8"/>
  <c r="R668" i="8" s="1"/>
  <c r="Q911" i="8"/>
  <c r="R911" i="8" s="1"/>
  <c r="Q487" i="8"/>
  <c r="R487" i="8" s="1"/>
  <c r="Q117" i="8"/>
  <c r="R117" i="8" s="1"/>
  <c r="Q304" i="8"/>
  <c r="R304" i="8" s="1"/>
  <c r="Q427" i="8"/>
  <c r="R427" i="8" s="1"/>
  <c r="Q276" i="8"/>
  <c r="R276" i="8" s="1"/>
  <c r="Q394" i="8"/>
  <c r="R394" i="8" s="1"/>
  <c r="Q938" i="8"/>
  <c r="R938" i="8" s="1"/>
  <c r="Q550" i="8"/>
  <c r="R550" i="8" s="1"/>
  <c r="Q988" i="8"/>
  <c r="R988" i="8" s="1"/>
  <c r="Q771" i="8"/>
  <c r="R771" i="8" s="1"/>
  <c r="Q239" i="8"/>
  <c r="R239" i="8" s="1"/>
  <c r="Q885" i="8"/>
  <c r="R885" i="8" s="1"/>
  <c r="Q889" i="8"/>
  <c r="R889" i="8" s="1"/>
  <c r="Q697" i="8"/>
  <c r="R697" i="8" s="1"/>
  <c r="Q1021" i="8"/>
  <c r="R1021" i="8" s="1"/>
  <c r="Q1029" i="8"/>
  <c r="R1029" i="8" s="1"/>
  <c r="Q504" i="8"/>
  <c r="R504" i="8" s="1"/>
  <c r="Q891" i="8"/>
  <c r="R891" i="8" s="1"/>
  <c r="Q110" i="8"/>
  <c r="R110" i="8" s="1"/>
  <c r="Q817" i="8"/>
  <c r="R817" i="8" s="1"/>
  <c r="Q946" i="8"/>
  <c r="R946" i="8" s="1"/>
  <c r="Q399" i="8"/>
  <c r="R399" i="8" s="1"/>
  <c r="Q782" i="8"/>
  <c r="R782" i="8" s="1"/>
  <c r="Q717" i="8"/>
  <c r="R717" i="8" s="1"/>
  <c r="Q864" i="8"/>
  <c r="R864" i="8" s="1"/>
  <c r="Q244" i="8"/>
  <c r="R244" i="8" s="1"/>
  <c r="Q623" i="8"/>
  <c r="R623" i="8" s="1"/>
  <c r="Q96" i="8"/>
  <c r="R96" i="8" s="1"/>
  <c r="Q545" i="8"/>
  <c r="R545" i="8" s="1"/>
  <c r="Q409" i="8"/>
  <c r="R409" i="8" s="1"/>
  <c r="Q616" i="8"/>
  <c r="R616" i="8" s="1"/>
  <c r="Q310" i="8"/>
  <c r="R310" i="8" s="1"/>
  <c r="Q1066" i="8"/>
  <c r="R1066" i="8" s="1"/>
  <c r="Q387" i="8"/>
  <c r="R387" i="8" s="1"/>
  <c r="Q26" i="8"/>
  <c r="R26" i="8" s="1"/>
  <c r="Q163" i="8"/>
  <c r="R163" i="8" s="1"/>
  <c r="Q20" i="8"/>
  <c r="R20" i="8" s="1"/>
  <c r="Q435" i="8"/>
  <c r="R435" i="8" s="1"/>
  <c r="Q599" i="8"/>
  <c r="R599" i="8" s="1"/>
  <c r="Q440" i="8"/>
  <c r="R440" i="8" s="1"/>
  <c r="Q660" i="8"/>
  <c r="R660" i="8" s="1"/>
  <c r="Q418" i="8"/>
  <c r="R418" i="8" s="1"/>
  <c r="Q204" i="8"/>
  <c r="R204" i="8" s="1"/>
  <c r="Q943" i="8"/>
  <c r="R943" i="8" s="1"/>
  <c r="Q496" i="8"/>
  <c r="R496" i="8" s="1"/>
  <c r="Q670" i="8"/>
  <c r="R670" i="8" s="1"/>
  <c r="Q437" i="8"/>
  <c r="R437" i="8" s="1"/>
  <c r="Q648" i="8"/>
  <c r="R648" i="8" s="1"/>
  <c r="Q75" i="8"/>
  <c r="R75" i="8" s="1"/>
  <c r="Q1079" i="8"/>
  <c r="R1079" i="8" s="1"/>
  <c r="Q614" i="8"/>
  <c r="R614" i="8" s="1"/>
  <c r="Q115" i="8"/>
  <c r="R115" i="8" s="1"/>
  <c r="Q295" i="8"/>
  <c r="R295" i="8" s="1"/>
  <c r="Q199" i="8"/>
  <c r="R199" i="8" s="1"/>
  <c r="Q1107" i="8"/>
  <c r="R1107" i="8" s="1"/>
  <c r="Q799" i="8"/>
  <c r="R799" i="8" s="1"/>
  <c r="Q1058" i="8"/>
  <c r="R1058" i="8" s="1"/>
  <c r="Q540" i="8"/>
  <c r="R540" i="8" s="1"/>
  <c r="Q829" i="8"/>
  <c r="R829" i="8" s="1"/>
  <c r="Q46" i="8"/>
  <c r="R46" i="8" s="1"/>
  <c r="Q800" i="8"/>
  <c r="R800" i="8" s="1"/>
  <c r="Q718" i="8"/>
  <c r="R718" i="8" s="1"/>
  <c r="Q243" i="8"/>
  <c r="R243" i="8" s="1"/>
  <c r="Q972" i="8"/>
  <c r="R972" i="8" s="1"/>
  <c r="Q32" i="8"/>
  <c r="R32" i="8" s="1"/>
  <c r="Q56" i="8"/>
  <c r="R56" i="8" s="1"/>
  <c r="Q383" i="8"/>
  <c r="R383" i="8" s="1"/>
  <c r="Q638" i="8"/>
  <c r="R638" i="8" s="1"/>
  <c r="Q592" i="8"/>
  <c r="R592" i="8" s="1"/>
  <c r="Q53" i="8"/>
  <c r="R53" i="8" s="1"/>
  <c r="Q80" i="8"/>
  <c r="R80" i="8" s="1"/>
  <c r="Q578" i="8"/>
  <c r="R578" i="8" s="1"/>
  <c r="Q739" i="8"/>
  <c r="R739" i="8" s="1"/>
  <c r="Q1072" i="8"/>
  <c r="R1072" i="8" s="1"/>
  <c r="Q335" i="8"/>
  <c r="R335" i="8" s="1"/>
  <c r="Q114" i="8"/>
  <c r="R114" i="8" s="1"/>
  <c r="Q1060" i="8"/>
  <c r="R1060" i="8" s="1"/>
  <c r="Q131" i="8"/>
  <c r="R131" i="8" s="1"/>
  <c r="Q1110" i="8"/>
  <c r="R1110" i="8" s="1"/>
  <c r="Q214" i="8"/>
  <c r="R214" i="8" s="1"/>
  <c r="Q703" i="8"/>
  <c r="R703" i="8" s="1"/>
  <c r="Q1045" i="8"/>
  <c r="R1045" i="8" s="1"/>
  <c r="Q49" i="8"/>
  <c r="R49" i="8" s="1"/>
  <c r="Q746" i="8"/>
  <c r="R746" i="8" s="1"/>
  <c r="Q722" i="8"/>
  <c r="R722" i="8" s="1"/>
  <c r="Q320" i="8"/>
  <c r="R320" i="8" s="1"/>
  <c r="Q1112" i="8"/>
  <c r="R1112" i="8" s="1"/>
  <c r="Q832" i="8"/>
  <c r="R832" i="8" s="1"/>
  <c r="Q957" i="8"/>
  <c r="R957" i="8" s="1"/>
  <c r="Q230" i="8"/>
  <c r="R230" i="8" s="1"/>
  <c r="Q944" i="8"/>
  <c r="R944" i="8" s="1"/>
  <c r="Q1005" i="8"/>
  <c r="R1005" i="8" s="1"/>
  <c r="Q247" i="8"/>
  <c r="R247" i="8" s="1"/>
  <c r="Q762" i="8"/>
  <c r="R762" i="8" s="1"/>
  <c r="Q61" i="8"/>
  <c r="R61" i="8" s="1"/>
  <c r="Q123" i="8"/>
  <c r="R123" i="8" s="1"/>
  <c r="Q216" i="8"/>
  <c r="R216" i="8" s="1"/>
  <c r="Q882" i="8"/>
  <c r="R882" i="8" s="1"/>
  <c r="Q1037" i="8"/>
  <c r="R1037" i="8" s="1"/>
  <c r="Q483" i="8"/>
  <c r="R483" i="8" s="1"/>
  <c r="Q544" i="8"/>
  <c r="R544" i="8" s="1"/>
  <c r="Q987" i="8"/>
  <c r="R987" i="8" s="1"/>
  <c r="Q965" i="8"/>
  <c r="R965" i="8" s="1"/>
  <c r="Q766" i="8"/>
  <c r="R766" i="8" s="1"/>
  <c r="Q1016" i="8"/>
  <c r="R1016" i="8" s="1"/>
  <c r="Q302" i="8"/>
  <c r="R302" i="8" s="1"/>
  <c r="Q478" i="8"/>
  <c r="R478" i="8" s="1"/>
  <c r="Q509" i="8"/>
  <c r="R509" i="8" s="1"/>
  <c r="Q657" i="8"/>
  <c r="R657" i="8" s="1"/>
  <c r="Q173" i="8"/>
  <c r="R173" i="8" s="1"/>
  <c r="Q990" i="8"/>
  <c r="R990" i="8" s="1"/>
  <c r="Q565" i="8"/>
  <c r="R565" i="8" s="1"/>
  <c r="Q839" i="8"/>
  <c r="R839" i="8" s="1"/>
  <c r="Q795" i="8"/>
  <c r="R795" i="8" s="1"/>
  <c r="Q328" i="8"/>
  <c r="R328" i="8" s="1"/>
  <c r="Q22" i="8"/>
  <c r="R22" i="8" s="1"/>
  <c r="Q699" i="8"/>
  <c r="R699" i="8" s="1"/>
  <c r="Q112" i="8"/>
  <c r="R112" i="8" s="1"/>
  <c r="Q108" i="8"/>
  <c r="R108" i="8" s="1"/>
  <c r="Q887" i="8"/>
  <c r="R887" i="8" s="1"/>
  <c r="Q607" i="8"/>
  <c r="R607" i="8" s="1"/>
  <c r="Q191" i="8"/>
  <c r="R191" i="8" s="1"/>
  <c r="Q533" i="8"/>
  <c r="R533" i="8" s="1"/>
  <c r="Q1043" i="8"/>
  <c r="R1043" i="8" s="1"/>
  <c r="Q822" i="8"/>
  <c r="R822" i="8" s="1"/>
  <c r="Q905" i="8"/>
  <c r="R905" i="8" s="1"/>
  <c r="Q224" i="8"/>
  <c r="R224" i="8" s="1"/>
  <c r="Q455" i="8"/>
  <c r="R455" i="8" s="1"/>
  <c r="Q1130" i="8"/>
  <c r="R1130" i="8" s="1"/>
  <c r="Q499" i="8"/>
  <c r="R499" i="8" s="1"/>
  <c r="Q604" i="8"/>
  <c r="R604" i="8" s="1"/>
  <c r="Q680" i="8"/>
  <c r="R680" i="8" s="1"/>
  <c r="Q862" i="8"/>
  <c r="R862" i="8" s="1"/>
  <c r="Q806" i="8"/>
  <c r="R806" i="8" s="1"/>
  <c r="Q828" i="8"/>
  <c r="R828" i="8" s="1"/>
  <c r="Q338" i="8"/>
  <c r="R338" i="8" s="1"/>
  <c r="Q948" i="8"/>
  <c r="R948" i="8" s="1"/>
  <c r="Q305" i="8"/>
  <c r="R305" i="8" s="1"/>
  <c r="Q773" i="8"/>
  <c r="R773" i="8" s="1"/>
  <c r="Q362" i="8"/>
  <c r="R362" i="8" s="1"/>
  <c r="Q931" i="8"/>
  <c r="R931" i="8" s="1"/>
  <c r="Q1008" i="8"/>
  <c r="R1008" i="8" s="1"/>
  <c r="Q982" i="8"/>
  <c r="R982" i="8" s="1"/>
  <c r="Q381" i="8"/>
  <c r="R381" i="8" s="1"/>
  <c r="Q961" i="8"/>
  <c r="R961" i="8" s="1"/>
  <c r="Q240" i="8"/>
  <c r="R240" i="8" s="1"/>
  <c r="Q84" i="8"/>
  <c r="R84" i="8" s="1"/>
  <c r="Q430" i="8"/>
  <c r="R430" i="8" s="1"/>
  <c r="Q55" i="8"/>
  <c r="R55" i="8" s="1"/>
  <c r="Q1030" i="8"/>
  <c r="R1030" i="8" s="1"/>
  <c r="Q552" i="8"/>
  <c r="R552" i="8" s="1"/>
  <c r="Q535" i="8"/>
  <c r="R535" i="8" s="1"/>
  <c r="Q132" i="8"/>
  <c r="R132" i="8" s="1"/>
  <c r="Q513" i="8"/>
  <c r="R513" i="8" s="1"/>
  <c r="Q249" i="8"/>
  <c r="R249" i="8" s="1"/>
  <c r="Q714" i="8"/>
  <c r="R714" i="8" s="1"/>
  <c r="Q460" i="8"/>
  <c r="R460" i="8" s="1"/>
  <c r="Q986" i="8"/>
  <c r="R986" i="8" s="1"/>
  <c r="Q764" i="8"/>
  <c r="R764" i="8" s="1"/>
  <c r="Q656" i="8"/>
  <c r="R656" i="8" s="1"/>
  <c r="Q826" i="8"/>
  <c r="R826" i="8" s="1"/>
  <c r="Q298" i="8"/>
  <c r="R298" i="8" s="1"/>
  <c r="Q659" i="8"/>
  <c r="R659" i="8" s="1"/>
  <c r="Q70" i="8"/>
  <c r="R70" i="8" s="1"/>
  <c r="Q260" i="8"/>
  <c r="R260" i="8" s="1"/>
  <c r="Q737" i="8"/>
  <c r="R737" i="8" s="1"/>
  <c r="Q749" i="8"/>
  <c r="R749" i="8" s="1"/>
  <c r="Q978" i="8"/>
  <c r="R978" i="8" s="1"/>
  <c r="Q603" i="8"/>
  <c r="R603" i="8" s="1"/>
  <c r="Q876" i="8"/>
  <c r="R876" i="8" s="1"/>
  <c r="Q89" i="8"/>
  <c r="R89" i="8" s="1"/>
  <c r="Q935" i="8"/>
  <c r="R935" i="8" s="1"/>
  <c r="Q1078" i="8"/>
  <c r="R1078" i="8" s="1"/>
  <c r="Q507" i="8"/>
  <c r="R507" i="8" s="1"/>
  <c r="Q408" i="8"/>
  <c r="R408" i="8" s="1"/>
  <c r="Q365" i="8"/>
  <c r="R365" i="8" s="1"/>
  <c r="Q148" i="8"/>
  <c r="R148" i="8" s="1"/>
  <c r="Q733" i="8"/>
  <c r="R733" i="8" s="1"/>
  <c r="Q568" i="8"/>
  <c r="R568" i="8" s="1"/>
  <c r="Q791" i="8"/>
  <c r="R791" i="8" s="1"/>
  <c r="Q1065" i="8"/>
  <c r="R1065" i="8" s="1"/>
  <c r="Q340" i="8"/>
  <c r="R340" i="8" s="1"/>
  <c r="Q203" i="8"/>
  <c r="R203" i="8" s="1"/>
  <c r="Q1094" i="8"/>
  <c r="R1094" i="8" s="1"/>
  <c r="Q595" i="8"/>
  <c r="R595" i="8" s="1"/>
  <c r="Q325" i="8"/>
  <c r="R325" i="8" s="1"/>
  <c r="Q51" i="8"/>
  <c r="R51" i="8" s="1"/>
  <c r="Q270" i="8"/>
  <c r="R270" i="8" s="1"/>
  <c r="Q852" i="8"/>
  <c r="R852" i="8" s="1"/>
  <c r="Q924" i="8"/>
  <c r="R924" i="8" s="1"/>
  <c r="Q1036" i="8"/>
  <c r="R1036" i="8" s="1"/>
  <c r="Q715" i="8"/>
  <c r="R715" i="8" s="1"/>
  <c r="Q452" i="8"/>
  <c r="R452" i="8" s="1"/>
  <c r="Q462" i="8"/>
  <c r="R462" i="8" s="1"/>
  <c r="Q646" i="8"/>
  <c r="R646" i="8" s="1"/>
  <c r="Q618" i="8"/>
  <c r="R618" i="8" s="1"/>
  <c r="Q537" i="8"/>
  <c r="R537" i="8" s="1"/>
  <c r="Q797" i="8"/>
  <c r="R797" i="8" s="1"/>
  <c r="Q317" i="8"/>
  <c r="R317" i="8" s="1"/>
  <c r="Q234" i="8"/>
  <c r="R234" i="8" s="1"/>
  <c r="Q922" i="8"/>
  <c r="R922" i="8" s="1"/>
  <c r="Q88" i="8"/>
  <c r="R88" i="8" s="1"/>
  <c r="Q380" i="8"/>
  <c r="R380" i="8" s="1"/>
  <c r="Q1103" i="8"/>
  <c r="R1103" i="8" s="1"/>
  <c r="Q805" i="8"/>
  <c r="R805" i="8" s="1"/>
  <c r="Q461" i="8"/>
  <c r="R461" i="8" s="1"/>
  <c r="Q528" i="8"/>
  <c r="R528" i="8" s="1"/>
  <c r="Q153" i="8"/>
  <c r="R153" i="8" s="1"/>
  <c r="Q353" i="8"/>
  <c r="R353" i="8" s="1"/>
  <c r="Q1096" i="8"/>
  <c r="R1096" i="8" s="1"/>
  <c r="Q883" i="8"/>
  <c r="R883" i="8" s="1"/>
  <c r="Q696" i="8"/>
  <c r="R696" i="8" s="1"/>
  <c r="Q65" i="8"/>
  <c r="R65" i="8" s="1"/>
  <c r="Q802" i="8"/>
  <c r="R802" i="8" s="1"/>
  <c r="Q19" i="8"/>
  <c r="R19" i="8" s="1"/>
  <c r="Q119" i="8"/>
  <c r="R119" i="8" s="1"/>
  <c r="Q493" i="8"/>
  <c r="R493" i="8" s="1"/>
  <c r="Q834" i="8"/>
  <c r="R834" i="8" s="1"/>
  <c r="Q761" i="8"/>
  <c r="R761" i="8" s="1"/>
  <c r="Q1106" i="8"/>
  <c r="R1106" i="8" s="1"/>
  <c r="Q1121" i="8"/>
  <c r="R1121" i="8" s="1"/>
  <c r="Q1006" i="8"/>
  <c r="R1006" i="8" s="1"/>
  <c r="Q1093" i="8"/>
  <c r="R1093" i="8" s="1"/>
  <c r="Q218" i="8"/>
  <c r="R218" i="8" s="1"/>
  <c r="Q835" i="8"/>
  <c r="R835" i="8" s="1"/>
  <c r="Q196" i="8"/>
  <c r="R196" i="8" s="1"/>
  <c r="Q364" i="8"/>
  <c r="R364" i="8" s="1"/>
  <c r="Q147" i="8"/>
  <c r="R147" i="8" s="1"/>
  <c r="Q841" i="8"/>
  <c r="R841" i="8" s="1"/>
  <c r="Q301" i="8"/>
  <c r="R301" i="8" s="1"/>
  <c r="Q92" i="8"/>
  <c r="R92" i="8" s="1"/>
  <c r="Q702" i="8"/>
  <c r="R702" i="8" s="1"/>
  <c r="Q280" i="8"/>
  <c r="R280" i="8" s="1"/>
  <c r="Q292" i="8"/>
  <c r="R292" i="8" s="1"/>
  <c r="Q727" i="8"/>
  <c r="R727" i="8" s="1"/>
  <c r="Q570" i="8"/>
  <c r="R570" i="8" s="1"/>
  <c r="Q152" i="8"/>
  <c r="R152" i="8" s="1"/>
  <c r="Q830" i="8"/>
  <c r="R830" i="8" s="1"/>
  <c r="Q469" i="8"/>
  <c r="R469" i="8" s="1"/>
  <c r="Q311" i="8"/>
  <c r="R311" i="8" s="1"/>
  <c r="Q765" i="8"/>
  <c r="R765" i="8" s="1"/>
  <c r="Q706" i="8"/>
  <c r="R706" i="8" s="1"/>
  <c r="Q143" i="8"/>
  <c r="R143" i="8" s="1"/>
  <c r="Q730" i="8"/>
  <c r="R730" i="8" s="1"/>
  <c r="Q525" i="8"/>
  <c r="R525" i="8" s="1"/>
  <c r="Q134" i="8"/>
  <c r="R134" i="8" s="1"/>
  <c r="Q524" i="8"/>
  <c r="R524" i="8" s="1"/>
  <c r="Q868" i="8"/>
  <c r="R868" i="8" s="1"/>
  <c r="Q322" i="8"/>
  <c r="R322" i="8" s="1"/>
  <c r="Q954" i="8"/>
  <c r="R954" i="8" s="1"/>
  <c r="Q358" i="8"/>
  <c r="R358" i="8" s="1"/>
  <c r="Q838" i="8"/>
  <c r="R838" i="8" s="1"/>
  <c r="Q587" i="8"/>
  <c r="R587" i="8" s="1"/>
  <c r="Q958" i="8"/>
  <c r="R958" i="8" s="1"/>
  <c r="Q794" i="8"/>
  <c r="R794" i="8" s="1"/>
  <c r="Q1001" i="8"/>
  <c r="R1001" i="8" s="1"/>
  <c r="Q804" i="8"/>
  <c r="R804" i="8" s="1"/>
  <c r="Q15" i="8"/>
  <c r="R15" i="8" s="1"/>
  <c r="Q407" i="8"/>
  <c r="R407" i="8" s="1"/>
  <c r="Q729" i="8"/>
  <c r="R729" i="8" s="1"/>
  <c r="Q859" i="8"/>
  <c r="R859" i="8" s="1"/>
  <c r="Q760" i="8"/>
  <c r="R760" i="8" s="1"/>
  <c r="Q779" i="8"/>
  <c r="R779" i="8" s="1"/>
  <c r="Q510" i="8"/>
  <c r="R510" i="8" s="1"/>
  <c r="Q296" i="8"/>
  <c r="R296" i="8" s="1"/>
  <c r="Q500" i="8"/>
  <c r="R500" i="8" s="1"/>
  <c r="Q122" i="8"/>
  <c r="R122" i="8" s="1"/>
  <c r="Q742" i="8"/>
  <c r="R742" i="8" s="1"/>
  <c r="Q928" i="8"/>
  <c r="R928" i="8" s="1"/>
  <c r="Q673" i="8"/>
  <c r="R673" i="8" s="1"/>
  <c r="Q532" i="8"/>
  <c r="R532" i="8" s="1"/>
  <c r="Q529" i="8"/>
  <c r="R529" i="8" s="1"/>
  <c r="Q767" i="8"/>
  <c r="R767" i="8" s="1"/>
  <c r="Q442" i="8"/>
  <c r="R442" i="8" s="1"/>
  <c r="Q405" i="8"/>
  <c r="R405" i="8" s="1"/>
  <c r="Q170" i="8"/>
  <c r="R170" i="8" s="1"/>
  <c r="Q188" i="8"/>
  <c r="R188" i="8" s="1"/>
  <c r="Q100" i="8"/>
  <c r="R100" i="8" s="1"/>
  <c r="Q21" i="8"/>
  <c r="R21" i="8" s="1"/>
  <c r="Q308" i="8"/>
  <c r="R308" i="8" s="1"/>
  <c r="Q242" i="8"/>
  <c r="R242" i="8" s="1"/>
  <c r="Q652" i="8"/>
  <c r="R652" i="8" s="1"/>
  <c r="Q259" i="8"/>
  <c r="R259" i="8" s="1"/>
  <c r="Q489" i="8"/>
  <c r="R489" i="8" s="1"/>
  <c r="Q679" i="8"/>
  <c r="R679" i="8" s="1"/>
  <c r="Q441" i="8"/>
  <c r="R441" i="8" s="1"/>
  <c r="Q1039" i="8"/>
  <c r="R1039" i="8" s="1"/>
  <c r="Q613" i="8"/>
  <c r="R613" i="8" s="1"/>
  <c r="Q686" i="8"/>
  <c r="R686" i="8" s="1"/>
  <c r="Q78" i="8"/>
  <c r="R78" i="8" s="1"/>
  <c r="Q584" i="8"/>
  <c r="R584" i="8" s="1"/>
  <c r="Q824" i="8"/>
  <c r="R824" i="8" s="1"/>
  <c r="Q546" i="8"/>
  <c r="R546" i="8" s="1"/>
  <c r="Q506" i="8"/>
  <c r="R506" i="8" s="1"/>
  <c r="Q502" i="8"/>
  <c r="R502" i="8" s="1"/>
  <c r="Q919" i="8"/>
  <c r="R919" i="8" s="1"/>
  <c r="Q1059" i="8"/>
  <c r="R1059" i="8" s="1"/>
  <c r="Q1118" i="8"/>
  <c r="R1118" i="8" s="1"/>
  <c r="Q397" i="8"/>
  <c r="R397" i="8" s="1"/>
  <c r="Q176" i="8"/>
  <c r="R176" i="8" s="1"/>
  <c r="Q554" i="8"/>
  <c r="R554" i="8" s="1"/>
  <c r="Q97" i="8"/>
  <c r="R97" i="8" s="1"/>
  <c r="R12" i="5"/>
  <c r="Q678" i="8"/>
  <c r="R678" i="8" s="1"/>
  <c r="Q850" i="8"/>
  <c r="R850" i="8" s="1"/>
  <c r="Q252" i="8"/>
  <c r="R252" i="8" s="1"/>
  <c r="Q72" i="8"/>
  <c r="R72" i="8" s="1"/>
  <c r="Q374" i="8"/>
  <c r="R374" i="8" s="1"/>
  <c r="Q591" i="8"/>
  <c r="R591" i="8" s="1"/>
  <c r="Q585" i="8"/>
  <c r="R585" i="8" s="1"/>
  <c r="Q801" i="8"/>
  <c r="R801" i="8" s="1"/>
  <c r="Q1126" i="8"/>
  <c r="R1126" i="8" s="1"/>
  <c r="Q553" i="8"/>
  <c r="R553" i="8" s="1"/>
  <c r="Q271" i="8"/>
  <c r="R271" i="8" s="1"/>
  <c r="Q1091" i="8"/>
  <c r="R1091" i="8" s="1"/>
  <c r="Q758" i="8"/>
  <c r="R758" i="8" s="1"/>
  <c r="Q424" i="8"/>
  <c r="R424" i="8" s="1"/>
  <c r="Q842" i="8"/>
  <c r="R842" i="8" s="1"/>
  <c r="Q312" i="8"/>
  <c r="R312" i="8" s="1"/>
  <c r="Q512" i="8"/>
  <c r="R512" i="8" s="1"/>
  <c r="Q531" i="8"/>
  <c r="R531" i="8" s="1"/>
  <c r="Q267" i="8"/>
  <c r="R267" i="8" s="1"/>
  <c r="Q1042" i="8"/>
  <c r="R1042" i="8" s="1"/>
  <c r="Q672" i="8"/>
  <c r="R672" i="8" s="1"/>
  <c r="Q684" i="8"/>
  <c r="R684" i="8" s="1"/>
  <c r="Q155" i="8"/>
  <c r="R155" i="8" s="1"/>
  <c r="Q1095" i="8"/>
  <c r="R1095" i="8" s="1"/>
  <c r="Q398" i="8"/>
  <c r="R398" i="8" s="1"/>
  <c r="Q628" i="8"/>
  <c r="R628" i="8" s="1"/>
  <c r="Q371" i="8"/>
  <c r="R371" i="8" s="1"/>
  <c r="Q396" i="8"/>
  <c r="R396" i="8" s="1"/>
  <c r="Q708" i="8"/>
  <c r="R708" i="8" s="1"/>
  <c r="Q1090" i="8"/>
  <c r="R1090" i="8" s="1"/>
  <c r="Q285" i="8"/>
  <c r="R285" i="8" s="1"/>
  <c r="Q177" i="8"/>
  <c r="R177" i="8" s="1"/>
  <c r="Q789" i="8"/>
  <c r="R789" i="8" s="1"/>
  <c r="Q624" i="8"/>
  <c r="R624" i="8" s="1"/>
  <c r="Q195" i="8"/>
  <c r="R195" i="8" s="1"/>
  <c r="Q953" i="8"/>
  <c r="R953" i="8" s="1"/>
  <c r="Q654" i="8"/>
  <c r="R654" i="8" s="1"/>
  <c r="Q439" i="8"/>
  <c r="R439" i="8" s="1"/>
  <c r="Q1131" i="8"/>
  <c r="R1131" i="8" s="1"/>
  <c r="Q357" i="8"/>
  <c r="R357" i="8" s="1"/>
  <c r="Q564" i="8"/>
  <c r="R564" i="8" s="1"/>
  <c r="Q133" i="8"/>
  <c r="R133" i="8" s="1"/>
  <c r="Q602" i="8"/>
  <c r="R602" i="8" s="1"/>
  <c r="Q774" i="8"/>
  <c r="R774" i="8" s="1"/>
  <c r="Q918" i="8"/>
  <c r="R918" i="8" s="1"/>
  <c r="Q342" i="8"/>
  <c r="R342" i="8" s="1"/>
  <c r="Q238" i="8"/>
  <c r="R238" i="8" s="1"/>
  <c r="Q738" i="8"/>
  <c r="R738" i="8" s="1"/>
  <c r="Q225" i="8"/>
  <c r="R225" i="8" s="1"/>
  <c r="Q227" i="8"/>
  <c r="R227" i="8" s="1"/>
  <c r="Q116" i="8"/>
  <c r="R116" i="8" s="1"/>
  <c r="Q865" i="8"/>
  <c r="R865" i="8" s="1"/>
  <c r="Q1138" i="8"/>
  <c r="R1138" i="8" s="1"/>
  <c r="Q245" i="8"/>
  <c r="R245" i="8" s="1"/>
  <c r="Q237" i="8"/>
  <c r="R237" i="8" s="1"/>
  <c r="Q932" i="8"/>
  <c r="R932" i="8" s="1"/>
  <c r="Q386" i="8"/>
  <c r="R386" i="8" s="1"/>
  <c r="Q105" i="8"/>
  <c r="R105" i="8" s="1"/>
  <c r="Q709" i="8"/>
  <c r="R709" i="8" s="1"/>
  <c r="Q281" i="8"/>
  <c r="R281" i="8" s="1"/>
  <c r="Q1054" i="8"/>
  <c r="R1054" i="8" s="1"/>
  <c r="Q609" i="8"/>
  <c r="R609" i="8" s="1"/>
  <c r="Q597" i="8"/>
  <c r="R597" i="8" s="1"/>
  <c r="Q111" i="8"/>
  <c r="R111" i="8" s="1"/>
  <c r="Q847" i="8"/>
  <c r="R847" i="8" s="1"/>
  <c r="Q519" i="8"/>
  <c r="R519" i="8" s="1"/>
  <c r="Q723" i="8"/>
  <c r="R723" i="8" s="1"/>
  <c r="Q220" i="8"/>
  <c r="R220" i="8" s="1"/>
  <c r="Q929" i="8"/>
  <c r="R929" i="8" s="1"/>
  <c r="Q516" i="8"/>
  <c r="R516" i="8" s="1"/>
  <c r="Q884" i="8"/>
  <c r="R884" i="8" s="1"/>
  <c r="Q916" i="8"/>
  <c r="R916" i="8" s="1"/>
  <c r="Q449" i="8"/>
  <c r="R449" i="8" s="1"/>
  <c r="Q753" i="8"/>
  <c r="R753" i="8" s="1"/>
  <c r="Q666" i="8"/>
  <c r="R666" i="8" s="1"/>
  <c r="Q523" i="8"/>
  <c r="R523" i="8" s="1"/>
  <c r="Q185" i="8"/>
  <c r="R185" i="8" s="1"/>
  <c r="Q583" i="8"/>
  <c r="R583" i="8" s="1"/>
  <c r="Q406" i="8"/>
  <c r="R406" i="8" s="1"/>
  <c r="Q890" i="8"/>
  <c r="R890" i="8" s="1"/>
  <c r="Q1077" i="8"/>
  <c r="R1077" i="8" s="1"/>
  <c r="Q160" i="8"/>
  <c r="R160" i="8" s="1"/>
  <c r="Q62" i="8"/>
  <c r="R62" i="8" s="1"/>
  <c r="Q674" i="8"/>
  <c r="R674" i="8" s="1"/>
  <c r="Q378" i="8"/>
  <c r="R378" i="8" s="1"/>
  <c r="Q1053" i="8"/>
  <c r="R1053" i="8" s="1"/>
  <c r="Q34" i="8"/>
  <c r="R34" i="8" s="1"/>
  <c r="Q798" i="8"/>
  <c r="R798" i="8" s="1"/>
  <c r="Q415" i="8"/>
  <c r="R415" i="8" s="1"/>
  <c r="Q530" i="8"/>
  <c r="R530" i="8" s="1"/>
  <c r="Q569" i="8"/>
  <c r="R569" i="8" s="1"/>
  <c r="Q349" i="8"/>
  <c r="R349" i="8" s="1"/>
  <c r="Q403" i="8"/>
  <c r="R403" i="8" s="1"/>
  <c r="Q501" i="8"/>
  <c r="R501" i="8" s="1"/>
  <c r="Q902" i="8"/>
  <c r="R902" i="8" s="1"/>
  <c r="Q691" i="8"/>
  <c r="R691" i="8" s="1"/>
  <c r="Q1134" i="8"/>
  <c r="R1134" i="8" s="1"/>
  <c r="Q968" i="8"/>
  <c r="R968" i="8" s="1"/>
  <c r="Q438" i="8"/>
  <c r="R438" i="8" s="1"/>
  <c r="Q793" i="8"/>
  <c r="R793" i="8" s="1"/>
  <c r="Q193" i="8"/>
  <c r="R193" i="8" s="1"/>
  <c r="Q81" i="8"/>
  <c r="R81" i="8" s="1"/>
  <c r="Q1087" i="8"/>
  <c r="R1087" i="8" s="1"/>
  <c r="Q1070" i="8"/>
  <c r="R1070" i="8" s="1"/>
  <c r="Q458" i="8"/>
  <c r="R458" i="8" s="1"/>
  <c r="Q229" i="8"/>
  <c r="R229" i="8" s="1"/>
  <c r="Q1083" i="8"/>
  <c r="R1083" i="8" s="1"/>
  <c r="Q64" i="8"/>
  <c r="R64" i="8" s="1"/>
  <c r="Q83" i="8"/>
  <c r="R83" i="8" s="1"/>
  <c r="Q549" i="8"/>
  <c r="R549" i="8" s="1"/>
  <c r="Q201" i="8"/>
  <c r="R201" i="8" s="1"/>
  <c r="Q1109" i="8"/>
  <c r="R1109" i="8" s="1"/>
  <c r="Q1089" i="8"/>
  <c r="R1089" i="8" s="1"/>
  <c r="Q429" i="8"/>
  <c r="R429" i="8" s="1"/>
  <c r="Q166" i="8"/>
  <c r="R166" i="8" s="1"/>
  <c r="Q661" i="8"/>
  <c r="R661" i="8" s="1"/>
  <c r="Q309" i="8"/>
  <c r="R309" i="8" s="1"/>
  <c r="Q803" i="8"/>
  <c r="R803" i="8" s="1"/>
  <c r="Q1120" i="8"/>
  <c r="R1120" i="8" s="1"/>
  <c r="Q318" i="8"/>
  <c r="R318" i="8" s="1"/>
  <c r="Q855" i="8"/>
  <c r="R855" i="8" s="1"/>
  <c r="Q984" i="8"/>
  <c r="R984" i="8" s="1"/>
  <c r="Q158" i="8"/>
  <c r="R158" i="8" s="1"/>
  <c r="Q159" i="8"/>
  <c r="R159" i="8" s="1"/>
  <c r="Q701" i="8"/>
  <c r="R701" i="8" s="1"/>
  <c r="Q223" i="8"/>
  <c r="R223" i="8" s="1"/>
  <c r="Q1073" i="8"/>
  <c r="R1073" i="8" s="1"/>
</calcChain>
</file>

<file path=xl/sharedStrings.xml><?xml version="1.0" encoding="utf-8"?>
<sst xmlns="http://schemas.openxmlformats.org/spreadsheetml/2006/main" count="3077" uniqueCount="2382">
  <si>
    <t>Name</t>
  </si>
  <si>
    <t>Symbol</t>
  </si>
  <si>
    <t>Price</t>
  </si>
  <si>
    <t>6 mo%</t>
  </si>
  <si>
    <t>3 mo%</t>
  </si>
  <si>
    <t>Blend%</t>
  </si>
  <si>
    <t>MA Price</t>
  </si>
  <si>
    <t>6mo Price</t>
  </si>
  <si>
    <t>3mo Price</t>
  </si>
  <si>
    <t>SPY</t>
  </si>
  <si>
    <t>Today</t>
  </si>
  <si>
    <t>Lookback</t>
  </si>
  <si>
    <t>yahoo</t>
  </si>
  <si>
    <t>source</t>
  </si>
  <si>
    <t>QQQ</t>
  </si>
  <si>
    <t>TLT</t>
  </si>
  <si>
    <t>DIA</t>
  </si>
  <si>
    <t>IWM</t>
  </si>
  <si>
    <t>EEM</t>
  </si>
  <si>
    <t>EPP</t>
  </si>
  <si>
    <t>EWA</t>
  </si>
  <si>
    <t>EWJ</t>
  </si>
  <si>
    <t>EFA</t>
  </si>
  <si>
    <t>IYR</t>
  </si>
  <si>
    <t>MDY</t>
  </si>
  <si>
    <t>ILF</t>
  </si>
  <si>
    <t>MA Signal</t>
  </si>
  <si>
    <t>RankB</t>
  </si>
  <si>
    <t>Blend</t>
  </si>
  <si>
    <t>R3</t>
  </si>
  <si>
    <t>R6</t>
  </si>
  <si>
    <t>Rank</t>
  </si>
  <si>
    <t>Delta</t>
  </si>
  <si>
    <t>Percentages</t>
  </si>
  <si>
    <t>Prices</t>
  </si>
  <si>
    <t>PowerShares QQQ</t>
  </si>
  <si>
    <t>iShares Dow Jones US Real Estate</t>
  </si>
  <si>
    <t>MidCap SPDRs</t>
  </si>
  <si>
    <t>SPDRs</t>
  </si>
  <si>
    <t>iShares Russell 2000 Index</t>
  </si>
  <si>
    <t>DIAMONDS Trust, Series 1</t>
  </si>
  <si>
    <t>iShares MSCI Emerging Markets Index</t>
  </si>
  <si>
    <t>iShares MSCI Pacific ex-Japan</t>
  </si>
  <si>
    <t>iShares MSCI EAFE Index</t>
  </si>
  <si>
    <t>iShares MSCI Japan Index</t>
  </si>
  <si>
    <t>iShares MSCI Australia Index</t>
  </si>
  <si>
    <t>iShares S&amp;P Latin America 40 Index</t>
  </si>
  <si>
    <t>iShares BCI 20+ Year Treas Bond</t>
  </si>
  <si>
    <t>ETF Replay ranking methodology</t>
  </si>
  <si>
    <t>iShares JPMorgan USD Emerg Markets Bond</t>
  </si>
  <si>
    <t>EMB</t>
  </si>
  <si>
    <t>iShares BCI 1-3 Year Treasury Bond</t>
  </si>
  <si>
    <t>SHY</t>
  </si>
  <si>
    <t>iShares MSCI Brazil Index</t>
  </si>
  <si>
    <t>EWZ</t>
  </si>
  <si>
    <t>streetTRACKS Gold Shares</t>
  </si>
  <si>
    <t>GLD</t>
  </si>
  <si>
    <t>iShares FTSE/Xinhua China 25 Index</t>
  </si>
  <si>
    <t>FXI</t>
  </si>
  <si>
    <t>SPDR S&amp;P Emerging Europe</t>
  </si>
  <si>
    <t>GUR</t>
  </si>
  <si>
    <t>iShares S&amp;P Europe 350 Index</t>
  </si>
  <si>
    <t>IEV</t>
  </si>
  <si>
    <t>PowerShares DB Commodity Idx Trking Fund</t>
  </si>
  <si>
    <t>DBC</t>
  </si>
  <si>
    <t>Energy Select Sector SPDR</t>
  </si>
  <si>
    <t>XLE</t>
  </si>
  <si>
    <t>Financial Select Sector SPDR</t>
  </si>
  <si>
    <t>XLF</t>
  </si>
  <si>
    <t>Claymore/BNY BRIC</t>
  </si>
  <si>
    <t>EEB</t>
  </si>
  <si>
    <t>CurrencyShares Swiss Franc Trust</t>
  </si>
  <si>
    <t>FXF</t>
  </si>
  <si>
    <t>PowerShares DB Agriculture</t>
  </si>
  <si>
    <t>DBA</t>
  </si>
  <si>
    <t>S&amp;P 500</t>
  </si>
  <si>
    <t>Gold</t>
  </si>
  <si>
    <t>Cash</t>
  </si>
  <si>
    <t>ALCOA INC</t>
  </si>
  <si>
    <t>AA</t>
  </si>
  <si>
    <t>AMER EXPRESS INC</t>
  </si>
  <si>
    <t xml:space="preserve">AXP </t>
  </si>
  <si>
    <t>BOEING CO</t>
  </si>
  <si>
    <t>BA</t>
  </si>
  <si>
    <t>BANK OF AMERICA</t>
  </si>
  <si>
    <t>BAC</t>
  </si>
  <si>
    <t>CATERPILLAR INC</t>
  </si>
  <si>
    <t>CAT</t>
  </si>
  <si>
    <t>CISCO SYS</t>
  </si>
  <si>
    <t>CSCO</t>
  </si>
  <si>
    <t>CHEVRON</t>
  </si>
  <si>
    <t>CVX</t>
  </si>
  <si>
    <t>DU PONT E I DE NEM</t>
  </si>
  <si>
    <t>DD</t>
  </si>
  <si>
    <t>WALT DISNEY-DISNEY C</t>
  </si>
  <si>
    <t xml:space="preserve">DIS </t>
  </si>
  <si>
    <t>GEN ELECTRIC CO</t>
  </si>
  <si>
    <t xml:space="preserve">GE </t>
  </si>
  <si>
    <t>HOME DEPOT INC</t>
  </si>
  <si>
    <t xml:space="preserve">HD </t>
  </si>
  <si>
    <t>HEWLETT PACKARD CO</t>
  </si>
  <si>
    <t xml:space="preserve">HPQ </t>
  </si>
  <si>
    <t>INTL BUSINESS MACH</t>
  </si>
  <si>
    <t xml:space="preserve">IBM </t>
  </si>
  <si>
    <t>INTEL CP</t>
  </si>
  <si>
    <t>INTC</t>
  </si>
  <si>
    <t>JOHNSON AND JOHNS DC</t>
  </si>
  <si>
    <t>JNJ</t>
  </si>
  <si>
    <t>JP MORGAN CHASE CO</t>
  </si>
  <si>
    <t xml:space="preserve">JPM </t>
  </si>
  <si>
    <t>COKE</t>
  </si>
  <si>
    <t xml:space="preserve">KO </t>
  </si>
  <si>
    <t>MCDONALDS CP</t>
  </si>
  <si>
    <t>MCD</t>
  </si>
  <si>
    <t>3M COMPANY</t>
  </si>
  <si>
    <t>MMM</t>
  </si>
  <si>
    <t>MERCK CO INC</t>
  </si>
  <si>
    <t xml:space="preserve">MRK </t>
  </si>
  <si>
    <t>MICROSOFT CP</t>
  </si>
  <si>
    <t>MSFT</t>
  </si>
  <si>
    <t>PFIZER</t>
  </si>
  <si>
    <t xml:space="preserve">PFE </t>
  </si>
  <si>
    <t>PROCTER GAMBLE CO</t>
  </si>
  <si>
    <t xml:space="preserve">PG </t>
  </si>
  <si>
    <t>AT&amp;T INC.</t>
  </si>
  <si>
    <t>T</t>
  </si>
  <si>
    <t>TRAVELER'S CO</t>
  </si>
  <si>
    <t>TRV</t>
  </si>
  <si>
    <t>UNITED TECH</t>
  </si>
  <si>
    <t>UTX</t>
  </si>
  <si>
    <t>VERIZON COMMUN</t>
  </si>
  <si>
    <t>VZ</t>
  </si>
  <si>
    <t>WAL MART STORES</t>
  </si>
  <si>
    <t>WMT</t>
  </si>
  <si>
    <t>EXXON MOBIL CP</t>
  </si>
  <si>
    <t>XOM</t>
  </si>
  <si>
    <t>max</t>
  </si>
  <si>
    <t>+1sd</t>
  </si>
  <si>
    <t>avg</t>
  </si>
  <si>
    <t>avg-1sd</t>
  </si>
  <si>
    <t>min</t>
  </si>
  <si>
    <t>sd</t>
  </si>
  <si>
    <t>iShares Dow Jones US Home Construction</t>
  </si>
  <si>
    <t>ITB</t>
  </si>
  <si>
    <t>PowerShares Insured National Muni Bond</t>
  </si>
  <si>
    <t>PZA</t>
  </si>
  <si>
    <t>iShares Dow Jones US Technology</t>
  </si>
  <si>
    <t>IYW</t>
  </si>
  <si>
    <t>Vanguard Information Technology ETF</t>
  </si>
  <si>
    <t>VGT</t>
  </si>
  <si>
    <t>Technology Select Sector SPDR</t>
  </si>
  <si>
    <t>XLK</t>
  </si>
  <si>
    <t>SPDR S&amp;P Retail</t>
  </si>
  <si>
    <t>XRT</t>
  </si>
  <si>
    <t>iShares BCI Aggregate Bond</t>
  </si>
  <si>
    <t>AGG</t>
  </si>
  <si>
    <t>Market Vectors BCI AMT-Free Int Muni</t>
  </si>
  <si>
    <t>ITM</t>
  </si>
  <si>
    <t>Consumer Discretionary SPDR</t>
  </si>
  <si>
    <t>XLY</t>
  </si>
  <si>
    <t>iShares Nasdaq Biotechnology</t>
  </si>
  <si>
    <t>IBB</t>
  </si>
  <si>
    <t>KBW Regional Banking ETF</t>
  </si>
  <si>
    <t>KRE</t>
  </si>
  <si>
    <t>iShares Dow Jones US Financial Sector</t>
  </si>
  <si>
    <t>IYF</t>
  </si>
  <si>
    <t>iShares BCI TIPS Bond</t>
  </si>
  <si>
    <t>TIP</t>
  </si>
  <si>
    <t>iShares BCI Credit Bond</t>
  </si>
  <si>
    <t>CFT</t>
  </si>
  <si>
    <t>Vanguard Financials ETF</t>
  </si>
  <si>
    <t>VFH</t>
  </si>
  <si>
    <t>First Trust Financials AlphaDEX</t>
  </si>
  <si>
    <t>FXO</t>
  </si>
  <si>
    <t>iShares iBoxx $ Invest Grade Corp Bond</t>
  </si>
  <si>
    <t>LQD</t>
  </si>
  <si>
    <t>iShares S&amp;P National Municipal Bond</t>
  </si>
  <si>
    <t>MUB</t>
  </si>
  <si>
    <t>iShares BCI 7-10 Year Treasury</t>
  </si>
  <si>
    <t>IEF</t>
  </si>
  <si>
    <t>PowerShares Emerging Mkts Sovereign Debt</t>
  </si>
  <si>
    <t>PCY</t>
  </si>
  <si>
    <t>Vanguard REIT Index ETF</t>
  </si>
  <si>
    <t>VNQ</t>
  </si>
  <si>
    <t>DJ Wilshire REIT ETF</t>
  </si>
  <si>
    <t>RWR</t>
  </si>
  <si>
    <t>iShares S&amp;P 500 Growth Index</t>
  </si>
  <si>
    <t>IVW</t>
  </si>
  <si>
    <t>First Trust S&amp;P REIT</t>
  </si>
  <si>
    <t>FRI</t>
  </si>
  <si>
    <t>Vanguard Large Cap ETF</t>
  </si>
  <si>
    <t>VV</t>
  </si>
  <si>
    <t>First Trust Consumer Disc AlphaDEX</t>
  </si>
  <si>
    <t>FXD</t>
  </si>
  <si>
    <t>SPDR Barclays Capital TIPS</t>
  </si>
  <si>
    <t>IPE</t>
  </si>
  <si>
    <t>iShares S&amp;P 500 Index</t>
  </si>
  <si>
    <t>IVV</t>
  </si>
  <si>
    <t>iShares Russell 1000 Index</t>
  </si>
  <si>
    <t>IWB</t>
  </si>
  <si>
    <t>iShares Cohen &amp; Steers Realty Majors</t>
  </si>
  <si>
    <t>ICF</t>
  </si>
  <si>
    <t>PowerShares Financial Preferred</t>
  </si>
  <si>
    <t>PGF</t>
  </si>
  <si>
    <t>SPDR S&amp;P Biotech</t>
  </si>
  <si>
    <t>XBI</t>
  </si>
  <si>
    <t>WisdomTree LargeCap Dividend</t>
  </si>
  <si>
    <t>DLN</t>
  </si>
  <si>
    <t>Vanguard Mid-Cap Growth ETF</t>
  </si>
  <si>
    <t>VOT</t>
  </si>
  <si>
    <t>First Trust Technology AlphaDEX</t>
  </si>
  <si>
    <t>FXL</t>
  </si>
  <si>
    <t>iShares Russell Midcap Growth Index</t>
  </si>
  <si>
    <t>IWP</t>
  </si>
  <si>
    <t>iShares S&amp;P 500 Value Index</t>
  </si>
  <si>
    <t>IVE</t>
  </si>
  <si>
    <t>iShares S&amp;P SmallCap 600 Value Index</t>
  </si>
  <si>
    <t>IJS</t>
  </si>
  <si>
    <t>Vanguard Extended Market Index ETF</t>
  </si>
  <si>
    <t>VXF</t>
  </si>
  <si>
    <t>Vanguard High Dividend Yield Indx ETF</t>
  </si>
  <si>
    <t>VYM</t>
  </si>
  <si>
    <t>First Trust Health Care AlphaDEX</t>
  </si>
  <si>
    <t>FXH</t>
  </si>
  <si>
    <t>First Trust Dow Jones Internet Index</t>
  </si>
  <si>
    <t>FDN</t>
  </si>
  <si>
    <t>PowerShares DB Oil</t>
  </si>
  <si>
    <t>DBO</t>
  </si>
  <si>
    <t>iShares Russell Midcap Index</t>
  </si>
  <si>
    <t>IWR</t>
  </si>
  <si>
    <t>iShares S&amp;P SmallCap 600 Index</t>
  </si>
  <si>
    <t>IJR</t>
  </si>
  <si>
    <t>WisdomTree Dividend Top 100</t>
  </si>
  <si>
    <t>DTN</t>
  </si>
  <si>
    <t>PowerShares VRDO Tax-Free Weekly</t>
  </si>
  <si>
    <t>PVI</t>
  </si>
  <si>
    <t>iShares Russell Microcap Index</t>
  </si>
  <si>
    <t>IWC</t>
  </si>
  <si>
    <t>iPath S&amp;P GSCI Crude Oil Tot Ret Idx ETN</t>
  </si>
  <si>
    <t>OIL</t>
  </si>
  <si>
    <t>Rydex S&amp;P Equal Weight</t>
  </si>
  <si>
    <t>RSP</t>
  </si>
  <si>
    <t>iShares MSCI Singapore Index</t>
  </si>
  <si>
    <t>EWS</t>
  </si>
  <si>
    <t>iShares MSCI Hong Kong Index</t>
  </si>
  <si>
    <t>EWH</t>
  </si>
  <si>
    <t>iShares BCI 1-3 Year Credit Bond</t>
  </si>
  <si>
    <t>CSJ</t>
  </si>
  <si>
    <t>Vanguard Small Cap ETF</t>
  </si>
  <si>
    <t>VB</t>
  </si>
  <si>
    <t>iShares MSCI South Korea Index</t>
  </si>
  <si>
    <t>EWY</t>
  </si>
  <si>
    <t>iShares S&amp;P U.S. Preferred Stock Index</t>
  </si>
  <si>
    <t>PFF</t>
  </si>
  <si>
    <t>PowerShares FTSE RAFI US 1000</t>
  </si>
  <si>
    <t>PRF</t>
  </si>
  <si>
    <t>United States Oil</t>
  </si>
  <si>
    <t>USO</t>
  </si>
  <si>
    <t>iShares MSCI Chile Index</t>
  </si>
  <si>
    <t>ECH</t>
  </si>
  <si>
    <t>WisdomTree Emerging Mkts Small Cap Div</t>
  </si>
  <si>
    <t>DGS</t>
  </si>
  <si>
    <t>First Trust Indust/Producer Dur AlphaDEX</t>
  </si>
  <si>
    <t>FXR</t>
  </si>
  <si>
    <t>iShares S&amp;P SmallCap 600 Growth</t>
  </si>
  <si>
    <t>IJT</t>
  </si>
  <si>
    <t>iShares MSCI Malaysia Index</t>
  </si>
  <si>
    <t>EWM</t>
  </si>
  <si>
    <t>Vanguard Value ETF</t>
  </si>
  <si>
    <t>VTV</t>
  </si>
  <si>
    <t>Vanguard Small Cap Value ETF</t>
  </si>
  <si>
    <t>VBR</t>
  </si>
  <si>
    <t>iShares Russell 2000 Growth Index</t>
  </si>
  <si>
    <t>IWO</t>
  </si>
  <si>
    <t>Industrial Select Sector SPDR</t>
  </si>
  <si>
    <t>XLI</t>
  </si>
  <si>
    <t>SPDR BCI Short Term Municipal Bond</t>
  </si>
  <si>
    <t>SHM</t>
  </si>
  <si>
    <t>Vanguard Short-Term Bond ETF</t>
  </si>
  <si>
    <t>BSV</t>
  </si>
  <si>
    <t>Claymore/Zacks Yield Hog</t>
  </si>
  <si>
    <t>CVY</t>
  </si>
  <si>
    <t>PowerShares Dividend Achievers</t>
  </si>
  <si>
    <t>PFM</t>
  </si>
  <si>
    <t>PowerShares DWA Em Mrkts Technical Ldrs</t>
  </si>
  <si>
    <t>PIE</t>
  </si>
  <si>
    <t>PowerShares High Yield Corporate Bond</t>
  </si>
  <si>
    <t>PHB</t>
  </si>
  <si>
    <t>First Trust Value Line Dividend Index</t>
  </si>
  <si>
    <t>FVD</t>
  </si>
  <si>
    <t>PowerShares HighYield Dividend Achievers</t>
  </si>
  <si>
    <t>PEY</t>
  </si>
  <si>
    <t>iShares Russell 2000 Value Index</t>
  </si>
  <si>
    <t>IWN</t>
  </si>
  <si>
    <t>iShares FTSE NAREIT Mortgage REITs</t>
  </si>
  <si>
    <t>REM</t>
  </si>
  <si>
    <t>SPDR S&amp;P Dividend</t>
  </si>
  <si>
    <t>SDY</t>
  </si>
  <si>
    <t>SPDR BCI High Yield Bond</t>
  </si>
  <si>
    <t>JNK</t>
  </si>
  <si>
    <t>iShares iBoxx $ High Yield Corporate Bd</t>
  </si>
  <si>
    <t>HYG</t>
  </si>
  <si>
    <t>PowerShares Water Resources</t>
  </si>
  <si>
    <t>PHO</t>
  </si>
  <si>
    <t>iShares MSCI Germany Index</t>
  </si>
  <si>
    <t>EWG</t>
  </si>
  <si>
    <t>SPDR DJ Wilshire Intl Real Estate</t>
  </si>
  <si>
    <t>RWX</t>
  </si>
  <si>
    <t>PowerShares Listed Private Equity</t>
  </si>
  <si>
    <t>PSP</t>
  </si>
  <si>
    <t>iShares MSCI South Africa Index</t>
  </si>
  <si>
    <t>EZA</t>
  </si>
  <si>
    <t>Vanguard Emerging Markets Stock ETF</t>
  </si>
  <si>
    <t>VWO</t>
  </si>
  <si>
    <t>First Trust Morningstar Div Leaders Idx</t>
  </si>
  <si>
    <t>FDL</t>
  </si>
  <si>
    <t>SPDR S&amp;P China</t>
  </si>
  <si>
    <t>GXC</t>
  </si>
  <si>
    <t>iShares MSCI Taiwan Index</t>
  </si>
  <si>
    <t>EWT</t>
  </si>
  <si>
    <t>SPDR S&amp;P BRIC 40</t>
  </si>
  <si>
    <t>BIK</t>
  </si>
  <si>
    <t>PowerShares DB Energy</t>
  </si>
  <si>
    <t>DBE</t>
  </si>
  <si>
    <t>Market Vectors Russia ETF</t>
  </si>
  <si>
    <t>RSX</t>
  </si>
  <si>
    <t>PowerShares DB G10 Currency Harvest</t>
  </si>
  <si>
    <t>DBV</t>
  </si>
  <si>
    <t>Market Vectors Global Agribusiness ETF</t>
  </si>
  <si>
    <t>MOO</t>
  </si>
  <si>
    <t>SPDR S&amp;P Oil &amp; Gas Exploration &amp; Prod</t>
  </si>
  <si>
    <t>XOP</t>
  </si>
  <si>
    <t>iShares MSCI BRIC Index</t>
  </si>
  <si>
    <t>BKF</t>
  </si>
  <si>
    <t>iShares S&amp;P GSCI Commodity-Indexed Trust</t>
  </si>
  <si>
    <t>GSG</t>
  </si>
  <si>
    <t>Vanguard Pacific Stock ETF</t>
  </si>
  <si>
    <t>VPL</t>
  </si>
  <si>
    <t>iShares MSCI Switzerland Index</t>
  </si>
  <si>
    <t>EWL</t>
  </si>
  <si>
    <t>First Trust Consumer Staples AlphaDEX</t>
  </si>
  <si>
    <t>FXG</t>
  </si>
  <si>
    <t>Materials Select Sector SPDR</t>
  </si>
  <si>
    <t>XLB</t>
  </si>
  <si>
    <t>Vanguard FTSE All-World ex-US ETF</t>
  </si>
  <si>
    <t>VEU</t>
  </si>
  <si>
    <t>iShares COMEX Gold Trust</t>
  </si>
  <si>
    <t>IAU</t>
  </si>
  <si>
    <t>PowerShares DB US Dollar Index Bullish</t>
  </si>
  <si>
    <t>UUP</t>
  </si>
  <si>
    <t>PowerShares DB Gold</t>
  </si>
  <si>
    <t>DGL</t>
  </si>
  <si>
    <t>Vanguard European Stock ETF</t>
  </si>
  <si>
    <t>VGK</t>
  </si>
  <si>
    <t>CurrencyShares Australian Dollar Trust</t>
  </si>
  <si>
    <t>FXA</t>
  </si>
  <si>
    <t>iShares Dow Jones US Basic Materials</t>
  </si>
  <si>
    <t>IYM</t>
  </si>
  <si>
    <t>PowerShares Intl Dividend Achievers</t>
  </si>
  <si>
    <t>PID</t>
  </si>
  <si>
    <t>Vanguard Energy ETF</t>
  </si>
  <si>
    <t>VDE</t>
  </si>
  <si>
    <t>iShares MSCI EAFE Value Index</t>
  </si>
  <si>
    <t>EFV</t>
  </si>
  <si>
    <t>SPDR BCI Intl Treasury Bond ETF</t>
  </si>
  <si>
    <t>BWX</t>
  </si>
  <si>
    <t>SPDR S&amp;P Oil &amp; Gas Equipment &amp; Services</t>
  </si>
  <si>
    <t>XES</t>
  </si>
  <si>
    <t>iShares Silver Trust</t>
  </si>
  <si>
    <t>SLV</t>
  </si>
  <si>
    <t>iShares BCI Short Treasury Bond</t>
  </si>
  <si>
    <t>SHV</t>
  </si>
  <si>
    <t>iShares MSCI Austria Index</t>
  </si>
  <si>
    <t>EWO</t>
  </si>
  <si>
    <t>iShares MSCI EMU Index</t>
  </si>
  <si>
    <t>EZU</t>
  </si>
  <si>
    <t>SPDR BCI Municipal Bond</t>
  </si>
  <si>
    <t>TFI</t>
  </si>
  <si>
    <t>iShares BCI MBS Bond</t>
  </si>
  <si>
    <t>MBB</t>
  </si>
  <si>
    <t>iShares BCI Intermediate Credit Bond</t>
  </si>
  <si>
    <t>CIU</t>
  </si>
  <si>
    <t>Vanguard Growth ETF</t>
  </si>
  <si>
    <t>VUG</t>
  </si>
  <si>
    <t>iShares Russell 1000 Growth Index</t>
  </si>
  <si>
    <t>IWF</t>
  </si>
  <si>
    <t>KBW Bank ETF</t>
  </si>
  <si>
    <t>KBE</t>
  </si>
  <si>
    <t>First Trust Materials AlphaDEX</t>
  </si>
  <si>
    <t>FXZ</t>
  </si>
  <si>
    <t>Vanguard Total Bond Market ETF</t>
  </si>
  <si>
    <t>BND</t>
  </si>
  <si>
    <t>iShares S&amp;P 100 Index</t>
  </si>
  <si>
    <t>OEF</t>
  </si>
  <si>
    <t>PowerShares DWA Technical Leaders</t>
  </si>
  <si>
    <t>PDP</t>
  </si>
  <si>
    <t>iShares BCI 3-7 Year Treasury Bond</t>
  </si>
  <si>
    <t>IEI</t>
  </si>
  <si>
    <t>Consumer Staples Select Sector SPDR</t>
  </si>
  <si>
    <t>XLP</t>
  </si>
  <si>
    <t>Vanguard Intermediate-Term Bond ETF</t>
  </si>
  <si>
    <t>BIV</t>
  </si>
  <si>
    <t>Vanguard Total Stock Market ETF</t>
  </si>
  <si>
    <t>VTI</t>
  </si>
  <si>
    <t>iShares Russell 3000 Index</t>
  </si>
  <si>
    <t>IWV</t>
  </si>
  <si>
    <t>iShares MSCI Mexico Index</t>
  </si>
  <si>
    <t>EWW</t>
  </si>
  <si>
    <t>First Trust AMEX Biotechnology Index</t>
  </si>
  <si>
    <t>FBT</t>
  </si>
  <si>
    <t>iShares S&amp;P MidCap 400 Value Index</t>
  </si>
  <si>
    <t>IJJ</t>
  </si>
  <si>
    <t>Vanguard Mid Cap ETF</t>
  </si>
  <si>
    <t>VO</t>
  </si>
  <si>
    <t>iShares S&amp;P MidCap 400 Index</t>
  </si>
  <si>
    <t>IJH</t>
  </si>
  <si>
    <t>Vanguard Small Cap Growth ETF</t>
  </si>
  <si>
    <t>VBK</t>
  </si>
  <si>
    <t>iShares S&amp;P MidCap 400 Growth Index</t>
  </si>
  <si>
    <t>IJK</t>
  </si>
  <si>
    <t>Health Care Select Sector SPDR</t>
  </si>
  <si>
    <t>XLV</t>
  </si>
  <si>
    <t>iShares Russell 1000 Value Index</t>
  </si>
  <si>
    <t>IWD</t>
  </si>
  <si>
    <t>iShares Dow Jones Select Dividend Index</t>
  </si>
  <si>
    <t>DVY</t>
  </si>
  <si>
    <t>iShares Russell Midcap Value Index</t>
  </si>
  <si>
    <t>IWS</t>
  </si>
  <si>
    <t>WisdomTree Japan Total Dividend</t>
  </si>
  <si>
    <t>DXJ</t>
  </si>
  <si>
    <t>Vanguard Dividend Appreciation ETF</t>
  </si>
  <si>
    <t>VIG</t>
  </si>
  <si>
    <t>WisdomTree Emerg Mkts High-Yielding Eq</t>
  </si>
  <si>
    <t>DEM</t>
  </si>
  <si>
    <t>iShares MSCI Sweden Index</t>
  </si>
  <si>
    <t>EWD</t>
  </si>
  <si>
    <t>iShares MSCI EAFE Small Cap Index</t>
  </si>
  <si>
    <t>SCZ</t>
  </si>
  <si>
    <t>PowerShares FTSE RAFI Emerging Markets</t>
  </si>
  <si>
    <t>PXH</t>
  </si>
  <si>
    <t>iShares MSCI United Kingdom Index</t>
  </si>
  <si>
    <t>EWU</t>
  </si>
  <si>
    <t>iShares Dow Jones Transportation Average</t>
  </si>
  <si>
    <t>IYT</t>
  </si>
  <si>
    <t>Utilities Select Sector SPDR</t>
  </si>
  <si>
    <t>XLU</t>
  </si>
  <si>
    <t>SPDR MSCI ACWI (ex-US)</t>
  </si>
  <si>
    <t>CWI</t>
  </si>
  <si>
    <t>Vanguard Europe Pacific ETF</t>
  </si>
  <si>
    <t>VEA</t>
  </si>
  <si>
    <t>iShares Dow Jones EPAC Select Dividend</t>
  </si>
  <si>
    <t>IDV</t>
  </si>
  <si>
    <t>iShares Dow Jones US Oil &amp; Gas Ex Index</t>
  </si>
  <si>
    <t>IEO</t>
  </si>
  <si>
    <t>iShares Dow Jones US Energy</t>
  </si>
  <si>
    <t>IYE</t>
  </si>
  <si>
    <t>iShares S&amp;P Global Energy</t>
  </si>
  <si>
    <t>IXC</t>
  </si>
  <si>
    <t>iPath Dow Jones-AIG Commodity Idx TR ETN</t>
  </si>
  <si>
    <t>DJP</t>
  </si>
  <si>
    <t>Market Vectors Gold Miners ETF</t>
  </si>
  <si>
    <t>GDX</t>
  </si>
  <si>
    <t>ELEMENTS Rogers Intl Commodity ETN</t>
  </si>
  <si>
    <t>RJI</t>
  </si>
  <si>
    <t>iShares MSCI France Index</t>
  </si>
  <si>
    <t>EWQ</t>
  </si>
  <si>
    <t>iShares MSCI Canada Index</t>
  </si>
  <si>
    <t>EWC</t>
  </si>
  <si>
    <t>iShares Dow Jones US Telecom</t>
  </si>
  <si>
    <t>IYZ</t>
  </si>
  <si>
    <t>iShares Dow Jones US Oil Equipment Index</t>
  </si>
  <si>
    <t>IEZ</t>
  </si>
  <si>
    <t>iPath DJ AIG Copper TR Sub-Idx ETN</t>
  </si>
  <si>
    <t>JJC</t>
  </si>
  <si>
    <t>iShares S&amp;P GSSI Natural Resources</t>
  </si>
  <si>
    <t>IGE</t>
  </si>
  <si>
    <t>DJ Euro STOXX 50 ETF</t>
  </si>
  <si>
    <t>FEZ</t>
  </si>
  <si>
    <t>iPath DJ AIG Natural Gas TR Sub-Idx ETN</t>
  </si>
  <si>
    <t>GAZ</t>
  </si>
  <si>
    <t>First Trust Utilities AlphaDEX</t>
  </si>
  <si>
    <t>FXU</t>
  </si>
  <si>
    <t>PowerShares DB Base Metals</t>
  </si>
  <si>
    <t>DBB</t>
  </si>
  <si>
    <t>CurrencyShares Japanese Yen Trust</t>
  </si>
  <si>
    <t>FXY</t>
  </si>
  <si>
    <t>iShares MSCI Italy Index</t>
  </si>
  <si>
    <t>EWI</t>
  </si>
  <si>
    <t>INDIA FUND (THE)</t>
  </si>
  <si>
    <t>IFN</t>
  </si>
  <si>
    <t>CurrencyShares Euro Trust</t>
  </si>
  <si>
    <t>FXE</t>
  </si>
  <si>
    <t>SPDR BCI 1-3 Month T-Bill</t>
  </si>
  <si>
    <t>BIL</t>
  </si>
  <si>
    <t>First Trust ISE-Revere Natural Gas</t>
  </si>
  <si>
    <t>FCG</t>
  </si>
  <si>
    <t>SPDR S&amp;P Metals &amp; Mining</t>
  </si>
  <si>
    <t>XME</t>
  </si>
  <si>
    <t>Market Vectors Coal ETF</t>
  </si>
  <si>
    <t>KOL</t>
  </si>
  <si>
    <t>PowerShares WilderHill Clean Energy</t>
  </si>
  <si>
    <t>PBW</t>
  </si>
  <si>
    <t>iShares MSCI Spain Index</t>
  </si>
  <si>
    <t>EWP</t>
  </si>
  <si>
    <t>ELEMENTS Rogers Intl Commodity Agric ETN</t>
  </si>
  <si>
    <t>RJA</t>
  </si>
  <si>
    <t>United States Natural Gas</t>
  </si>
  <si>
    <t>UNG</t>
  </si>
  <si>
    <t>Treasuries</t>
  </si>
  <si>
    <t>SMA</t>
  </si>
  <si>
    <t>Blended monthly rebalancing</t>
  </si>
  <si>
    <t>13 ETF portfolio</t>
  </si>
  <si>
    <t>UNH</t>
  </si>
  <si>
    <t>UNITED HEALTH</t>
  </si>
  <si>
    <t>WCM/BNY Mellon Focused Growth ADR ETF</t>
  </si>
  <si>
    <t>AADR</t>
  </si>
  <si>
    <t>MSCI All Country Asia Information Technology Index Fund</t>
  </si>
  <si>
    <t>AAIT</t>
  </si>
  <si>
    <t>MSCI All Country Asia ex Japan Index Fund</t>
  </si>
  <si>
    <t>AAXJ</t>
  </si>
  <si>
    <t>ABC High Dividend ETF</t>
  </si>
  <si>
    <t>ABCS</t>
  </si>
  <si>
    <t>Accuvest Global Opportunities ETF</t>
  </si>
  <si>
    <t>ACCU</t>
  </si>
  <si>
    <t>SPDR MSCI ACWI IMI ETF</t>
  </si>
  <si>
    <t>ACIM</t>
  </si>
  <si>
    <t>MSCI All Country World Index Fund</t>
  </si>
  <si>
    <t>ACWI</t>
  </si>
  <si>
    <t>MSCI All Country World Minimum Volatility Index Fund</t>
  </si>
  <si>
    <t>ACWV</t>
  </si>
  <si>
    <t>MSCI ACWI ex US Index Fund</t>
  </si>
  <si>
    <t>ACWX</t>
  </si>
  <si>
    <t>BLDRS Asia 50 ADR Index</t>
  </si>
  <si>
    <t>ADRA</t>
  </si>
  <si>
    <t>BLDRS Developed Markets 100 ADR Index</t>
  </si>
  <si>
    <t>ADRD</t>
  </si>
  <si>
    <t>BLDRS Emerging Markets 50 ADR Index</t>
  </si>
  <si>
    <t>ADRE</t>
  </si>
  <si>
    <t>BLDRS Europe 100 ADR Index</t>
  </si>
  <si>
    <t>ADRU</t>
  </si>
  <si>
    <t>Market Vectors-Africa Index ETF</t>
  </si>
  <si>
    <t>AFK</t>
  </si>
  <si>
    <t>GEMS Composite ETF</t>
  </si>
  <si>
    <t>AGEM</t>
  </si>
  <si>
    <t>DB Agriculture Long ETN</t>
  </si>
  <si>
    <t>AGF</t>
  </si>
  <si>
    <t>Accuvest Global Long Short ETF</t>
  </si>
  <si>
    <t>AGLS</t>
  </si>
  <si>
    <t>Physical Asian Gold Shares</t>
  </si>
  <si>
    <t>AGOL</t>
  </si>
  <si>
    <t>Barclays Agency Bond</t>
  </si>
  <si>
    <t>AGZ</t>
  </si>
  <si>
    <t>iShares S&amp;P Asia 50 Index</t>
  </si>
  <si>
    <t>AIA</t>
  </si>
  <si>
    <t>Asia Local Debt Fund</t>
  </si>
  <si>
    <t>ALD</t>
  </si>
  <si>
    <t>AlphaClone Alternative Alpha ETF</t>
  </si>
  <si>
    <t>ALFA</t>
  </si>
  <si>
    <t>Diversified Alternatives Trust</t>
  </si>
  <si>
    <t>ALT</t>
  </si>
  <si>
    <t>Alerian MLP Index ETN</t>
  </si>
  <si>
    <t>AMJ</t>
  </si>
  <si>
    <t>Alerian MLP ETF</t>
  </si>
  <si>
    <t>AMLP</t>
  </si>
  <si>
    <t>Utilities Sector Bond Fund</t>
  </si>
  <si>
    <t>AMPS</t>
  </si>
  <si>
    <t>ETRACS Alerian MLP Index ETN</t>
  </si>
  <si>
    <t>AMU</t>
  </si>
  <si>
    <t>FTSE Andean 40 ETF</t>
  </si>
  <si>
    <t>AND</t>
  </si>
  <si>
    <t>Market Vectors Fallen Angel ETF</t>
  </si>
  <si>
    <t>ANGL</t>
  </si>
  <si>
    <t>S&amp;P Aggressive Allocation</t>
  </si>
  <si>
    <t>AOA</t>
  </si>
  <si>
    <t>S&amp;P Conservative Allocation</t>
  </si>
  <si>
    <t>AOK</t>
  </si>
  <si>
    <t>S&amp;P Moderate Allocation</t>
  </si>
  <si>
    <t>AOM</t>
  </si>
  <si>
    <t>S&amp;P Growth Allocation</t>
  </si>
  <si>
    <t>AOR</t>
  </si>
  <si>
    <t>FTSE Argentina 20 ETF</t>
  </si>
  <si>
    <t>ARGT</t>
  </si>
  <si>
    <t>FTSE ASEAN 40 ETF</t>
  </si>
  <si>
    <t>ASEA</t>
  </si>
  <si>
    <t>Australia Bond Index Fund</t>
  </si>
  <si>
    <t>AUD</t>
  </si>
  <si>
    <t>Australia &amp; New Zealand Debt Fund</t>
  </si>
  <si>
    <t>AUNZ</t>
  </si>
  <si>
    <t>Australia Dividend Fund</t>
  </si>
  <si>
    <t>AUSE</t>
  </si>
  <si>
    <t>MSCI ACWI ex US Consumer Discretionary Sector Index Fund</t>
  </si>
  <si>
    <t>AXDI</t>
  </si>
  <si>
    <t>MSCI ACWI ex US Energy Sector Index Fund</t>
  </si>
  <si>
    <t>AXEN</t>
  </si>
  <si>
    <t>MSCI ACWI ex US Financials Sector Index Fund</t>
  </si>
  <si>
    <t>AXFN</t>
  </si>
  <si>
    <t>MSCI ACWI ex US Health Care Sector Index Fund</t>
  </si>
  <si>
    <t>AXHE</t>
  </si>
  <si>
    <t>MSCI ACWI ex US Industrials Sector Index Fund</t>
  </si>
  <si>
    <t>AXID</t>
  </si>
  <si>
    <t>MSCI ACWI ex US Information Technology Sector Index Fund</t>
  </si>
  <si>
    <t>AXIT</t>
  </si>
  <si>
    <t>Asia Pacific ex-Japan Fund</t>
  </si>
  <si>
    <t>AXJL</t>
  </si>
  <si>
    <t>MSCI All Country Asia ex Japan Small Cap Index Fund</t>
  </si>
  <si>
    <t>AXJS</t>
  </si>
  <si>
    <t>MSCI ACWI ex US Materials Sector Index Fund</t>
  </si>
  <si>
    <t>AXMT</t>
  </si>
  <si>
    <t>MSCI ACWI ex US Consumer Staples Sector Index Fund</t>
  </si>
  <si>
    <t>AXSL</t>
  </si>
  <si>
    <t>MSCI ACWI ex US Telecommunication Services Sector Index Fund</t>
  </si>
  <si>
    <t>AXTE</t>
  </si>
  <si>
    <t>MSCI ACWI ex US Utilities Sector Index Fund</t>
  </si>
  <si>
    <t>AXUT</t>
  </si>
  <si>
    <t>GEMS Asia 8 ETN</t>
  </si>
  <si>
    <t>AYT</t>
  </si>
  <si>
    <t>Build America Bond Portfolio</t>
  </si>
  <si>
    <t>BAB</t>
  </si>
  <si>
    <t>SPDR Nuveen Barclays Capital Build America Bond ETF</t>
  </si>
  <si>
    <t>BABS</t>
  </si>
  <si>
    <t>Dow Jones-UBS Cotton Total Return Sub-Index ETN</t>
  </si>
  <si>
    <t>BAL</t>
  </si>
  <si>
    <t>S&amp;P 500 Crude Oil Linked ETN</t>
  </si>
  <si>
    <t>BARL</t>
  </si>
  <si>
    <t>Market Vectors Biotech ETF</t>
  </si>
  <si>
    <t>BBH</t>
  </si>
  <si>
    <t>Pure Beta Broad Commodity ETN</t>
  </si>
  <si>
    <t>BCM</t>
  </si>
  <si>
    <t>E-TRACS Linked to the Wells Fargo Business Development Company Index</t>
  </si>
  <si>
    <t>BDCS</t>
  </si>
  <si>
    <t>DB Base Metals Long ETN</t>
  </si>
  <si>
    <t>BDG</t>
  </si>
  <si>
    <t>BICK Index Fund</t>
  </si>
  <si>
    <t>BICK</t>
  </si>
  <si>
    <t>Market Vectors Gaming ETF</t>
  </si>
  <si>
    <t>BJK</t>
  </si>
  <si>
    <t>Senior Loan Portfolio</t>
  </si>
  <si>
    <t>BKLN</t>
  </si>
  <si>
    <t>DJ-UBS Commodity Index 2-4-6 Blended Futures ETN</t>
  </si>
  <si>
    <t>BLND</t>
  </si>
  <si>
    <t>Pure Beta Precious Metals ETN</t>
  </si>
  <si>
    <t>BLNG</t>
  </si>
  <si>
    <t>Vanguard Long-Term Bond ETF</t>
  </si>
  <si>
    <t>BLV</t>
  </si>
  <si>
    <t>United States Brent Oil Fund</t>
  </si>
  <si>
    <t>BNO</t>
  </si>
  <si>
    <t>STREAM S&amp;P Dynamic Roll Global Commodities Fund</t>
  </si>
  <si>
    <t>BNPC</t>
  </si>
  <si>
    <t>Total Return Exchange-Traded Fund</t>
  </si>
  <si>
    <t>BOND</t>
  </si>
  <si>
    <t>LatAm Aggregate Bond ETF</t>
  </si>
  <si>
    <t>BONO</t>
  </si>
  <si>
    <t>Brazil Financials ETF</t>
  </si>
  <si>
    <t>BRAF</t>
  </si>
  <si>
    <t>Brazil Consumer ETF</t>
  </si>
  <si>
    <t>BRAQ</t>
  </si>
  <si>
    <t>Brazil Mid Cap ETF</t>
  </si>
  <si>
    <t>BRAZ</t>
  </si>
  <si>
    <t>Market Vectors Brazil Small-Cap ETF</t>
  </si>
  <si>
    <t>BRF</t>
  </si>
  <si>
    <t>Brazil Infrastructure Index Fund</t>
  </si>
  <si>
    <t>BRXX</t>
  </si>
  <si>
    <t xml:space="preserve">BulletShares 2013 Corporate Bond ETF </t>
  </si>
  <si>
    <t>BSCD</t>
  </si>
  <si>
    <t xml:space="preserve">BulletShares 2014 Corporate Bond ETF </t>
  </si>
  <si>
    <t>BSCE</t>
  </si>
  <si>
    <t xml:space="preserve">BulletShares 2015 Corporate Bond ETF </t>
  </si>
  <si>
    <t>BSCF</t>
  </si>
  <si>
    <t>BulletShares 2016 Corporate Bond ETF</t>
  </si>
  <si>
    <t>BSCG</t>
  </si>
  <si>
    <t xml:space="preserve">BulletShares 2017 Corporate Bond ETF </t>
  </si>
  <si>
    <t>BSCH</t>
  </si>
  <si>
    <t>BulletShares 2018 Corporate Bond ETF</t>
  </si>
  <si>
    <t>BSCI</t>
  </si>
  <si>
    <t>BulletShares 2019 Corporate Bond ETF</t>
  </si>
  <si>
    <t>BSCJ</t>
  </si>
  <si>
    <t>BulletShares 2020 Corporate Bond ETF</t>
  </si>
  <si>
    <t>BSCK</t>
  </si>
  <si>
    <t>BulletShares 2013 High Yield Corporate Bond ETF</t>
  </si>
  <si>
    <t>BSJD</t>
  </si>
  <si>
    <t>BulletShares 2014 High Yield Corporate Bond ETF</t>
  </si>
  <si>
    <t>BSJE</t>
  </si>
  <si>
    <t>BulletShares 2015 High Yield Corporate Bond ETF</t>
  </si>
  <si>
    <t>BSJF</t>
  </si>
  <si>
    <t>BulletShares 2016 High Yield Corporate Bond ETF</t>
  </si>
  <si>
    <t>BSJG</t>
  </si>
  <si>
    <t>BulletShares 2017 High Yield Corporate Bond ETF</t>
  </si>
  <si>
    <t>BSJH</t>
  </si>
  <si>
    <t>BulletShares 2018 High Yield Corporate Bond ETF</t>
  </si>
  <si>
    <t>BSJI</t>
  </si>
  <si>
    <t>U.S. Market Neutral Anti-Beta Fund</t>
  </si>
  <si>
    <t>BTAL</t>
  </si>
  <si>
    <t>Germany Bond Index Fund</t>
  </si>
  <si>
    <t>BUND</t>
  </si>
  <si>
    <t>DB German Bund Futures ETN</t>
  </si>
  <si>
    <t>BUNL</t>
  </si>
  <si>
    <t>iPath CBOE S&amp;P 500 BuyWrite Index ETN</t>
  </si>
  <si>
    <t>BWV</t>
  </si>
  <si>
    <t>SPDR Barclays Capital Short Term International Treasury Bond ETF</t>
  </si>
  <si>
    <t>BWZ</t>
  </si>
  <si>
    <t>Dreyfus Brazilian Real Fund</t>
  </si>
  <si>
    <t>BZF</t>
  </si>
  <si>
    <t>Canada Bond Index Fund</t>
  </si>
  <si>
    <t>CAD</t>
  </si>
  <si>
    <t>Pure Beta Coffee ETN</t>
  </si>
  <si>
    <t>CAFE</t>
  </si>
  <si>
    <t>Sugar Fund</t>
  </si>
  <si>
    <t>CANE</t>
  </si>
  <si>
    <t>NASDAQ Global Auto Index Fund</t>
  </si>
  <si>
    <t>CARZ</t>
  </si>
  <si>
    <t>SPDR Barclays Capital Issuer Scored Corporate Bond ETF</t>
  </si>
  <si>
    <t>CBND</t>
  </si>
  <si>
    <t>Dreyfus Commodity Currency Fund</t>
  </si>
  <si>
    <t>CCX</t>
  </si>
  <si>
    <t>Commodity Country Equity Fund</t>
  </si>
  <si>
    <t>CCXE</t>
  </si>
  <si>
    <t>Emerging Markets Corporate Bond Fund</t>
  </si>
  <si>
    <t>CEMB</t>
  </si>
  <si>
    <t>Dreyfus Emerging Currency Fund</t>
  </si>
  <si>
    <t>CEW</t>
  </si>
  <si>
    <t>Claymore S&amp;P Global Water</t>
  </si>
  <si>
    <t>CGW</t>
  </si>
  <si>
    <t>U.S. Market Neutral Value Fund</t>
  </si>
  <si>
    <t>CHEP</t>
  </si>
  <si>
    <t>China Energy ETF</t>
  </si>
  <si>
    <t>CHIE</t>
  </si>
  <si>
    <t>China Industrials ETF</t>
  </si>
  <si>
    <t>CHII</t>
  </si>
  <si>
    <t>China Materials ETF</t>
  </si>
  <si>
    <t>CHIM</t>
  </si>
  <si>
    <t>China Consumer ETF</t>
  </si>
  <si>
    <t>CHIQ</t>
  </si>
  <si>
    <t>China Financials ETF</t>
  </si>
  <si>
    <t>CHIX</t>
  </si>
  <si>
    <t>Market Vectors Renminbi Bond ETF</t>
  </si>
  <si>
    <t>CHLC</t>
  </si>
  <si>
    <t>Pure Beta Cocoa ETN</t>
  </si>
  <si>
    <t>CHOC</t>
  </si>
  <si>
    <t>INDXX China Infrastructure Index Fund</t>
  </si>
  <si>
    <t>CHXX</t>
  </si>
  <si>
    <t>10+ Year Credit Bond Fund</t>
  </si>
  <si>
    <t>CLY</t>
  </si>
  <si>
    <t>Barclays CMBS Bond Fund</t>
  </si>
  <si>
    <t>CMBS</t>
  </si>
  <si>
    <t>iShares S&amp;P California Municipal Bond</t>
  </si>
  <si>
    <t>CMF</t>
  </si>
  <si>
    <t>IQ Canada Small Cap ETF</t>
  </si>
  <si>
    <t>CNDA</t>
  </si>
  <si>
    <t>Canada Preferred ETF</t>
  </si>
  <si>
    <t>CNPF</t>
  </si>
  <si>
    <t>Market Vectors-Chinese Renminbi/USD ETN</t>
  </si>
  <si>
    <t>CNY</t>
  </si>
  <si>
    <t>USD Covered Bond</t>
  </si>
  <si>
    <t>COBO</t>
  </si>
  <si>
    <t>Market Vectors Colombia ETF</t>
  </si>
  <si>
    <t>COLX</t>
  </si>
  <si>
    <t>Copper Miners ETF</t>
  </si>
  <si>
    <t>COPX</t>
  </si>
  <si>
    <t>Corn Fund</t>
  </si>
  <si>
    <t>CORN</t>
  </si>
  <si>
    <t>Investment Grade Corporate Bond Index Fund</t>
  </si>
  <si>
    <t>CORP</t>
  </si>
  <si>
    <t>iPath DJ AIG Livestock TR Sub-Idx ETN</t>
  </si>
  <si>
    <t>COW</t>
  </si>
  <si>
    <t>United States Copper Index Fund</t>
  </si>
  <si>
    <t>CPER</t>
  </si>
  <si>
    <t>IQ Real Return ETF</t>
  </si>
  <si>
    <t>CPI</t>
  </si>
  <si>
    <t>China Technology ETF</t>
  </si>
  <si>
    <t>CQQQ</t>
  </si>
  <si>
    <t>Thomson Reuters/Jefferies CRB Global Commodity Equity Index Fund</t>
  </si>
  <si>
    <t>CRBQ</t>
  </si>
  <si>
    <t>IQ Global Agribusiness Small Cap ETF</t>
  </si>
  <si>
    <t>CROP</t>
  </si>
  <si>
    <t>WTI Crude Oil Fund</t>
  </si>
  <si>
    <t>CRUD</t>
  </si>
  <si>
    <t>Claymore/Clear Spin-Off</t>
  </si>
  <si>
    <t>CSD</t>
  </si>
  <si>
    <t>Long/Short Liquid Index (Net) ETN</t>
  </si>
  <si>
    <t>CSLS</t>
  </si>
  <si>
    <t>Credit Suisse 130/30</t>
  </si>
  <si>
    <t>CSM</t>
  </si>
  <si>
    <t>Merger Arbitrage Liquid Index</t>
  </si>
  <si>
    <t>CSMA</t>
  </si>
  <si>
    <t>Market Neutral Equity ETN</t>
  </si>
  <si>
    <t>CSMN</t>
  </si>
  <si>
    <t>Pure Beta Cotton ETN</t>
  </si>
  <si>
    <t>CTNN</t>
  </si>
  <si>
    <t>ISE Global Copper Index Fund</t>
  </si>
  <si>
    <t>CU</t>
  </si>
  <si>
    <t>Pure Beta Copper ETN</t>
  </si>
  <si>
    <t>CUPM</t>
  </si>
  <si>
    <t>Claymore/Clear Global Timber Index</t>
  </si>
  <si>
    <t>CUT</t>
  </si>
  <si>
    <t xml:space="preserve">C-Tracks ETN Citi Volatility Index Total Return </t>
  </si>
  <si>
    <t>CVOL</t>
  </si>
  <si>
    <t>SPDR Barclays Capital Convertible Bond ETF</t>
  </si>
  <si>
    <t>CWB</t>
  </si>
  <si>
    <t>SPDR BCI California Municipal Bond</t>
  </si>
  <si>
    <t>CXA</t>
  </si>
  <si>
    <t>Dreyfus Chinese Yuan Fund</t>
  </si>
  <si>
    <t>CYB</t>
  </si>
  <si>
    <t>Claymore/Zacks Mid-Cap Core</t>
  </si>
  <si>
    <t>CZA</t>
  </si>
  <si>
    <t>MSCI Brazil Hedged Equity Fund</t>
  </si>
  <si>
    <t>DBBR</t>
  </si>
  <si>
    <t>MSCI Canada Hedged Equity Fund</t>
  </si>
  <si>
    <t>DBCN</t>
  </si>
  <si>
    <t>MSCI EAFE Hedged Equity Fund</t>
  </si>
  <si>
    <t>DBEF</t>
  </si>
  <si>
    <t>MSCI Emerging Markets Equity Fund</t>
  </si>
  <si>
    <t>DBEM</t>
  </si>
  <si>
    <t>MSCI Japan Hedged Equity Fund</t>
  </si>
  <si>
    <t>DBJP</t>
  </si>
  <si>
    <t>PowerShares DB Precious Metals</t>
  </si>
  <si>
    <t>DBP</t>
  </si>
  <si>
    <t>PowerShares DB Silver</t>
  </si>
  <si>
    <t>DBS</t>
  </si>
  <si>
    <t>WisdomTree International Utilities</t>
  </si>
  <si>
    <t>DBU</t>
  </si>
  <si>
    <t>Seasonal Natural Gas ETN</t>
  </si>
  <si>
    <t>DCNG</t>
  </si>
  <si>
    <t>Claymore/Sabrient Defender</t>
  </si>
  <si>
    <t>DEF</t>
  </si>
  <si>
    <t>DB US Deflation ETN</t>
  </si>
  <si>
    <t>DEFL</t>
  </si>
  <si>
    <t>WisdomTree SmallCap Dividend</t>
  </si>
  <si>
    <t>DES</t>
  </si>
  <si>
    <t>WisdomTree Europe High-Yielding Equity</t>
  </si>
  <si>
    <t>DEW</t>
  </si>
  <si>
    <t>WisdomTree Europe SmallCap Dividend</t>
  </si>
  <si>
    <t>DFE</t>
  </si>
  <si>
    <t>WisdomTree Japan SmallCap Dividend</t>
  </si>
  <si>
    <t>DFJ</t>
  </si>
  <si>
    <t>US Treasury 5-year Bull ETN</t>
  </si>
  <si>
    <t>DFVL</t>
  </si>
  <si>
    <t>SPDR DJ Global Titans</t>
  </si>
  <si>
    <t>DGT</t>
  </si>
  <si>
    <t>WisdomTree High-Yielding Equity</t>
  </si>
  <si>
    <t>DHS</t>
  </si>
  <si>
    <t>WisdomTree International MidCap Dividend</t>
  </si>
  <si>
    <t>DIM</t>
  </si>
  <si>
    <t>Pure Beta Agriculture ETN</t>
  </si>
  <si>
    <t>DIRT</t>
  </si>
  <si>
    <t>DJ-UBS Commodity Index Total Return ETN</t>
  </si>
  <si>
    <t>DJCI</t>
  </si>
  <si>
    <t>US Treasury Long Bond Bull ETN</t>
  </si>
  <si>
    <t>DLBL</t>
  </si>
  <si>
    <t>WisdomTree International SmallCap Div</t>
  </si>
  <si>
    <t>DLS</t>
  </si>
  <si>
    <t>WisdomTree Japan High-Yielding Equity</t>
  </si>
  <si>
    <t>DNL</t>
  </si>
  <si>
    <t>ELEMENTS DJ High Yield Select 10 ETN</t>
  </si>
  <si>
    <t>DOD</t>
  </si>
  <si>
    <t>WisdomTree International LargeCap Div</t>
  </si>
  <si>
    <t>DOL</t>
  </si>
  <si>
    <t>WisdomTree MidCap Dividend</t>
  </si>
  <si>
    <t>DON</t>
  </si>
  <si>
    <t>WisdomTree International Div Top 100</t>
  </si>
  <si>
    <t>DOO</t>
  </si>
  <si>
    <t>DB Commodity Long ETN</t>
  </si>
  <si>
    <t>DPU</t>
  </si>
  <si>
    <t>Global Big Pharma ETN</t>
  </si>
  <si>
    <t>DRGS</t>
  </si>
  <si>
    <t>WisdomTree International Real Estate</t>
  </si>
  <si>
    <t>DRW</t>
  </si>
  <si>
    <t>iShares KLD 400 Social Index</t>
  </si>
  <si>
    <t>DSI</t>
  </si>
  <si>
    <t>Chinese Yuan Dim Sum Bond Portfolio</t>
  </si>
  <si>
    <t>DSUM</t>
  </si>
  <si>
    <t>WisdomTree Total Dividend</t>
  </si>
  <si>
    <t>DTD</t>
  </si>
  <si>
    <t>WisdomTree DEFA High-Yielding Equity</t>
  </si>
  <si>
    <t>DTH</t>
  </si>
  <si>
    <t>US Treasury 2-Year Bull ETN</t>
  </si>
  <si>
    <t>DTUL</t>
  </si>
  <si>
    <t>US Treasury 10-Year Bull ETN</t>
  </si>
  <si>
    <t>DTYL</t>
  </si>
  <si>
    <t>Asia/Pacific Dividend 30 Index Fund</t>
  </si>
  <si>
    <t>DVYA</t>
  </si>
  <si>
    <t>Emerging Markets Dividend Index Fund</t>
  </si>
  <si>
    <t>DVYE</t>
  </si>
  <si>
    <t>DWA SmallCap Technical Leaders Portfolio</t>
  </si>
  <si>
    <t>DWAS</t>
  </si>
  <si>
    <t>WisdomTree DEFA</t>
  </si>
  <si>
    <t>DWM</t>
  </si>
  <si>
    <t>SPDR S&amp;P International Dividend ETF</t>
  </si>
  <si>
    <t>DWX</t>
  </si>
  <si>
    <t>Europe MSCI EAFE ESG Index ETF</t>
  </si>
  <si>
    <t>EAPS</t>
  </si>
  <si>
    <t>SPDR Barclays Capital Emerging Markets Local Bond ETF</t>
  </si>
  <si>
    <t>EBND</t>
  </si>
  <si>
    <t>MSCI China Small Cap Index Fund</t>
  </si>
  <si>
    <t>ECNS</t>
  </si>
  <si>
    <t>Dow Jones Emerging Markets Consumer Titans Index Fund</t>
  </si>
  <si>
    <t>ECON</t>
  </si>
  <si>
    <t>MSCI Denmark Capped Investable Market Index Fund</t>
  </si>
  <si>
    <t>EDEN</t>
  </si>
  <si>
    <t>SPDR S&amp;P Emerging Markets Dividend ETF</t>
  </si>
  <si>
    <t>EDIV</t>
  </si>
  <si>
    <t>Vanguard Extended Dur Tre Idx ETF</t>
  </si>
  <si>
    <t>EDV</t>
  </si>
  <si>
    <t>S&amp;P Emerging Markets High Beta Portfolio</t>
  </si>
  <si>
    <t>EEHB</t>
  </si>
  <si>
    <t>S&amp;P Emerging Markets Low Volatility Portfolio</t>
  </si>
  <si>
    <t>EELV</t>
  </si>
  <si>
    <t>MSCI Emerging Markets EMEA Index Fund</t>
  </si>
  <si>
    <t>EEME</t>
  </si>
  <si>
    <t>MSCI Emerging Markets Latin America Index Fund</t>
  </si>
  <si>
    <t>EEML</t>
  </si>
  <si>
    <t>MSCI Emerging Markets Small Cap Index Fund ETF</t>
  </si>
  <si>
    <t>EEMS</t>
  </si>
  <si>
    <t>MSCI Emerging Markets Minimum Volatility Index Fund</t>
  </si>
  <si>
    <t>EEMV</t>
  </si>
  <si>
    <t>WisdomTree SmallCap Earnings</t>
  </si>
  <si>
    <t>EES</t>
  </si>
  <si>
    <t>MSCI EAFE Minimum Volatility Index Fund</t>
  </si>
  <si>
    <t>EFAV</t>
  </si>
  <si>
    <t>iShares MSCI EAFE Growth Index</t>
  </si>
  <si>
    <t>EFG</t>
  </si>
  <si>
    <t>MSCI Finland Capped Investable Market Index Fund</t>
  </si>
  <si>
    <t>EFNL</t>
  </si>
  <si>
    <t>Egypt Index ETF</t>
  </si>
  <si>
    <t>EGPT</t>
  </si>
  <si>
    <t>MSCI Emerging Markets Growth Index Fund</t>
  </si>
  <si>
    <t>EGRW</t>
  </si>
  <si>
    <t>MSCI Indonesia Investable Market Index Fund</t>
  </si>
  <si>
    <t>EIDO</t>
  </si>
  <si>
    <t>ETRACS Next Generation Internet ETN</t>
  </si>
  <si>
    <t>EIPO</t>
  </si>
  <si>
    <t>MSCI Ireland Capped Investable Market Index Fund</t>
  </si>
  <si>
    <t>EIRL</t>
  </si>
  <si>
    <t>MSCI Israel Capped Investable Market Index Fund</t>
  </si>
  <si>
    <t>EIS</t>
  </si>
  <si>
    <t>Emerging Markets Local Debt Fund</t>
  </si>
  <si>
    <t>ELD</t>
  </si>
  <si>
    <t>SPDR DJ Wilshire Large Cap</t>
  </si>
  <si>
    <t>ELR</t>
  </si>
  <si>
    <t>EMCB</t>
  </si>
  <si>
    <t>SPDR BofA Merrill Lynch Emerging Markets Corporate Bond ETF</t>
  </si>
  <si>
    <t>EMCD</t>
  </si>
  <si>
    <t>MSCI Emerging Markets Consumer Discretionary Sector Fund</t>
  </si>
  <si>
    <t>EMDI</t>
  </si>
  <si>
    <t>MSCI Emerging Markets Energy Sector Capped Index Fund</t>
  </si>
  <si>
    <t>EMEY</t>
  </si>
  <si>
    <t>MSCI Emerging Markets Financials Sector Index Fund</t>
  </si>
  <si>
    <t>EMFN</t>
  </si>
  <si>
    <t>SPDR MSCI EM 50 ETF</t>
  </si>
  <si>
    <t>EMFT</t>
  </si>
  <si>
    <t>Emerging Markets High Yield Bond Fund</t>
  </si>
  <si>
    <t>EMHY</t>
  </si>
  <si>
    <t>S&amp;P Emerging Markets Infrastructure Index Fund</t>
  </si>
  <si>
    <t>EMIF</t>
  </si>
  <si>
    <t>Market Vectors Emerging Markets Local Currency Bond ETF</t>
  </si>
  <si>
    <t>EMLC</t>
  </si>
  <si>
    <t>North American Energy Infrastructure Fund</t>
  </si>
  <si>
    <t>EMLP</t>
  </si>
  <si>
    <t>SPDR DJ Wilshire Mid Cap</t>
  </si>
  <si>
    <t>EMM</t>
  </si>
  <si>
    <t xml:space="preserve">MSCI Emerging Markets Materials Sector Index Fund </t>
  </si>
  <si>
    <t>EMMT</t>
  </si>
  <si>
    <t>Dow Jones Emerging Markets Metals &amp; Mining Titans Index Fund</t>
  </si>
  <si>
    <t>EMT</t>
  </si>
  <si>
    <t>Industrials Sector Bond Fund</t>
  </si>
  <si>
    <t>ENGN</t>
  </si>
  <si>
    <t>MSCI Norway Capped Investable Market Index Fund</t>
  </si>
  <si>
    <t>ENOR</t>
  </si>
  <si>
    <t>Claymore/SWM Canadian Energy Income</t>
  </si>
  <si>
    <t>ENY</t>
  </si>
  <si>
    <t>MSCI New Zealand Investable Market Index Fund</t>
  </si>
  <si>
    <t>ENZL</t>
  </si>
  <si>
    <t>MSCI Philippines Investable Market Index Fund</t>
  </si>
  <si>
    <t>EPHE</t>
  </si>
  <si>
    <t>India Earnings Fund</t>
  </si>
  <si>
    <t>EPI</t>
  </si>
  <si>
    <t>MSCI Poland Investable Market Index Fund</t>
  </si>
  <si>
    <t>EPOL</t>
  </si>
  <si>
    <t>WisdomTree Earnings 500</t>
  </si>
  <si>
    <t>EPS</t>
  </si>
  <si>
    <t>MSCI All Peru Capped Index Fund</t>
  </si>
  <si>
    <t>EPU</t>
  </si>
  <si>
    <t>Equal Sector Weight ETF</t>
  </si>
  <si>
    <t>EQL</t>
  </si>
  <si>
    <t>iPath EUR/USD Exchange Rate ETN</t>
  </si>
  <si>
    <t>ERO</t>
  </si>
  <si>
    <t>MSCI Russia Capped Index Fund</t>
  </si>
  <si>
    <t>ERUS</t>
  </si>
  <si>
    <t>MSCI Emerging Markets Eastern Europe Index Fund</t>
  </si>
  <si>
    <t>ESR</t>
  </si>
  <si>
    <t>Euro Debt Fund</t>
  </si>
  <si>
    <t>EU</t>
  </si>
  <si>
    <t>MSCI Europe Financials Sector Index Fund</t>
  </si>
  <si>
    <t>EUFN</t>
  </si>
  <si>
    <t>MSCI USA Index Fund</t>
  </si>
  <si>
    <t>EUSA</t>
  </si>
  <si>
    <t>MSCI Emerging Markets Value Index Fund</t>
  </si>
  <si>
    <t>EVAL</t>
  </si>
  <si>
    <t>Mkt Vectors Environmental Services ETF</t>
  </si>
  <si>
    <t>EVX</t>
  </si>
  <si>
    <t>MSCI Australia Small Cap Index Fund</t>
  </si>
  <si>
    <t>EWAS</t>
  </si>
  <si>
    <t>MSCI Canada Small Cap Index Fund</t>
  </si>
  <si>
    <t>EWCS</t>
  </si>
  <si>
    <t>MSCI EAFE Equal Weight ETF</t>
  </si>
  <si>
    <t>EWEF</t>
  </si>
  <si>
    <t>MSCI Emerging Markets Equal Weight</t>
  </si>
  <si>
    <t>EWEM</t>
  </si>
  <si>
    <t>MSCI Germany Small Cap Index Fund</t>
  </si>
  <si>
    <t>EWGS</t>
  </si>
  <si>
    <t>MSCI Hong Kong Small Cap Index Fund</t>
  </si>
  <si>
    <t>EWHS</t>
  </si>
  <si>
    <t>iShares MSCI Belgium Index</t>
  </si>
  <si>
    <t>EWK</t>
  </si>
  <si>
    <t>S&amp;P MidCap 400 Equal Weight ETF</t>
  </si>
  <si>
    <t>EWMD</t>
  </si>
  <si>
    <t>iShares MSCI Netherlands Index</t>
  </si>
  <si>
    <t>EWN</t>
  </si>
  <si>
    <t>Russell 1000 Equal Weight ETF</t>
  </si>
  <si>
    <t>EWRI</t>
  </si>
  <si>
    <t>Russell Midcap Equal Weight ETF</t>
  </si>
  <si>
    <t>EWRM</t>
  </si>
  <si>
    <t>Russell 2000 Equal Weight ETF</t>
  </si>
  <si>
    <t>EWRS</t>
  </si>
  <si>
    <t>S&amp;P SmallCap 600 Equal Weight ETF</t>
  </si>
  <si>
    <t>EWSM</t>
  </si>
  <si>
    <t>MSCI Singapore Small Cap Index Fund</t>
  </si>
  <si>
    <t>EWSS</t>
  </si>
  <si>
    <t>MSCI United Kingdom Small Cap Index Fund</t>
  </si>
  <si>
    <t>EWUS</t>
  </si>
  <si>
    <t>SPDR S&amp;P Emerging Markets Small Cap ETF</t>
  </si>
  <si>
    <t>EWX</t>
  </si>
  <si>
    <t>MSCI Brazil Small Cap Index Fund</t>
  </si>
  <si>
    <t>EWZS</t>
  </si>
  <si>
    <t>iShares S&amp;P Global Industrials</t>
  </si>
  <si>
    <t>EXI</t>
  </si>
  <si>
    <t>WisdomTree Total Earnings</t>
  </si>
  <si>
    <t>EXT</t>
  </si>
  <si>
    <t>WisdomTree MidCap Earnings</t>
  </si>
  <si>
    <t>EZM</t>
  </si>
  <si>
    <t>WisdomTree Low P/E</t>
  </si>
  <si>
    <t>EZY</t>
  </si>
  <si>
    <t xml:space="preserve">Airline ETF </t>
  </si>
  <si>
    <t>FAA</t>
  </si>
  <si>
    <t>First Trust Multi Cap Value AlphaDEX</t>
  </si>
  <si>
    <t>FAB</t>
  </si>
  <si>
    <t>First Trust Multi Cap Growth AlphaDEX</t>
  </si>
  <si>
    <t>FAD</t>
  </si>
  <si>
    <t>ISE Global Wind Energy Index Fund</t>
  </si>
  <si>
    <t>FAN</t>
  </si>
  <si>
    <t>Australia AlphaDEX Fund</t>
  </si>
  <si>
    <t>FAUS</t>
  </si>
  <si>
    <t>Brazil AlphaDEX Fund</t>
  </si>
  <si>
    <t>FBZ</t>
  </si>
  <si>
    <t>China AlphaDEX Fund</t>
  </si>
  <si>
    <t>FCA</t>
  </si>
  <si>
    <t>Canada AlphaDEX Fund</t>
  </si>
  <si>
    <t>FCAN</t>
  </si>
  <si>
    <t>FTSE China (HK Listed) Index Fund</t>
  </si>
  <si>
    <t>FCHI</t>
  </si>
  <si>
    <t>First Trust DJ STOXX Select Dividend 30</t>
  </si>
  <si>
    <t>FDD</t>
  </si>
  <si>
    <t>First Trust Dow Jones Select MicroCap</t>
  </si>
  <si>
    <t>FDM</t>
  </si>
  <si>
    <t>Developed Markets Ex-US AlphaDEX Fund</t>
  </si>
  <si>
    <t>FDT</t>
  </si>
  <si>
    <t>Developed Markets ex-US Small Cap AlphaDEX Fund</t>
  </si>
  <si>
    <t>FDTS</t>
  </si>
  <si>
    <t>First Trust DB Strategic Value Index</t>
  </si>
  <si>
    <t>FDV</t>
  </si>
  <si>
    <t>MSCI Far East Financials Sector Index Fund</t>
  </si>
  <si>
    <t>FEFN</t>
  </si>
  <si>
    <t>Emerging Markets AlphaDEX Fund</t>
  </si>
  <si>
    <t>FEM</t>
  </si>
  <si>
    <t>Emerging Markets Small Cap AlphaDEX Fund</t>
  </si>
  <si>
    <t>FEMS</t>
  </si>
  <si>
    <t>Europe AlphaDEX Fund</t>
  </si>
  <si>
    <t>FEP</t>
  </si>
  <si>
    <t>DJ STOXX 50 ETF</t>
  </si>
  <si>
    <t>FEU</t>
  </si>
  <si>
    <t>First Trust Large Cap Core AlphaDEX</t>
  </si>
  <si>
    <t>FEX</t>
  </si>
  <si>
    <t>First Trust FTSE EPRA/NAREIT Glb Real Es</t>
  </si>
  <si>
    <t>FFR</t>
  </si>
  <si>
    <t>First Trust DJ Global Select Dividend</t>
  </si>
  <si>
    <t>FGD</t>
  </si>
  <si>
    <t>Financials GEMS ETF</t>
  </si>
  <si>
    <t>FGEM</t>
  </si>
  <si>
    <t>Germany AlphaDEX Fund</t>
  </si>
  <si>
    <t>FGM</t>
  </si>
  <si>
    <t>Hong Kong AlphaDEX Fund</t>
  </si>
  <si>
    <t>FHK</t>
  </si>
  <si>
    <t>MSCI Global Energy Producers Fund</t>
  </si>
  <si>
    <t>FILL</t>
  </si>
  <si>
    <t>3-7 Year U.S. Treasury Index Fund</t>
  </si>
  <si>
    <t>FIVZ</t>
  </si>
  <si>
    <t>First Trust ISE Water</t>
  </si>
  <si>
    <t>FIW</t>
  </si>
  <si>
    <t>Japan AlphaDEX Fund</t>
  </si>
  <si>
    <t>FJP</t>
  </si>
  <si>
    <t>United Kingdom AlphaDEX Fund</t>
  </si>
  <si>
    <t>FKU</t>
  </si>
  <si>
    <t>ISE Global Engineering and Construction Index Fund</t>
  </si>
  <si>
    <t>FLM</t>
  </si>
  <si>
    <t>Latin America AlphaDEX Fund</t>
  </si>
  <si>
    <t>FLN</t>
  </si>
  <si>
    <t>Floating Rate Note Fund</t>
  </si>
  <si>
    <t>FLOT</t>
  </si>
  <si>
    <t>SPDR Barclays Capital Investment Grade Floating Rate ETF</t>
  </si>
  <si>
    <t>FLRN</t>
  </si>
  <si>
    <t>Market Vectors Investment Grade Floating Rate Bond ETF</t>
  </si>
  <si>
    <t>FLTR</t>
  </si>
  <si>
    <t>Mega Cap AlphaDEX Fund</t>
  </si>
  <si>
    <t>FMK</t>
  </si>
  <si>
    <t>First Trust ISE Chindia</t>
  </si>
  <si>
    <t>FNI</t>
  </si>
  <si>
    <t>iShares FTSE NAREIT Industrial/Office</t>
  </si>
  <si>
    <t>FNIO</t>
  </si>
  <si>
    <t>Mid Cap Value AlphaDEX Fund</t>
  </si>
  <si>
    <t>FNK</t>
  </si>
  <si>
    <t>First Trust Mid Cap Core AlphaDEX</t>
  </si>
  <si>
    <t>FNX</t>
  </si>
  <si>
    <t>Mid Cap Growth AlphaDEX Fund</t>
  </si>
  <si>
    <t>FNY</t>
  </si>
  <si>
    <t>Pure Beta Aluminum ETN</t>
  </si>
  <si>
    <t>FOIL</t>
  </si>
  <si>
    <t>NASDAQ CEA Smartphone Index Fund</t>
  </si>
  <si>
    <t>FONE</t>
  </si>
  <si>
    <t>Asia Pacific Ex-Japan AlphaDEX Fund</t>
  </si>
  <si>
    <t>FPA</t>
  </si>
  <si>
    <t>First Trust IPOX-100 Index</t>
  </si>
  <si>
    <t>FPX</t>
  </si>
  <si>
    <t>Market Vectors Unconventional Oil &amp; Gas ETF</t>
  </si>
  <si>
    <t>FRAK</t>
  </si>
  <si>
    <t xml:space="preserve">Frontier Markets ETF </t>
  </si>
  <si>
    <t>FRN</t>
  </si>
  <si>
    <t>Switzerland AlphaDEX Fund</t>
  </si>
  <si>
    <t>FSZ</t>
  </si>
  <si>
    <t>First Trust Large Cap Value Opp AlphaDEX</t>
  </si>
  <si>
    <t>FTA</t>
  </si>
  <si>
    <t>First Trust Large Cap Gr Opp AlphaDEX</t>
  </si>
  <si>
    <t>FTC</t>
  </si>
  <si>
    <t>Taiwan AlphaDEX Fund</t>
  </si>
  <si>
    <t>FTW</t>
  </si>
  <si>
    <t>iShares FTSE NAREIT Real Estate 50</t>
  </si>
  <si>
    <t>FTY</t>
  </si>
  <si>
    <t>E-TRACS UBS Bloomberg CMCI Food ETN</t>
  </si>
  <si>
    <t>FUD</t>
  </si>
  <si>
    <t>MLCX Biofuels Index TR ETN</t>
  </si>
  <si>
    <t>FUE</t>
  </si>
  <si>
    <t>First Trust Value Line Equity Allc Index</t>
  </si>
  <si>
    <t>FVI</t>
  </si>
  <si>
    <t>First Trust Value Line 100 ETF</t>
  </si>
  <si>
    <t>FVL</t>
  </si>
  <si>
    <t>Madrona Forward Global Bond ETF</t>
  </si>
  <si>
    <t>FWDB</t>
  </si>
  <si>
    <t>Madrona Forward Domestic ETF</t>
  </si>
  <si>
    <t>FWDD</t>
  </si>
  <si>
    <t>Madrona Forward International ETF</t>
  </si>
  <si>
    <t>FWDI</t>
  </si>
  <si>
    <t>CurrencyShares British Pound Sterling Tr</t>
  </si>
  <si>
    <t>FXB</t>
  </si>
  <si>
    <t>CurrencyShares Canadian Dollar Trust</t>
  </si>
  <si>
    <t>FXC</t>
  </si>
  <si>
    <t>CurrencyShares Chinese Renminbi Trust</t>
  </si>
  <si>
    <t>FXCH</t>
  </si>
  <si>
    <t>First Trust Energy AlphaDEX</t>
  </si>
  <si>
    <t>FXN</t>
  </si>
  <si>
    <t>CurrencyShares Swedish Krona Trust</t>
  </si>
  <si>
    <t>FXS</t>
  </si>
  <si>
    <t>Small Cap Growth AlphaDEX Fund</t>
  </si>
  <si>
    <t>FYC</t>
  </si>
  <si>
    <t>Small Cap Value AlphaDEX Fund</t>
  </si>
  <si>
    <t>FYT</t>
  </si>
  <si>
    <t>First Trust Small Cap Core AlphaDEX</t>
  </si>
  <si>
    <t>FYX</t>
  </si>
  <si>
    <t>SPDR S&amp;P Emerging Middle East &amp; Africa</t>
  </si>
  <si>
    <t>GAF</t>
  </si>
  <si>
    <t>SPDR Global Allocation ETF</t>
  </si>
  <si>
    <t>GAL</t>
  </si>
  <si>
    <t>E-TRACS Natural Gas Futures Contango ETN</t>
  </si>
  <si>
    <t>GASZ</t>
  </si>
  <si>
    <t>iPath GBP/USD Exchange Rate ETN</t>
  </si>
  <si>
    <t>GBB</t>
  </si>
  <si>
    <t>iShares BCI Government/Credit Bond</t>
  </si>
  <si>
    <t>GBF</t>
  </si>
  <si>
    <t>Continuous Commodity Index Fund</t>
  </si>
  <si>
    <t>GCC</t>
  </si>
  <si>
    <t>Claymore CEF GS Connect ETN</t>
  </si>
  <si>
    <t>GCE</t>
  </si>
  <si>
    <t>Market Vectors Junior Gold Miners ETF</t>
  </si>
  <si>
    <t>GDXJ</t>
  </si>
  <si>
    <t>Market Vectors Germany Small-Cap ETF</t>
  </si>
  <si>
    <t>GERJ</t>
  </si>
  <si>
    <t>Mkt Vectors Glb Alternative Energy ETF</t>
  </si>
  <si>
    <t>GEX</t>
  </si>
  <si>
    <t>Consumer Goods GEMS ETF</t>
  </si>
  <si>
    <t>GGEM</t>
  </si>
  <si>
    <t>Pure Gold Miners ETF</t>
  </si>
  <si>
    <t>GGGG</t>
  </si>
  <si>
    <t>German Sovereign/Sub-Sovereign ETF</t>
  </si>
  <si>
    <t>GGOV</t>
  </si>
  <si>
    <t>Global High Yield Corporate Bond Fund</t>
  </si>
  <si>
    <t>GHYG</t>
  </si>
  <si>
    <t>SPDR FTSE/Macquarie Global Infra 100</t>
  </si>
  <si>
    <t>GII</t>
  </si>
  <si>
    <t>Global Echo ETF</t>
  </si>
  <si>
    <t>GIVE</t>
  </si>
  <si>
    <t>Enhanced Core Bond ETF</t>
  </si>
  <si>
    <t>GIY</t>
  </si>
  <si>
    <t>Gold Explorers ETF</t>
  </si>
  <si>
    <t>GLDX</t>
  </si>
  <si>
    <t>Physical Precious Metal Basket Shares</t>
  </si>
  <si>
    <t>GLTR</t>
  </si>
  <si>
    <t>SPDR S&amp;P Emerging Asia Pacific</t>
  </si>
  <si>
    <t>GMF</t>
  </si>
  <si>
    <t>SPDR S&amp;P Small Cap Emerging Asia Pacific ETF</t>
  </si>
  <si>
    <t>GMFS</t>
  </si>
  <si>
    <t>SPDR S&amp;P Emerging Latin America ETF</t>
  </si>
  <si>
    <t>GML</t>
  </si>
  <si>
    <t>SPDR S&amp;P Emerging Markets ETF</t>
  </si>
  <si>
    <t>GMM</t>
  </si>
  <si>
    <t>Intermediate Municipal Bond Strategy Fund</t>
  </si>
  <si>
    <t>GMMB</t>
  </si>
  <si>
    <t>Core Bond Strategy Fund</t>
  </si>
  <si>
    <t>GMTB</t>
  </si>
  <si>
    <t>Global Natural Resources Fund</t>
  </si>
  <si>
    <t>GNAT</t>
  </si>
  <si>
    <t>Barclays GNMA Bond Fund</t>
  </si>
  <si>
    <t>GNMA</t>
  </si>
  <si>
    <t>SPDR S&amp;P Global Natural Resources ETF</t>
  </si>
  <si>
    <t>GNR</t>
  </si>
  <si>
    <t>Barclays U.S. Treasury Bond Fund</t>
  </si>
  <si>
    <t>GOVT</t>
  </si>
  <si>
    <t>FTSE Greece 20 ETF</t>
  </si>
  <si>
    <t>GREK</t>
  </si>
  <si>
    <t>IQ Global Resources ETF</t>
  </si>
  <si>
    <t>GRES</t>
  </si>
  <si>
    <t>Cohen &amp; Steers Global Realty Majors ETF</t>
  </si>
  <si>
    <t>GRI</t>
  </si>
  <si>
    <t>NASDAQ Clean Edge Smart Grid Infrastructure Index Fund</t>
  </si>
  <si>
    <t>GRID</t>
  </si>
  <si>
    <t>Global Carbon ETN</t>
  </si>
  <si>
    <t>GRN</t>
  </si>
  <si>
    <t>MLCX Grains Index TR ETN</t>
  </si>
  <si>
    <t>GRU</t>
  </si>
  <si>
    <t>Pure Beta Softs ETN</t>
  </si>
  <si>
    <t>GRWN</t>
  </si>
  <si>
    <t>GS Connect S&amp;P GSCI Enh Commodity TR ETN</t>
  </si>
  <si>
    <t>GSC</t>
  </si>
  <si>
    <t>iPath S&amp;P GSCI Total Return Index ETN</t>
  </si>
  <si>
    <t>GSP</t>
  </si>
  <si>
    <t>Enhanced Ultra-Short Bond ETF</t>
  </si>
  <si>
    <t>GSY</t>
  </si>
  <si>
    <t>Cambria Global Tactical ETF</t>
  </si>
  <si>
    <t>GTAA</t>
  </si>
  <si>
    <t>Global Inflation-Linked Bond Fund</t>
  </si>
  <si>
    <t>GTIP</t>
  </si>
  <si>
    <t>Middle East Dividend ETF</t>
  </si>
  <si>
    <t>GULF</t>
  </si>
  <si>
    <t xml:space="preserve">Morningstar Global Upstream Natural Resources Index Fund </t>
  </si>
  <si>
    <t>GUNR</t>
  </si>
  <si>
    <t>Top Guru Holdings Index ETF</t>
  </si>
  <si>
    <t>GURU</t>
  </si>
  <si>
    <t>iShares BCI Interm Govt/Credit Bond</t>
  </si>
  <si>
    <t>GVI</t>
  </si>
  <si>
    <t>Concentrated Large Cap Value Strategy Fund</t>
  </si>
  <si>
    <t>GVT</t>
  </si>
  <si>
    <t>SPDR S&amp;P World ex-US</t>
  </si>
  <si>
    <t>GWL</t>
  </si>
  <si>
    <t>SPDR S&amp;P International SmallCap ETF</t>
  </si>
  <si>
    <t>GWX</t>
  </si>
  <si>
    <t>FTSE Nordic 30 ETF</t>
  </si>
  <si>
    <t>GXF</t>
  </si>
  <si>
    <t>InterBolsa FTSE Colombia 20 ETF</t>
  </si>
  <si>
    <t>GXG</t>
  </si>
  <si>
    <t>Dow Jones Global Yield ETF</t>
  </si>
  <si>
    <t>GYLD</t>
  </si>
  <si>
    <t xml:space="preserve">China Small Cap ETF </t>
  </si>
  <si>
    <t>HAO</t>
  </si>
  <si>
    <t>Market Vectors Hard Assets Producers ETF</t>
  </si>
  <si>
    <t>HAP</t>
  </si>
  <si>
    <t>Hedge Replication ETF</t>
  </si>
  <si>
    <t>HDG</t>
  </si>
  <si>
    <t>High Dividend Equity Fund</t>
  </si>
  <si>
    <t>HDV</t>
  </si>
  <si>
    <t>EcoLogical Strategy ETF</t>
  </si>
  <si>
    <t>HECO</t>
  </si>
  <si>
    <t xml:space="preserve">International Hedged Equity Fund </t>
  </si>
  <si>
    <t>HEDJ</t>
  </si>
  <si>
    <t>Pure Beta Industrial Metals ETN</t>
  </si>
  <si>
    <t>HEVY</t>
  </si>
  <si>
    <t>Health Care GEMS ETF</t>
  </si>
  <si>
    <t>HGEM</t>
  </si>
  <si>
    <t>Claymore/Zacks International Yield Hog</t>
  </si>
  <si>
    <t>HGI</t>
  </si>
  <si>
    <t>Low Volatility Emerging Markets Dividend ETF</t>
  </si>
  <si>
    <t>HILO</t>
  </si>
  <si>
    <t>U.S. Equity Rotation Strategy ETF</t>
  </si>
  <si>
    <t>HUSE</t>
  </si>
  <si>
    <t>Market Vectors High Yield Municipal Index ETF</t>
  </si>
  <si>
    <t>HYD</t>
  </si>
  <si>
    <t>Market Vectors Emerging Markets High Yield Bond ETF</t>
  </si>
  <si>
    <t>HYEM</t>
  </si>
  <si>
    <t>Peritus High Yield ETF</t>
  </si>
  <si>
    <t>HYLD</t>
  </si>
  <si>
    <t>SPDR Nuveen S&amp;P High Yield Municipal Bond ETF</t>
  </si>
  <si>
    <t>HYMB</t>
  </si>
  <si>
    <t>0-5 Year High Yield Corporate Bond Index Fund</t>
  </si>
  <si>
    <t>HYS</t>
  </si>
  <si>
    <t>Global ex USD High Yield Corporate Bond Fund</t>
  </si>
  <si>
    <t>HYXU</t>
  </si>
  <si>
    <t>iShares Dow Jones US Broker-Dealers</t>
  </si>
  <si>
    <t>IAI</t>
  </si>
  <si>
    <t>iShares Dow Jones US Insurance</t>
  </si>
  <si>
    <t>IAK</t>
  </si>
  <si>
    <t>iShares Dow Jones US Regional Banks</t>
  </si>
  <si>
    <t>IAT</t>
  </si>
  <si>
    <t>SPDR Barclays Capital International Corporate Bond ETF</t>
  </si>
  <si>
    <t>IBND</t>
  </si>
  <si>
    <t>Optimized Currency Carry ETN</t>
  </si>
  <si>
    <t>ICI</t>
  </si>
  <si>
    <t>S&amp;P Global Clean Energy Index Fund</t>
  </si>
  <si>
    <t>ICLN</t>
  </si>
  <si>
    <t>Dreyfus Indian Rupee Fund</t>
  </si>
  <si>
    <t>ICN</t>
  </si>
  <si>
    <t>S&amp;P International Developed High Beta Portfolio</t>
  </si>
  <si>
    <t>IDHB</t>
  </si>
  <si>
    <t>S&amp;P International Developed High Quality Portfolio Fund</t>
  </si>
  <si>
    <t>IDHQ</t>
  </si>
  <si>
    <t>S&amp;P International Developed Low Volatility Portfolio</t>
  </si>
  <si>
    <t>IDLV</t>
  </si>
  <si>
    <t>iShares Dow Jones US Utilities</t>
  </si>
  <si>
    <t>IDU</t>
  </si>
  <si>
    <t>Market Vectors Indonesia Index ETF</t>
  </si>
  <si>
    <t>IDX</t>
  </si>
  <si>
    <t>Market Vectors Indonesia Small-Cap ETF</t>
  </si>
  <si>
    <t>IDXJ</t>
  </si>
  <si>
    <t>iShares FTSE EPRA/NAREIT Asia</t>
  </si>
  <si>
    <t>IFAS</t>
  </si>
  <si>
    <t>iShares FTSE EPRA/NAREIT Europe</t>
  </si>
  <si>
    <t>IFEU</t>
  </si>
  <si>
    <t>iShares FTSE EPRA/NAREIT Global RE ex-US</t>
  </si>
  <si>
    <t>IFGL</t>
  </si>
  <si>
    <t>iShares FTSE EPRA/NAREIT North America</t>
  </si>
  <si>
    <t>IFNA</t>
  </si>
  <si>
    <t>iShares FTSE Dvlpd Sm Cap ex-North Amer</t>
  </si>
  <si>
    <t>IFSM</t>
  </si>
  <si>
    <t>Industrials GEMS ETF</t>
  </si>
  <si>
    <t>IGEM</t>
  </si>
  <si>
    <t>iShares S&amp;P Global Infrastructure Index</t>
  </si>
  <si>
    <t>IGF</t>
  </si>
  <si>
    <t>iShares S&amp;P GSTI Technology</t>
  </si>
  <si>
    <t>IGM</t>
  </si>
  <si>
    <t>iShares S&amp;P GSTI Networking</t>
  </si>
  <si>
    <t>IGN</t>
  </si>
  <si>
    <t>S&amp;P/Citigroup International Treasury Fund</t>
  </si>
  <si>
    <t>IGOV</t>
  </si>
  <si>
    <t>iShares S&amp;P GSTI Software</t>
  </si>
  <si>
    <t>IGV</t>
  </si>
  <si>
    <t>iShares Dow Jones US Pharmaceuticals</t>
  </si>
  <si>
    <t>IHE</t>
  </si>
  <si>
    <t>iShares Dow Jones US Healthcare Provider</t>
  </si>
  <si>
    <t>IHF</t>
  </si>
  <si>
    <t>iShares Dow Jones US Medical Devices</t>
  </si>
  <si>
    <t>IHI</t>
  </si>
  <si>
    <t>Market Vectors International High Yield Bond ETF</t>
  </si>
  <si>
    <t>IHY</t>
  </si>
  <si>
    <t>Core Long-Term U.S. Bond ETF</t>
  </si>
  <si>
    <t>ILTB</t>
  </si>
  <si>
    <t>India Consumer ETF</t>
  </si>
  <si>
    <t>INCO</t>
  </si>
  <si>
    <t>MSCI India Index Fund</t>
  </si>
  <si>
    <t>INDA</t>
  </si>
  <si>
    <t>S&amp;P India Nifty Fifty Index Fund</t>
  </si>
  <si>
    <t>INDY</t>
  </si>
  <si>
    <t>DB US Inflation ETN</t>
  </si>
  <si>
    <t>INFL</t>
  </si>
  <si>
    <t>SPDR Income Allocation ETF</t>
  </si>
  <si>
    <t>INKM</t>
  </si>
  <si>
    <t>iPath MSCI India Index ETN</t>
  </si>
  <si>
    <t>INP</t>
  </si>
  <si>
    <t>Market Vectors-Indian Rupee/USD ETN</t>
  </si>
  <si>
    <t>INR</t>
  </si>
  <si>
    <t>India Infrastructure ETF</t>
  </si>
  <si>
    <t>INXX</t>
  </si>
  <si>
    <t>SPDR BCI New York Municipal Bond</t>
  </si>
  <si>
    <t>INY</t>
  </si>
  <si>
    <t>IQ Global Oil Small Cap ETF</t>
  </si>
  <si>
    <t>IOIL</t>
  </si>
  <si>
    <t>iShares S&amp;P Global 100 Index</t>
  </si>
  <si>
    <t>IOO</t>
  </si>
  <si>
    <t>SPDR S&amp;P International Consumer Discretionary Sector ETF</t>
  </si>
  <si>
    <t>IPD</t>
  </si>
  <si>
    <t>SPDR S&amp;P International Financial Sector ETF</t>
  </si>
  <si>
    <t>IPF</t>
  </si>
  <si>
    <t>S&amp;P International Preferred Stock Index Fund</t>
  </si>
  <si>
    <t>IPFF</t>
  </si>
  <si>
    <t>SPDR S&amp;P International Technology Sector ETF</t>
  </si>
  <si>
    <t>IPK</t>
  </si>
  <si>
    <t>SPDR S&amp;P International Industrial Sector ETF</t>
  </si>
  <si>
    <t>IPN</t>
  </si>
  <si>
    <t>SPDR S&amp;P International Consumer Staples Sector ETF</t>
  </si>
  <si>
    <t>IPS</t>
  </si>
  <si>
    <t>SPDR S&amp;P International Utilities Sector ETF</t>
  </si>
  <si>
    <t>IPU</t>
  </si>
  <si>
    <t>SPDR S&amp;P International Energy Sector ETF</t>
  </si>
  <si>
    <t>IPW</t>
  </si>
  <si>
    <t>SPDR S&amp;P International Materials Sector ETF</t>
  </si>
  <si>
    <t>IRV</t>
  </si>
  <si>
    <t>SPDR S&amp;P International Health Care Sector ETF</t>
  </si>
  <si>
    <t>IRY</t>
  </si>
  <si>
    <t>S&amp;P/Citi 1-3 Yr Intl Treasury Bd</t>
  </si>
  <si>
    <t>ISHG</t>
  </si>
  <si>
    <t>SPDR S&amp;P International Telecommunications Sector ETF</t>
  </si>
  <si>
    <t>IST</t>
  </si>
  <si>
    <t>iShares Dow Jones US Aerospace &amp; Defense</t>
  </si>
  <si>
    <t>ITA</t>
  </si>
  <si>
    <t>SPDR BCI Intermediate Term Treasury</t>
  </si>
  <si>
    <t>ITE</t>
  </si>
  <si>
    <t>iShares S&amp;P/TOPIX 150 Index</t>
  </si>
  <si>
    <t>ITF</t>
  </si>
  <si>
    <t>International Inflation-Linked Bond Fund ETF</t>
  </si>
  <si>
    <t>ITIP</t>
  </si>
  <si>
    <t>DB Italian Treasury Bond Futures ETN</t>
  </si>
  <si>
    <t>ITLY</t>
  </si>
  <si>
    <t>Core S&amp;P Total U.S. Stock Market ETF</t>
  </si>
  <si>
    <t>ITOT</t>
  </si>
  <si>
    <t>SPDR Barclays Capital Intermediate Term Credit Bond ETF</t>
  </si>
  <si>
    <t>ITR</t>
  </si>
  <si>
    <t>S&amp;P Mid-Cap 400 Growth ETF</t>
  </si>
  <si>
    <t>IVOG</t>
  </si>
  <si>
    <t>S&amp;P Mid-Cap 400 ETF</t>
  </si>
  <si>
    <t>IVOO</t>
  </si>
  <si>
    <t>S&amp;P Mid-Cap 400 Value ETF</t>
  </si>
  <si>
    <t>IVOV</t>
  </si>
  <si>
    <t>Russell Top 200 Index Fund</t>
  </si>
  <si>
    <t>IWL</t>
  </si>
  <si>
    <t>iShares Russell 3000 Value Index</t>
  </si>
  <si>
    <t>IWW</t>
  </si>
  <si>
    <t>Russell Top 200 Value Index Fund</t>
  </si>
  <si>
    <t>IWX</t>
  </si>
  <si>
    <t>Russell Top 200 Growth Index Fund</t>
  </si>
  <si>
    <t>IWY</t>
  </si>
  <si>
    <t>iShares Russell 3000 Growth Index</t>
  </si>
  <si>
    <t>IWZ</t>
  </si>
  <si>
    <t>iShares S&amp;P Global Financials</t>
  </si>
  <si>
    <t>IXG</t>
  </si>
  <si>
    <t>iShares S&amp;P Global Healthcare</t>
  </si>
  <si>
    <t>IXJ</t>
  </si>
  <si>
    <t>iShares S&amp;P Global Technology</t>
  </si>
  <si>
    <t>IXN</t>
  </si>
  <si>
    <t>iShares S&amp;P Global Telecommunications</t>
  </si>
  <si>
    <t>IXP</t>
  </si>
  <si>
    <t>iShares Dow Jones US Consumer Services</t>
  </si>
  <si>
    <t>IYC</t>
  </si>
  <si>
    <t>iShares Dow Jones US Financial Services</t>
  </si>
  <si>
    <t>IYG</t>
  </si>
  <si>
    <t>iShares Dow Jones US Healthcare</t>
  </si>
  <si>
    <t>IYH</t>
  </si>
  <si>
    <t>iShares Dow Jones US Industrial</t>
  </si>
  <si>
    <t>IYJ</t>
  </si>
  <si>
    <t>iShares Dow Jones US Consumer Goods</t>
  </si>
  <si>
    <t>IYK</t>
  </si>
  <si>
    <t>Morningstar Multi-Asset Income Index Fund</t>
  </si>
  <si>
    <t>IYLD</t>
  </si>
  <si>
    <t>iShares Dow Jones U.S. Index</t>
  </si>
  <si>
    <t>IYY</t>
  </si>
  <si>
    <t>GEMS Index ETN</t>
  </si>
  <si>
    <t>JEM</t>
  </si>
  <si>
    <t>KEYnotes First Trust Enh 130/30 LgCp ETN</t>
  </si>
  <si>
    <t>JFT</t>
  </si>
  <si>
    <t>DB Japanese Government Bond Futures ETN</t>
  </si>
  <si>
    <t>JGBL</t>
  </si>
  <si>
    <t>iPath DJ AIG Agriculture TR Sub-Idx ETN</t>
  </si>
  <si>
    <t>JJA</t>
  </si>
  <si>
    <t>iPath DJ AIG Energy TR Sub-Idx ETN</t>
  </si>
  <si>
    <t>JJE</t>
  </si>
  <si>
    <t>iPath DJ AIG Grains TR Sub-Idx ETN</t>
  </si>
  <si>
    <t>JJG</t>
  </si>
  <si>
    <t>iPath DJ AIG Ind Metals TR Sub-Idx ETN</t>
  </si>
  <si>
    <t>JJM</t>
  </si>
  <si>
    <t>iPath DJ AIG Nickel TR Sub-Idx ETN</t>
  </si>
  <si>
    <t>JJN</t>
  </si>
  <si>
    <t>Dow Jones-UBS Precious Metals Total Return Sub-Index ETN</t>
  </si>
  <si>
    <t>JJP</t>
  </si>
  <si>
    <t>Dow Jones-UBS Softs Total Return Sub-Index ETN</t>
  </si>
  <si>
    <t>JJS</t>
  </si>
  <si>
    <t>Dow Jones-UBS Tin Total Return Sub-Index ETN</t>
  </si>
  <si>
    <t>JJT</t>
  </si>
  <si>
    <t>Dow Jones-UBS Aluminum Total Return Sub-Index ETN</t>
  </si>
  <si>
    <t>JJU</t>
  </si>
  <si>
    <t>iShares Morningstar Large Core Index</t>
  </si>
  <si>
    <t>JKD</t>
  </si>
  <si>
    <t>iShares Morningstar Large Growth Index</t>
  </si>
  <si>
    <t>JKE</t>
  </si>
  <si>
    <t>iShares Morningstar Large Value Index</t>
  </si>
  <si>
    <t>JKF</t>
  </si>
  <si>
    <t>iShares Morningstar Mid Core Index</t>
  </si>
  <si>
    <t>JKG</t>
  </si>
  <si>
    <t>iShares Morningstar Mid Growth Index</t>
  </si>
  <si>
    <t>JKH</t>
  </si>
  <si>
    <t>iShares Morningstar Mid Value Index</t>
  </si>
  <si>
    <t>JKI</t>
  </si>
  <si>
    <t>iShares Morningstar Small Core Index</t>
  </si>
  <si>
    <t>JKJ</t>
  </si>
  <si>
    <t>iShares Morningstar Small Growth Index</t>
  </si>
  <si>
    <t>JKK</t>
  </si>
  <si>
    <t>iShares Morningstar Small Value Index</t>
  </si>
  <si>
    <t>JKL</t>
  </si>
  <si>
    <t>Dow Jones-UBS Coffee ETN</t>
  </si>
  <si>
    <t>JO</t>
  </si>
  <si>
    <t>SPDR Russell/Nomura PRIME Japan</t>
  </si>
  <si>
    <t>JPP</t>
  </si>
  <si>
    <t>SPDR Russell/Nomura Small Cap Japan</t>
  </si>
  <si>
    <t>JSC</t>
  </si>
  <si>
    <t>Junior Miners ETF</t>
  </si>
  <si>
    <t>JUNR</t>
  </si>
  <si>
    <t>iShares S&amp;P Global Utilities</t>
  </si>
  <si>
    <t>JXI</t>
  </si>
  <si>
    <t>iPath JPY/USD Exchange Rate ETN</t>
  </si>
  <si>
    <t>JYN</t>
  </si>
  <si>
    <t>KBW Bank Portfolio</t>
  </si>
  <si>
    <t>KBWB</t>
  </si>
  <si>
    <t>KBW Capital Markets Portfolio</t>
  </si>
  <si>
    <t>KBWC</t>
  </si>
  <si>
    <t>KBW High Dividend Yield Financial Portfolio</t>
  </si>
  <si>
    <t>KBWD</t>
  </si>
  <si>
    <t>KBW Insurance Portfolio</t>
  </si>
  <si>
    <t>KBWI</t>
  </si>
  <si>
    <t>KBW Property &amp; Casualty Insurance Portfolio</t>
  </si>
  <si>
    <t>KBWP</t>
  </si>
  <si>
    <t>KBW Regional Banking Portfolio</t>
  </si>
  <si>
    <t>KBWR</t>
  </si>
  <si>
    <t>KBW International Financial Portfolio</t>
  </si>
  <si>
    <t>KBWX</t>
  </si>
  <si>
    <t>KBW Premium Yield Equity REIT Portfolio</t>
  </si>
  <si>
    <t>KBWY</t>
  </si>
  <si>
    <t>KBW Capital Markets ETF</t>
  </si>
  <si>
    <t>KCE</t>
  </si>
  <si>
    <t>KBW Insurance ETF</t>
  </si>
  <si>
    <t>KIE</t>
  </si>
  <si>
    <t>iShares KLD Select Social Index</t>
  </si>
  <si>
    <t>KLD</t>
  </si>
  <si>
    <t>SPDR KBW Mortgage Finance ETF</t>
  </si>
  <si>
    <t>KME</t>
  </si>
  <si>
    <t>All Cap Insider Sentiment Shares</t>
  </si>
  <si>
    <t>KNOW</t>
  </si>
  <si>
    <t>IQ Australia Small Cap ETF</t>
  </si>
  <si>
    <t>KROO</t>
  </si>
  <si>
    <t>Market Vectors Solar Energy ETF</t>
  </si>
  <si>
    <t>KWT</t>
  </si>
  <si>
    <t>iShares S&amp;P Global Consumer Staples</t>
  </si>
  <si>
    <t>KXI</t>
  </si>
  <si>
    <t>SPDR BCI Aggregate Bond</t>
  </si>
  <si>
    <t>LAG</t>
  </si>
  <si>
    <t>Latin America Small-Cap Index ETF</t>
  </si>
  <si>
    <t>LATM</t>
  </si>
  <si>
    <t>Dow Jones-UBS Lead Total Return Sub-Index</t>
  </si>
  <si>
    <t>LD</t>
  </si>
  <si>
    <t>Pure Beta Lead ETN</t>
  </si>
  <si>
    <t>LEDD</t>
  </si>
  <si>
    <t>Emerging Markets Local Currency Bond Fund</t>
  </si>
  <si>
    <t>LEMB</t>
  </si>
  <si>
    <t>Basic Materials GEMS ETF</t>
  </si>
  <si>
    <t>LGEM</t>
  </si>
  <si>
    <t>Lithium ETF</t>
  </si>
  <si>
    <t>LIT</t>
  </si>
  <si>
    <t>S&amp;P CTI ETN</t>
  </si>
  <si>
    <t>LSC</t>
  </si>
  <si>
    <t>Pure Beta Livestock ETN</t>
  </si>
  <si>
    <t>LSTK</t>
  </si>
  <si>
    <t>15+ Year U.S. TIPS Index Fund</t>
  </si>
  <si>
    <t>LTPZ</t>
  </si>
  <si>
    <t>Claymore/BBD High Income</t>
  </si>
  <si>
    <t>LVL</t>
  </si>
  <si>
    <t>SPDR Barclays Capital Long Term Corporate Bond ETF</t>
  </si>
  <si>
    <t>LWC</t>
  </si>
  <si>
    <t>Meidell Tactical Advantage ETF</t>
  </si>
  <si>
    <t>MATH</t>
  </si>
  <si>
    <t>SPDR Barclays Capital Mortgage Backed Bond ETF</t>
  </si>
  <si>
    <t>MBG</t>
  </si>
  <si>
    <t>MSCI China Index Fund</t>
  </si>
  <si>
    <t>MCHI</t>
  </si>
  <si>
    <t>IQ Hedge Macro Tracker ETF</t>
  </si>
  <si>
    <t>MCRO</t>
  </si>
  <si>
    <t>SPDR S&amp;P International Mid Cap ETF</t>
  </si>
  <si>
    <t>MDD</t>
  </si>
  <si>
    <t>SPDR S&amp;P 400 Mid Cap Growth ETF</t>
  </si>
  <si>
    <t>MDYG</t>
  </si>
  <si>
    <t>SPDR S&amp;P 400 Mid Cap Value ETF</t>
  </si>
  <si>
    <t>MDYV</t>
  </si>
  <si>
    <t>Market Vectors Gulf States Index ETF</t>
  </si>
  <si>
    <t>MES</t>
  </si>
  <si>
    <t>Vanguard Mega Cap 300 Index ETF</t>
  </si>
  <si>
    <t>MGC</t>
  </si>
  <si>
    <t>Vanguard Mega Cap 300 Gr Index ETF</t>
  </si>
  <si>
    <t>MGK</t>
  </si>
  <si>
    <t>Vanguard Mega Cap 300 Value Index ETF</t>
  </si>
  <si>
    <t>MGV</t>
  </si>
  <si>
    <t>Market Vectors L/B AMT-Free Lg Muni ETF</t>
  </si>
  <si>
    <t>MLN</t>
  </si>
  <si>
    <t>MLP ETF</t>
  </si>
  <si>
    <t>MLPA</t>
  </si>
  <si>
    <t>E-TRACS Alerian Natural Gas MLP Index</t>
  </si>
  <si>
    <t>MLPG</t>
  </si>
  <si>
    <t>E-TRACS Alerian MLP Infrastructure Index</t>
  </si>
  <si>
    <t>MLPI</t>
  </si>
  <si>
    <t>Cushing 30 MLP Index ETN</t>
  </si>
  <si>
    <t>MLPN</t>
  </si>
  <si>
    <t>E-TRACS Wells Fargo MLP Index</t>
  </si>
  <si>
    <t>MLPW</t>
  </si>
  <si>
    <t>Cushing MLP High Income Index ETN</t>
  </si>
  <si>
    <t>MLPY</t>
  </si>
  <si>
    <t>IQ Merger Arbitrage ETF</t>
  </si>
  <si>
    <t>MNA</t>
  </si>
  <si>
    <t>Market Vectors Wide Moat Research ETF</t>
  </si>
  <si>
    <t>MOAT</t>
  </si>
  <si>
    <t>U.S. Market Neutral Momentum Fund</t>
  </si>
  <si>
    <t>MOM</t>
  </si>
  <si>
    <t>Financials Sector Bond Fund</t>
  </si>
  <si>
    <t>MONY</t>
  </si>
  <si>
    <t>Market Vector Mortgage REIT Income ETF</t>
  </si>
  <si>
    <t>MORT</t>
  </si>
  <si>
    <t>Morgan Stanley Technology ETF</t>
  </si>
  <si>
    <t>MTK</t>
  </si>
  <si>
    <t>2013 S&amp;P AMT-Free Municipal Series</t>
  </si>
  <si>
    <t>MUAB</t>
  </si>
  <si>
    <t>2014 S&amp;P AMT-Free Municipal Series</t>
  </si>
  <si>
    <t>MUAC</t>
  </si>
  <si>
    <t>2015 S&amp;P AMT-Free Municipal Series</t>
  </si>
  <si>
    <t>MUAD</t>
  </si>
  <si>
    <t>2016 S&amp;P AMT-Free Municipal Series</t>
  </si>
  <si>
    <t>MUAE</t>
  </si>
  <si>
    <t>2017 S&amp;P AMT-Free Municipal Series</t>
  </si>
  <si>
    <t>MUAF</t>
  </si>
  <si>
    <t>iShares S&amp;P Global Materials</t>
  </si>
  <si>
    <t>MXI</t>
  </si>
  <si>
    <t>Natural Gas Fund</t>
  </si>
  <si>
    <t>NAGS</t>
  </si>
  <si>
    <t>Claymore/Sabrient Insider</t>
  </si>
  <si>
    <t>NFO</t>
  </si>
  <si>
    <t>Dow Jones-UBS Cocoa Total Return Sub-Index ETN</t>
  </si>
  <si>
    <t>NIB</t>
  </si>
  <si>
    <t>Pure Beta Nickel ETN</t>
  </si>
  <si>
    <t>NINI</t>
  </si>
  <si>
    <t>MAXIS Nikkei 225 Index ETF</t>
  </si>
  <si>
    <t>NKY</t>
  </si>
  <si>
    <t>Market Vectors Global Nuclear Energy ETF</t>
  </si>
  <si>
    <t>NLR</t>
  </si>
  <si>
    <t>FTSE Norway 30 ETF</t>
  </si>
  <si>
    <t>NORW</t>
  </si>
  <si>
    <t>S&amp;P Global Nuclear Energy Index Fund</t>
  </si>
  <si>
    <t>NUCL</t>
  </si>
  <si>
    <t>iShares NYSE 100 Index</t>
  </si>
  <si>
    <t>NY</t>
  </si>
  <si>
    <t>iShares NYSE Composite Index</t>
  </si>
  <si>
    <t>NYC</t>
  </si>
  <si>
    <t>iShares S&amp;P New York Municipal Bond</t>
  </si>
  <si>
    <t>NYF</t>
  </si>
  <si>
    <t>Energy GEMS ETF</t>
  </si>
  <si>
    <t>OGEM</t>
  </si>
  <si>
    <t>Oil Services HOLDRs</t>
  </si>
  <si>
    <t>OIH</t>
  </si>
  <si>
    <t>E-TRACS Oil Futures Contango ETN</t>
  </si>
  <si>
    <t>OILZ</t>
  </si>
  <si>
    <t>Pure Beta Crude Oil ETN</t>
  </si>
  <si>
    <t>OLEM</t>
  </si>
  <si>
    <t>DB Crude Oil Long ETN</t>
  </si>
  <si>
    <t>OLO</t>
  </si>
  <si>
    <t>Russell Equity ETF</t>
  </si>
  <si>
    <t>ONEF</t>
  </si>
  <si>
    <t>Fidelity Nasdaq Composite Index Tracking</t>
  </si>
  <si>
    <t>ONEQ</t>
  </si>
  <si>
    <t>Pure Beta Energy ETN</t>
  </si>
  <si>
    <t>ONG</t>
  </si>
  <si>
    <t>ETRACS Fisher-Gartman Risk On ETN</t>
  </si>
  <si>
    <t>ONN</t>
  </si>
  <si>
    <t>PowerShares FTSE RAFI Asia Pacific ex-Jp</t>
  </si>
  <si>
    <t>PAF</t>
  </si>
  <si>
    <t>Global Agriculture Portfolio</t>
  </si>
  <si>
    <t>PAGG</t>
  </si>
  <si>
    <t>Physical Palladium Shares</t>
  </si>
  <si>
    <t>PALL</t>
  </si>
  <si>
    <t>RiverFront Tactical Balanced Growth Portfolio</t>
  </si>
  <si>
    <t>PAO</t>
  </si>
  <si>
    <t>PowerShares Global Clean Energy</t>
  </si>
  <si>
    <t>PBD</t>
  </si>
  <si>
    <t>PowerShares Dynamic Biotech &amp; Genome</t>
  </si>
  <si>
    <t>PBE</t>
  </si>
  <si>
    <t>PowerShares Dynamic Food &amp; Beverage</t>
  </si>
  <si>
    <t>PBJ</t>
  </si>
  <si>
    <t>Powershares S&amp;P 500 BuyWrite</t>
  </si>
  <si>
    <t>PBP</t>
  </si>
  <si>
    <t>PowerShares Dynamic Media</t>
  </si>
  <si>
    <t>PBS</t>
  </si>
  <si>
    <t>RiverFront Tactical Growth &amp; Income Portfolio</t>
  </si>
  <si>
    <t>PCA</t>
  </si>
  <si>
    <t>CEF Income Composite Portfolio</t>
  </si>
  <si>
    <t>PCEF</t>
  </si>
  <si>
    <t>PowerShares FTSE RAFI Dvp Mkts exUS S/M</t>
  </si>
  <si>
    <t>PDN</t>
  </si>
  <si>
    <t>PowerShares Dynamic Leisure &amp; Entertain</t>
  </si>
  <si>
    <t>PEJ</t>
  </si>
  <si>
    <t>Market Vectors China ETF</t>
  </si>
  <si>
    <t>PEK</t>
  </si>
  <si>
    <t>Permanent ETF</t>
  </si>
  <si>
    <t>PERM</t>
  </si>
  <si>
    <t>PowerShares Dynamic Consumer Discr</t>
  </si>
  <si>
    <t>PEZ</t>
  </si>
  <si>
    <t>PowerShares Dynamic Financials</t>
  </si>
  <si>
    <t>PFI</t>
  </si>
  <si>
    <t>Fundamental Investment Grade Corporate Bond Portfolio</t>
  </si>
  <si>
    <t>PFIG</t>
  </si>
  <si>
    <t>Market Vectors Preferred Securities ex Financials ETF</t>
  </si>
  <si>
    <t>PFXF</t>
  </si>
  <si>
    <t>Asian &amp; Gulf Currency Revaluation ETN</t>
  </si>
  <si>
    <t>PGD</t>
  </si>
  <si>
    <t>PowerShares Gldn Dragon Halter USX China</t>
  </si>
  <si>
    <t>PGJ</t>
  </si>
  <si>
    <t>DJ UBS Platinum Trust Sub-Index ETN</t>
  </si>
  <si>
    <t>PGM</t>
  </si>
  <si>
    <t>Preferred Portfolio</t>
  </si>
  <si>
    <t>PGX</t>
  </si>
  <si>
    <t>PowerShares Dynamic Insurance</t>
  </si>
  <si>
    <t>PIC</t>
  </si>
  <si>
    <t>International Corporate Bond Portfolio</t>
  </si>
  <si>
    <t>PICB</t>
  </si>
  <si>
    <t>MSCI Global Select Metals &amp; Mining Producers Fund</t>
  </si>
  <si>
    <t>PICK</t>
  </si>
  <si>
    <t>India Portfolio</t>
  </si>
  <si>
    <t>PIN</t>
  </si>
  <si>
    <t>PowerShares Global Water</t>
  </si>
  <si>
    <t>PIO</t>
  </si>
  <si>
    <t>PowerShares Dynamic MagniQuant</t>
  </si>
  <si>
    <t>PIQ</t>
  </si>
  <si>
    <t>PowerShares DWA Dev Mrkts Technical Ldrs</t>
  </si>
  <si>
    <t>PIZ</t>
  </si>
  <si>
    <t>Dynamic Pharmaceuticals</t>
  </si>
  <si>
    <t>PJP</t>
  </si>
  <si>
    <t>PowerShares Dynamic Building &amp; Construct</t>
  </si>
  <si>
    <t>PKB</t>
  </si>
  <si>
    <t>Global Nuclear Portfolio</t>
  </si>
  <si>
    <t>PKN</t>
  </si>
  <si>
    <t>Global Coal Portfolio</t>
  </si>
  <si>
    <t>PKOL</t>
  </si>
  <si>
    <t>PowerShares Buyback Achievers</t>
  </si>
  <si>
    <t>PKW</t>
  </si>
  <si>
    <t>Active Low Duration Fund</t>
  </si>
  <si>
    <t>PLK</t>
  </si>
  <si>
    <t>Market Vectors Poland ETF</t>
  </si>
  <si>
    <t>PLND</t>
  </si>
  <si>
    <t>ISE Global Platinum Index Fund</t>
  </si>
  <si>
    <t>PLTM</t>
  </si>
  <si>
    <t>PowerShares 1-30 Laddered Treasury</t>
  </si>
  <si>
    <t>PLW</t>
  </si>
  <si>
    <t>MENA Frontier Countries Portfolio</t>
  </si>
  <si>
    <t>PMNA</t>
  </si>
  <si>
    <t>PowerShares Dynamic Retail</t>
  </si>
  <si>
    <t>PMR</t>
  </si>
  <si>
    <t>Nasdaq Internet Portfolio</t>
  </si>
  <si>
    <t>PNQI</t>
  </si>
  <si>
    <t>PowerShares Aerospace &amp; Defense</t>
  </si>
  <si>
    <t>PPA</t>
  </si>
  <si>
    <t>Pharmaceutical HOLDRs</t>
  </si>
  <si>
    <t>PPH</t>
  </si>
  <si>
    <t>Physical Platinum Shares</t>
  </si>
  <si>
    <t>PPLT</t>
  </si>
  <si>
    <t>Market Vectors Pre-Refunded Municipal Index ETF</t>
  </si>
  <si>
    <t>PRB</t>
  </si>
  <si>
    <t>PowerShares FTSE RAFI US 1500 Small-Mid</t>
  </si>
  <si>
    <t>PRFZ</t>
  </si>
  <si>
    <t>PowerShares Dynamic Industrials</t>
  </si>
  <si>
    <t>PRN</t>
  </si>
  <si>
    <t>Global Gold and Precious Metals Portfolio</t>
  </si>
  <si>
    <t>PSAU</t>
  </si>
  <si>
    <t>S&amp;P SmallCap Consumer Staples Portfolio</t>
  </si>
  <si>
    <t>PSCC</t>
  </si>
  <si>
    <t>S&amp;P SmallCap Consumer Discretionary Portfolio</t>
  </si>
  <si>
    <t>PSCD</t>
  </si>
  <si>
    <t>S&amp;P SmallCap Energy Portfolio</t>
  </si>
  <si>
    <t>PSCE</t>
  </si>
  <si>
    <t>S&amp;P SmallCap Financials Portfolio</t>
  </si>
  <si>
    <t>PSCF</t>
  </si>
  <si>
    <t>S&amp;P SmallCap Health Care Portfolio</t>
  </si>
  <si>
    <t>PSCH</t>
  </si>
  <si>
    <t>S&amp;P SmallCap Industrials Portfolio</t>
  </si>
  <si>
    <t>PSCI</t>
  </si>
  <si>
    <t>S&amp;P SmallCap Materials Portfolio</t>
  </si>
  <si>
    <t>PSCM</t>
  </si>
  <si>
    <t>S&amp;P SmallCap Information Technology Portfolio</t>
  </si>
  <si>
    <t>PSCT</t>
  </si>
  <si>
    <t>S&amp;P SmallCap Utilities Portfolio</t>
  </si>
  <si>
    <t>PSCU</t>
  </si>
  <si>
    <t>PowerShares Dynamic Semiconductors</t>
  </si>
  <si>
    <t>PSI</t>
  </si>
  <si>
    <t>PowerShares Dynamic Software</t>
  </si>
  <si>
    <t>PSJ</t>
  </si>
  <si>
    <t>SPDR Wells Fargo Preferred Stock ETF</t>
  </si>
  <si>
    <t>PSK</t>
  </si>
  <si>
    <t>PowerShares Dynamic Consumer Staples</t>
  </si>
  <si>
    <t>PSL</t>
  </si>
  <si>
    <t>Active U.S. Real Estate Fund</t>
  </si>
  <si>
    <t>PSR</t>
  </si>
  <si>
    <t>Global Steel Portfolio</t>
  </si>
  <si>
    <t>PSTL</t>
  </si>
  <si>
    <t>PowerShares Dynamic Technology</t>
  </si>
  <si>
    <t>PTF</t>
  </si>
  <si>
    <t>PowerShares Dynamic Healthcare</t>
  </si>
  <si>
    <t>PTH</t>
  </si>
  <si>
    <t>E-TRACS UBS Long Platinum ETN</t>
  </si>
  <si>
    <t>PTM</t>
  </si>
  <si>
    <t>PowerShares Dynamic Utilities</t>
  </si>
  <si>
    <t>PUI</t>
  </si>
  <si>
    <t>PowerShares WilderHill Prog Energy</t>
  </si>
  <si>
    <t>PUW</t>
  </si>
  <si>
    <t>PowerShares Dynamic Large Cap Growth</t>
  </si>
  <si>
    <t>PWB</t>
  </si>
  <si>
    <t>PowerShares Dynamic Market</t>
  </si>
  <si>
    <t>PWC</t>
  </si>
  <si>
    <t>PowerShares Dynamic Mid Cap Growth</t>
  </si>
  <si>
    <t>PWJ</t>
  </si>
  <si>
    <t>Global Wind Energy Portfolio</t>
  </si>
  <si>
    <t>PWND</t>
  </si>
  <si>
    <t>PowerShares Dynamic OTC</t>
  </si>
  <si>
    <t>PWO</t>
  </si>
  <si>
    <t>PowerShares Dynamic Large Cap Value</t>
  </si>
  <si>
    <t>PWV</t>
  </si>
  <si>
    <t>PowerShares Insured California Muni Bond</t>
  </si>
  <si>
    <t>PWZ</t>
  </si>
  <si>
    <t>PowerShares Dynamic Energy Explor &amp; Prod</t>
  </si>
  <si>
    <t>PXE</t>
  </si>
  <si>
    <t>PowerShares FTSE RAFI Dvlpd Mkts ex-US</t>
  </si>
  <si>
    <t>PXF</t>
  </si>
  <si>
    <t>PowerShares Dynamic Energy</t>
  </si>
  <si>
    <t>PXI</t>
  </si>
  <si>
    <t>PowerShares Dynamic Oil &amp; Gas Services</t>
  </si>
  <si>
    <t>PXJ</t>
  </si>
  <si>
    <t>RAFI Fundamental Pure Large Core Portfolio</t>
  </si>
  <si>
    <t>PXLC</t>
  </si>
  <si>
    <t>RAFI Fundamental Pure Large Growth Portfolio</t>
  </si>
  <si>
    <t>PXLG</t>
  </si>
  <si>
    <t>RAFI Fundamental Pure Large Value Portfolio</t>
  </si>
  <si>
    <t>PXLV</t>
  </si>
  <si>
    <t>RAFI Fundamental Pure Mid Core Portfolio</t>
  </si>
  <si>
    <t>PXMC</t>
  </si>
  <si>
    <t>RAFI Fundamental Pure Mid Value Portfolio</t>
  </si>
  <si>
    <t>PXMV</t>
  </si>
  <si>
    <t>PowerShares Lux Nanotech</t>
  </si>
  <si>
    <t>PXN</t>
  </si>
  <si>
    <t>PowerShares Dynamic Networking</t>
  </si>
  <si>
    <t>PXQ</t>
  </si>
  <si>
    <t>Global Emerging Markets Infrastructure</t>
  </si>
  <si>
    <t>PXR</t>
  </si>
  <si>
    <t>RAFI Fundamental Pure Small Core Portfolio</t>
  </si>
  <si>
    <t>PXSC</t>
  </si>
  <si>
    <t>RAFI Fundamental Pure Small Growth Portfolio</t>
  </si>
  <si>
    <t>PXSG</t>
  </si>
  <si>
    <t>RAFI Fundamental Pure Small Value Portfolio</t>
  </si>
  <si>
    <t>PXSV</t>
  </si>
  <si>
    <t>PowerShares Dynamic Basic Materials</t>
  </si>
  <si>
    <t>PYZ</t>
  </si>
  <si>
    <t>PowerShares Cleantech</t>
  </si>
  <si>
    <t>PZD</t>
  </si>
  <si>
    <t>PowerShares Zacks Micro Cap</t>
  </si>
  <si>
    <t>PZI</t>
  </si>
  <si>
    <t>PowerShares Insured New York Muni Bond</t>
  </si>
  <si>
    <t>PZT</t>
  </si>
  <si>
    <t>NASDAQ ABA Community Bank Index Fund</t>
  </si>
  <si>
    <t>QABA</t>
  </si>
  <si>
    <t>IQ Hedge Multi-Strategy Tracker ETF</t>
  </si>
  <si>
    <t>QAI</t>
  </si>
  <si>
    <t>First Trust NASDAQ Clean Edge US Liquid</t>
  </si>
  <si>
    <t>QCLN</t>
  </si>
  <si>
    <t>Technology GEMS ETF</t>
  </si>
  <si>
    <t>QGEM</t>
  </si>
  <si>
    <t>Aaa - A Rated Corporate Bond Fund</t>
  </si>
  <si>
    <t>QLTA</t>
  </si>
  <si>
    <t>Baa-Ba Rated Corporate Bond Fund</t>
  </si>
  <si>
    <t>QLTB</t>
  </si>
  <si>
    <t>B-Ca Rated Corporate Bond Fund</t>
  </si>
  <si>
    <t>QLTC</t>
  </si>
  <si>
    <t>First Trust NASDAQ-100 Equal Weight Idx</t>
  </si>
  <si>
    <t>QQEW</t>
  </si>
  <si>
    <t>NASDAQ China Technology ETF</t>
  </si>
  <si>
    <t>QQQC</t>
  </si>
  <si>
    <t>NASDAQ-100 Equal Weighted Index Shares</t>
  </si>
  <si>
    <t>QQQE</t>
  </si>
  <si>
    <t>First Trust NASDAQ-100 Ex-Tech Sector</t>
  </si>
  <si>
    <t>QQXT</t>
  </si>
  <si>
    <t>First Trust NASDAQ-100-Tech Index</t>
  </si>
  <si>
    <t>QTEC</t>
  </si>
  <si>
    <t>RAFI Long/Short</t>
  </si>
  <si>
    <t>RALS</t>
  </si>
  <si>
    <t>SPDR S&amp;P Russia ETF</t>
  </si>
  <si>
    <t>RBL</t>
  </si>
  <si>
    <t>Rydex S&amp;P Equal Weight Consumer Discr</t>
  </si>
  <si>
    <t>RCD</t>
  </si>
  <si>
    <t>Market Vectors Rare Earth/Strategic Metals ETF</t>
  </si>
  <si>
    <t>REMX</t>
  </si>
  <si>
    <t>iShares FTSE NAREIT Residential</t>
  </si>
  <si>
    <t>REZ</t>
  </si>
  <si>
    <t>Rydex S&amp;P Midcap 400 Pure Growth</t>
  </si>
  <si>
    <t>RFG</t>
  </si>
  <si>
    <t>Rydex S&amp;P Midcap 400 Pure Value</t>
  </si>
  <si>
    <t>RFV</t>
  </si>
  <si>
    <t>Rydex S&amp;P Equal Weight Industrials</t>
  </si>
  <si>
    <t>RGI</t>
  </si>
  <si>
    <t>Rydex S&amp;P Equal Weight Consumer Staples</t>
  </si>
  <si>
    <t>RHS</t>
  </si>
  <si>
    <t>30 Year TIPS/TSY Spread</t>
  </si>
  <si>
    <t>RINF</t>
  </si>
  <si>
    <t>MSCI Global Gold Miners Fund</t>
  </si>
  <si>
    <t>RING</t>
  </si>
  <si>
    <t>ELEMENTS Rogers Intl Commodity Enrgy ETN</t>
  </si>
  <si>
    <t>RJN</t>
  </si>
  <si>
    <t>ELEMENTS Rogers Intl Commodity Metal ETN</t>
  </si>
  <si>
    <t>RJZ</t>
  </si>
  <si>
    <t>Regional Bank HOLDRs</t>
  </si>
  <si>
    <t>RKH</t>
  </si>
  <si>
    <t>SPDR Multi-Asset Real Return ETF</t>
  </si>
  <si>
    <t>RLY</t>
  </si>
  <si>
    <t>Yuan Bond ETF</t>
  </si>
  <si>
    <t>RMB</t>
  </si>
  <si>
    <t>IQ US Real Estate Small Cap ETF</t>
  </si>
  <si>
    <t>ROOF</t>
  </si>
  <si>
    <t>Rydex S&amp;P 500 Pure Growth</t>
  </si>
  <si>
    <t>RPG</t>
  </si>
  <si>
    <t>Rydex S&amp;P 500 Pure Value</t>
  </si>
  <si>
    <t>RPV</t>
  </si>
  <si>
    <t>Growth Equity Strategy Fund</t>
  </si>
  <si>
    <t>RPX</t>
  </si>
  <si>
    <t>Global Real Return Fund</t>
  </si>
  <si>
    <t>RRF</t>
  </si>
  <si>
    <t>Global Alpha &amp; Beta ETF</t>
  </si>
  <si>
    <t>RRGR</t>
  </si>
  <si>
    <t>Market Vectors Russia Small-Cap ETF</t>
  </si>
  <si>
    <t>RSXJ</t>
  </si>
  <si>
    <t>Retail HOLDRs</t>
  </si>
  <si>
    <t>RTH</t>
  </si>
  <si>
    <t>Rydex S&amp;P Equal Weight Materials</t>
  </si>
  <si>
    <t>RTM</t>
  </si>
  <si>
    <t>ADR Fund</t>
  </si>
  <si>
    <t>RTR</t>
  </si>
  <si>
    <t>Large-Cap Growth Equity Strategy Fund</t>
  </si>
  <si>
    <t>RWG</t>
  </si>
  <si>
    <t>Small Cap Fund</t>
  </si>
  <si>
    <t>RWJ</t>
  </si>
  <si>
    <t>Mid Cap Fund</t>
  </si>
  <si>
    <t>RWK</t>
  </si>
  <si>
    <t>Large Cap Fund</t>
  </si>
  <si>
    <t>RWL</t>
  </si>
  <si>
    <t>SPDR DJ Wilshire Global Real Estate ETF</t>
  </si>
  <si>
    <t>RWO</t>
  </si>
  <si>
    <t>Navallier Overall A-100 Fund</t>
  </si>
  <si>
    <t>RWV</t>
  </si>
  <si>
    <t>Financials Sector Fund</t>
  </si>
  <si>
    <t>RWW</t>
  </si>
  <si>
    <t>iShares S&amp;P Global Cons Discretionary</t>
  </si>
  <si>
    <t>RXI</t>
  </si>
  <si>
    <t>Rydex S&amp;P Equal Weight Energy</t>
  </si>
  <si>
    <t>RYE</t>
  </si>
  <si>
    <t>Rydex S&amp;P Equal Weight Financials</t>
  </si>
  <si>
    <t>RYF</t>
  </si>
  <si>
    <t>Rydex S&amp;P Equal Weight Health Care</t>
  </si>
  <si>
    <t>RYH</t>
  </si>
  <si>
    <t xml:space="preserve">Raymond James SB-1 Equity ETF </t>
  </si>
  <si>
    <t>RYJ</t>
  </si>
  <si>
    <t>Rydex S&amp;P Equal Weight Technology</t>
  </si>
  <si>
    <t>RYT</t>
  </si>
  <si>
    <t>Rydex S&amp;P Equal Weight Utilities</t>
  </si>
  <si>
    <t>RYU</t>
  </si>
  <si>
    <t>Rydex S&amp;P Smallcap 600 Pure Growth</t>
  </si>
  <si>
    <t>RZG</t>
  </si>
  <si>
    <t>Rydex S&amp;P Smallcap 600 Pure Value</t>
  </si>
  <si>
    <t>RZV</t>
  </si>
  <si>
    <t>Pure Beta S&amp;P GSCI-Weighted ETN</t>
  </si>
  <si>
    <t>SBV</t>
  </si>
  <si>
    <t>U.S. Small-Cap ETF</t>
  </si>
  <si>
    <t>SCHA</t>
  </si>
  <si>
    <t>U.S. Broad Market ETF</t>
  </si>
  <si>
    <t>SCHB</t>
  </si>
  <si>
    <t>International Small-Cap Equity ETF</t>
  </si>
  <si>
    <t>SCHC</t>
  </si>
  <si>
    <t>US Dividend Equity ETF</t>
  </si>
  <si>
    <t>SCHD</t>
  </si>
  <si>
    <t>Emerging Markets Equity ETF</t>
  </si>
  <si>
    <t>SCHE</t>
  </si>
  <si>
    <t>International Equity ETF</t>
  </si>
  <si>
    <t>SCHF</t>
  </si>
  <si>
    <t>U.S. Large-Cap Growth ETF</t>
  </si>
  <si>
    <t>SCHG</t>
  </si>
  <si>
    <t>U.S. REIT ETF</t>
  </si>
  <si>
    <t>SCHH</t>
  </si>
  <si>
    <t>U.S. Mid-Cap ETF</t>
  </si>
  <si>
    <t>SCHM</t>
  </si>
  <si>
    <t>Short-Term U.S. Treasury ETF</t>
  </si>
  <si>
    <t>SCHO</t>
  </si>
  <si>
    <t>U.S. TIPS ETF</t>
  </si>
  <si>
    <t>SCHP</t>
  </si>
  <si>
    <t>Intermediate-Term U.S. Treasury ETF</t>
  </si>
  <si>
    <t>SCHR</t>
  </si>
  <si>
    <t>U.S. Large-Cap Value ETF</t>
  </si>
  <si>
    <t>SCHV</t>
  </si>
  <si>
    <t>U.S. Large-Cap ETF</t>
  </si>
  <si>
    <t>SCHX</t>
  </si>
  <si>
    <t>U.S. Aggregate Bond ETF</t>
  </si>
  <si>
    <t>SCHZ</t>
  </si>
  <si>
    <t>India Small-Cap Index ETF</t>
  </si>
  <si>
    <t>SCIF</t>
  </si>
  <si>
    <t>India Small Cap ETF</t>
  </si>
  <si>
    <t>SCIN</t>
  </si>
  <si>
    <t>iShares MSCI Japan Small Cap Index</t>
  </si>
  <si>
    <t>SCJ</t>
  </si>
  <si>
    <t>SPDR Barclays Capital Short Term Corporate Bond ETF</t>
  </si>
  <si>
    <t>SCPB</t>
  </si>
  <si>
    <t>SuperDividend ETF</t>
  </si>
  <si>
    <t>SDIV</t>
  </si>
  <si>
    <t>Sector Dividend Dogs ETF</t>
  </si>
  <si>
    <t>SDOG</t>
  </si>
  <si>
    <t xml:space="preserve">Shipping ETF </t>
  </si>
  <si>
    <t>SEA</t>
  </si>
  <si>
    <t>Pure Beta Sugar ETN</t>
  </si>
  <si>
    <t>SGAR</t>
  </si>
  <si>
    <t>Dow Jones-UBS Sugar Subindex Total Return ETN</t>
  </si>
  <si>
    <t>SGG</t>
  </si>
  <si>
    <t>Physical Swiss Gold Shares</t>
  </si>
  <si>
    <t>SGOL</t>
  </si>
  <si>
    <t>Silver Miners ETF</t>
  </si>
  <si>
    <t>SIL</t>
  </si>
  <si>
    <t>Physical Silver Shares</t>
  </si>
  <si>
    <t>SIVR</t>
  </si>
  <si>
    <t>U.S. Market Neutral Size Fund</t>
  </si>
  <si>
    <t>SIZ</t>
  </si>
  <si>
    <t>SPDR Barclays Capital Short Term High Yield Bond ETF</t>
  </si>
  <si>
    <t>SJNK</t>
  </si>
  <si>
    <t>ISE Cloud Computing Index Fund</t>
  </si>
  <si>
    <t>SKYY</t>
  </si>
  <si>
    <t>MSCI Global Silver Miners Fund</t>
  </si>
  <si>
    <t>SLVP</t>
  </si>
  <si>
    <t>Market Vectors Steel ETF</t>
  </si>
  <si>
    <t>SLX</t>
  </si>
  <si>
    <t>SPDR S&amp;P 600 Small Cap ETF</t>
  </si>
  <si>
    <t>SLY</t>
  </si>
  <si>
    <t>SPDR S&amp;P 600 Small Cap Growth ETF</t>
  </si>
  <si>
    <t>SLYG</t>
  </si>
  <si>
    <t>SPDR S&amp;P 600 Small Cap Value ETF</t>
  </si>
  <si>
    <t>SLYV</t>
  </si>
  <si>
    <t>Market Vectors Short Municipal Index ETF</t>
  </si>
  <si>
    <t>SMB</t>
  </si>
  <si>
    <t>Semiconductor HOLDRs</t>
  </si>
  <si>
    <t>SMH</t>
  </si>
  <si>
    <t>MSCI India Small Cap Index Fund</t>
  </si>
  <si>
    <t>SMIN</t>
  </si>
  <si>
    <t>Sustainable North American Oil Sands ETF</t>
  </si>
  <si>
    <t>SNDS</t>
  </si>
  <si>
    <t>Social Media Index ETF</t>
  </si>
  <si>
    <t>SOCL</t>
  </si>
  <si>
    <t>Fertilizers/Potash ETF</t>
  </si>
  <si>
    <t>SOIL</t>
  </si>
  <si>
    <t>PHLX SOX Semiconductor Sector Index Fund</t>
  </si>
  <si>
    <t>SOXX</t>
  </si>
  <si>
    <t>Soybean Fund</t>
  </si>
  <si>
    <t>SOYB</t>
  </si>
  <si>
    <t>SuperIncome Preferred ETF</t>
  </si>
  <si>
    <t>SPFF</t>
  </si>
  <si>
    <t>E-TRACS S&amp;P 500 Gold Hedged ETN</t>
  </si>
  <si>
    <t>SPGH</t>
  </si>
  <si>
    <t>S&amp;P 500 High Beta Portfolio</t>
  </si>
  <si>
    <t>SPHB</t>
  </si>
  <si>
    <t>S&amp;P 500 High Quality Portfolio</t>
  </si>
  <si>
    <t>SPHQ</t>
  </si>
  <si>
    <t>S&amp;P 500 Low Volatility Portfolio</t>
  </si>
  <si>
    <t>SPLV</t>
  </si>
  <si>
    <t>SPDR S&amp;P 500 Growth ETF</t>
  </si>
  <si>
    <t>SPYG</t>
  </si>
  <si>
    <t>SPDR S&amp;P 500 Value ETF</t>
  </si>
  <si>
    <t>SPYV</t>
  </si>
  <si>
    <t>Rockledge SectorSAM ETF</t>
  </si>
  <si>
    <t>SSAM</t>
  </si>
  <si>
    <t>ETRACS ISE Solid State Drive Index ETN</t>
  </si>
  <si>
    <t>SSDD</t>
  </si>
  <si>
    <t>SPDR Barclays Capital Short Term Treasury ETF</t>
  </si>
  <si>
    <t>SST</t>
  </si>
  <si>
    <t>Barclays 0-5 Year TIPS Bond Fund</t>
  </si>
  <si>
    <t>STIP</t>
  </si>
  <si>
    <t>US Treasury Steepener ETN</t>
  </si>
  <si>
    <t>STPP</t>
  </si>
  <si>
    <t>1-5 Year U.S. TIPS Index Fund</t>
  </si>
  <si>
    <t>STPZ</t>
  </si>
  <si>
    <t>S&amp;P Short Trm National Muni Bond</t>
  </si>
  <si>
    <t>SUB</t>
  </si>
  <si>
    <t>Agricultural Fund</t>
  </si>
  <si>
    <t>TAGS</t>
  </si>
  <si>
    <t xml:space="preserve">Solar ETF </t>
  </si>
  <si>
    <t>TAN</t>
  </si>
  <si>
    <t>Claymore/AlphaShares China Real Estate</t>
  </si>
  <si>
    <t>TAO</t>
  </si>
  <si>
    <t>Gold Trendpilot ETN</t>
  </si>
  <si>
    <t>TBAR</t>
  </si>
  <si>
    <t>China Trendpilot ETN</t>
  </si>
  <si>
    <t>TCHI</t>
  </si>
  <si>
    <t>db-X 2010 Target Date Fund</t>
  </si>
  <si>
    <t>TDD</t>
  </si>
  <si>
    <t>db-X 2020 Target Date Fund</t>
  </si>
  <si>
    <t>TDH</t>
  </si>
  <si>
    <t>db-X 2030 Target Date Fund</t>
  </si>
  <si>
    <t>TDN</t>
  </si>
  <si>
    <t>iBoxx 5-Year Target Duration TIPS Index Fund</t>
  </si>
  <si>
    <t>TDTF</t>
  </si>
  <si>
    <t xml:space="preserve">iBoxx 3-Year Target Duration TIPS Index Fund </t>
  </si>
  <si>
    <t>TDTT</t>
  </si>
  <si>
    <t>db-X 2040 Target Date Fund</t>
  </si>
  <si>
    <t>TDV</t>
  </si>
  <si>
    <t>db-X In-Target Date Fund</t>
  </si>
  <si>
    <t>TDX</t>
  </si>
  <si>
    <t>7-15 Year U.S. Treasury Index Fund</t>
  </si>
  <si>
    <t>TENZ</t>
  </si>
  <si>
    <t>Telecommunications GEMS ETF</t>
  </si>
  <si>
    <t>TGEM</t>
  </si>
  <si>
    <t>S&amp;P Target Date Retirement Inc</t>
  </si>
  <si>
    <t>TGR</t>
  </si>
  <si>
    <t>MSCI Thailand Index Fund</t>
  </si>
  <si>
    <t>THD</t>
  </si>
  <si>
    <t>Morningstar US Market Factor Tilt Index Fund</t>
  </si>
  <si>
    <t>TILT</t>
  </si>
  <si>
    <t>Broad U.S. TIPS Index Fund</t>
  </si>
  <si>
    <t>TIPZ</t>
  </si>
  <si>
    <t>iShares BCI 10-20 Year Treasury Bond</t>
  </si>
  <si>
    <t>TLH</t>
  </si>
  <si>
    <t>SPDR BCI Long Term Treasury</t>
  </si>
  <si>
    <t>TLO</t>
  </si>
  <si>
    <t>SPDR DJ Wilshire Total Market</t>
  </si>
  <si>
    <t>TMW</t>
  </si>
  <si>
    <t>NASDAQ-100 Trendpilot ETN</t>
  </si>
  <si>
    <t>TNDQ</t>
  </si>
  <si>
    <t>iShares MSCI Kokusai Index</t>
  </si>
  <si>
    <t>TOK</t>
  </si>
  <si>
    <t>TEMPLETON RUSS&amp;EE</t>
  </si>
  <si>
    <t>TRF</t>
  </si>
  <si>
    <t>US Large Cap Trendpilot ETN</t>
  </si>
  <si>
    <t>TRND</t>
  </si>
  <si>
    <t>US Mid Cap Trendpilot ETN</t>
  </si>
  <si>
    <t>TRNM</t>
  </si>
  <si>
    <t>Broad U.S. Treasury Index Fund</t>
  </si>
  <si>
    <t>TRSY</t>
  </si>
  <si>
    <t>TrimTabs Float Shrink ETF</t>
  </si>
  <si>
    <t>TTFS</t>
  </si>
  <si>
    <t>MSCI Turkey Investable Market Index Fund</t>
  </si>
  <si>
    <t>TUR</t>
  </si>
  <si>
    <t>1-3 Year US Treasury Index Fund</t>
  </si>
  <si>
    <t>TUZ</t>
  </si>
  <si>
    <t>Oil Trendpilot ETN</t>
  </si>
  <si>
    <t>TWTI</t>
  </si>
  <si>
    <t>S&amp;P Target Date 2010</t>
  </si>
  <si>
    <t>TZD</t>
  </si>
  <si>
    <t>S&amp;P Target Date 2015</t>
  </si>
  <si>
    <t>TZE</t>
  </si>
  <si>
    <t>S&amp;P Target Date 2020 ETF</t>
  </si>
  <si>
    <t>TZG</t>
  </si>
  <si>
    <t>S&amp;P Target Date 2025 ETF</t>
  </si>
  <si>
    <t>TZI</t>
  </si>
  <si>
    <t>S&amp;P Target Date 2030</t>
  </si>
  <si>
    <t>TZL</t>
  </si>
  <si>
    <t>S&amp;P Target Date 2035</t>
  </si>
  <si>
    <t>TZO</t>
  </si>
  <si>
    <t>S&amp;P Target Date 2040</t>
  </si>
  <si>
    <t>TZV</t>
  </si>
  <si>
    <t>S&amp;P Target Date 2045 Index Fund ETF</t>
  </si>
  <si>
    <t>TZW</t>
  </si>
  <si>
    <t>S&amp;P Target Date 2050 Index Fund ETF</t>
  </si>
  <si>
    <t>TZY</t>
  </si>
  <si>
    <t>E-TRACS UBS Bloomberg CMCI Agric ETN</t>
  </si>
  <si>
    <t>UAG</t>
  </si>
  <si>
    <t>E-TRACS UBS Bloomberg CMCI Livestock ETN</t>
  </si>
  <si>
    <t>UBC</t>
  </si>
  <si>
    <t>E-TRACS UBS Bloomberg CMCI Gold ETN</t>
  </si>
  <si>
    <t>UBG</t>
  </si>
  <si>
    <t>E-TRACS UBS Bloomberg CMCI Ind Metal ETN</t>
  </si>
  <si>
    <t>UBM</t>
  </si>
  <si>
    <t>E-TRACS UBS Bloomberg CMCI Energy ETN</t>
  </si>
  <si>
    <t>UBN</t>
  </si>
  <si>
    <t>E-TRACS UBS Bloomberg CMCI ETN</t>
  </si>
  <si>
    <t>UCI</t>
  </si>
  <si>
    <t>PowerShares DB US Dollar Index Bearish</t>
  </si>
  <si>
    <t>UDN</t>
  </si>
  <si>
    <t>United States Gasoline Fund LP</t>
  </si>
  <si>
    <t>UGA</t>
  </si>
  <si>
    <t>Utilities GEMS ETF</t>
  </si>
  <si>
    <t>UGEM</t>
  </si>
  <si>
    <t>United States Diesel Heating Oil Fund</t>
  </si>
  <si>
    <t>UHN</t>
  </si>
  <si>
    <t>United States 12 Month Natural Gas Fund</t>
  </si>
  <si>
    <t>UNL</t>
  </si>
  <si>
    <t>Uranium ETF</t>
  </si>
  <si>
    <t>URA</t>
  </si>
  <si>
    <t>MSCI World Index Fund</t>
  </si>
  <si>
    <t>URTH</t>
  </si>
  <si>
    <t>United States Agriculture Index Fund</t>
  </si>
  <si>
    <t>USAG</t>
  </si>
  <si>
    <t>United States Commodity Index Fund</t>
  </si>
  <si>
    <t>USCI</t>
  </si>
  <si>
    <t>United States 12 Month Oil</t>
  </si>
  <si>
    <t>USL</t>
  </si>
  <si>
    <t>United States Metals Index Fund</t>
  </si>
  <si>
    <t>USMI</t>
  </si>
  <si>
    <t>MSCI USA Minimum Volatility Index Fund</t>
  </si>
  <si>
    <t>USMV</t>
  </si>
  <si>
    <t>E-TRACS UBS Bloomberg CMCI Silver ETN</t>
  </si>
  <si>
    <t>USV</t>
  </si>
  <si>
    <t>Vanguard Materials ETF</t>
  </si>
  <si>
    <t>VAW</t>
  </si>
  <si>
    <t>Intermediate-Term Corporate Bond Index Fund</t>
  </si>
  <si>
    <t>VCIT</t>
  </si>
  <si>
    <t>Long-Term Corporate Bond Index Fund</t>
  </si>
  <si>
    <t>VCLT</t>
  </si>
  <si>
    <t>Vanguard Consumer Discretionary ETF</t>
  </si>
  <si>
    <t>VCR</t>
  </si>
  <si>
    <t>Short-Term Corporate Bond Index Fund</t>
  </si>
  <si>
    <t>VCSH</t>
  </si>
  <si>
    <t>Vanguard Consumer Staples ETF</t>
  </si>
  <si>
    <t>VDC</t>
  </si>
  <si>
    <t>MSCI Global Agriculture Producers Fund</t>
  </si>
  <si>
    <t>VEGI</t>
  </si>
  <si>
    <t>Consumer Services GEMS ETF</t>
  </si>
  <si>
    <t>VGEM</t>
  </si>
  <si>
    <t>Intermediate-Term Government Bond Index Fund</t>
  </si>
  <si>
    <t>VGIT</t>
  </si>
  <si>
    <t>Long-Term Government Bond Index Fund</t>
  </si>
  <si>
    <t>VGLT</t>
  </si>
  <si>
    <t>Short-Term Government Bond Index Fund</t>
  </si>
  <si>
    <t>VGSH</t>
  </si>
  <si>
    <t>Vanguard Health Care ETF</t>
  </si>
  <si>
    <t>VHT</t>
  </si>
  <si>
    <t>VIX Medium-Term ETN</t>
  </si>
  <si>
    <t>VIIZ</t>
  </si>
  <si>
    <t>S&amp;P Small-Cap 600 Growth ETF</t>
  </si>
  <si>
    <t>VIOG</t>
  </si>
  <si>
    <t>S&amp;P Small-Cap 600 ETF</t>
  </si>
  <si>
    <t>VIOO</t>
  </si>
  <si>
    <t>S&amp;P Small-Cap 600 Value ETF</t>
  </si>
  <si>
    <t>VIOV</t>
  </si>
  <si>
    <t>Vanguard Industrials ETF</t>
  </si>
  <si>
    <t>VIS</t>
  </si>
  <si>
    <t>VIX Mid-Term Futures ETF</t>
  </si>
  <si>
    <t>VIXM</t>
  </si>
  <si>
    <t>VIX Short-Term Futures ETF</t>
  </si>
  <si>
    <t>VIXY</t>
  </si>
  <si>
    <t>Mortgage-Backed Securities Index Fund</t>
  </si>
  <si>
    <t>VMBS</t>
  </si>
  <si>
    <t>Market Vectors Vietnam ETF</t>
  </si>
  <si>
    <t>VNM</t>
  </si>
  <si>
    <t>Global ex-U.S. Real Estate Index Fund</t>
  </si>
  <si>
    <t>VNQI</t>
  </si>
  <si>
    <t>Vanguard Mid-Cap Value ETF</t>
  </si>
  <si>
    <t>VOE</t>
  </si>
  <si>
    <t>Russell 1000 ETF</t>
  </si>
  <si>
    <t>VONE</t>
  </si>
  <si>
    <t>Russell 1000 Growth ETF</t>
  </si>
  <si>
    <t>VONG</t>
  </si>
  <si>
    <t>Russell 1000 Value ETF</t>
  </si>
  <si>
    <t>VONV</t>
  </si>
  <si>
    <t>S&amp;P 500 Growth ETF</t>
  </si>
  <si>
    <t>VOOG</t>
  </si>
  <si>
    <t>S&amp;P 500 Value ETF</t>
  </si>
  <si>
    <t>VOOV</t>
  </si>
  <si>
    <t>Vanguard Telecom Services ETF</t>
  </si>
  <si>
    <t>VOX</t>
  </si>
  <si>
    <t>Vanguard Utilities ETF</t>
  </si>
  <si>
    <t>VPU</t>
  </si>
  <si>
    <t>Barclays ETN+ S&amp;P VEQTOR ETN</t>
  </si>
  <si>
    <t>VQT</t>
  </si>
  <si>
    <t>SPDR S&amp;P VRDO Municipal Bond ETF</t>
  </si>
  <si>
    <t>VRD</t>
  </si>
  <si>
    <t>Direxion S&amp;P 500 RC Volatility Response Shares</t>
  </si>
  <si>
    <t>VSPY</t>
  </si>
  <si>
    <t>FTSE All-World ex-US Small Cap Index ETF</t>
  </si>
  <si>
    <t>VSS</t>
  </si>
  <si>
    <t>Total World Stock Index ETF</t>
  </si>
  <si>
    <t>VT</t>
  </si>
  <si>
    <t>Russell 3000 ETF</t>
  </si>
  <si>
    <t>VTHR</t>
  </si>
  <si>
    <t>Russell 2000 Growth ETF</t>
  </si>
  <si>
    <t>VTWG</t>
  </si>
  <si>
    <t>Russell 2000 ETF</t>
  </si>
  <si>
    <t>VTWO</t>
  </si>
  <si>
    <t>Russell 2000 Value ETF</t>
  </si>
  <si>
    <t>VTWV</t>
  </si>
  <si>
    <t>Total International Stock ETF</t>
  </si>
  <si>
    <t>VXUS</t>
  </si>
  <si>
    <t>S&amp;P 500 VIX Short-Term Futures ETN</t>
  </si>
  <si>
    <t>VXX</t>
  </si>
  <si>
    <t>S&amp;P 500 VIX Mid-Term Futures ETN</t>
  </si>
  <si>
    <t>VXZ</t>
  </si>
  <si>
    <t>Managed Futures Strategy Fund</t>
  </si>
  <si>
    <t>WDTI</t>
  </si>
  <si>
    <t>Wheat Fund</t>
  </si>
  <si>
    <t>WEAT</t>
  </si>
  <si>
    <t>Pure Beta Grains ETN</t>
  </si>
  <si>
    <t>WEET</t>
  </si>
  <si>
    <t>Wilshire 5000 Total Market ETF</t>
  </si>
  <si>
    <t>WFVK</t>
  </si>
  <si>
    <t>SPDR DB International Government Inflation-Protected Bond ETF</t>
  </si>
  <si>
    <t>WIP</t>
  </si>
  <si>
    <t>Physical White Metal Basket Shares</t>
  </si>
  <si>
    <t>WITE</t>
  </si>
  <si>
    <t>Wilshire Micro-Cap ETF</t>
  </si>
  <si>
    <t>WMCR</t>
  </si>
  <si>
    <t>ELEMENTS Morningstar Wide Moat Focus ETN</t>
  </si>
  <si>
    <t>WMW</t>
  </si>
  <si>
    <t>S&amp;P Global Timber &amp; Forestry Index Fund</t>
  </si>
  <si>
    <t>WOOD</t>
  </si>
  <si>
    <t>iShares S&amp;P World ex-US Property Index</t>
  </si>
  <si>
    <t>WPS</t>
  </si>
  <si>
    <t>Wilshire US REIT ETF</t>
  </si>
  <si>
    <t>WREI</t>
  </si>
  <si>
    <t>Wilshire 4500 Completion ETF</t>
  </si>
  <si>
    <t>WXSP</t>
  </si>
  <si>
    <t>SPDR S&amp;P Aerospace &amp; Defense ETF</t>
  </si>
  <si>
    <t>XAR</t>
  </si>
  <si>
    <t>SPDR Homebuilders ETF</t>
  </si>
  <si>
    <t>XHB</t>
  </si>
  <si>
    <t>SPDR S&amp;P Health Care Equipment ETF</t>
  </si>
  <si>
    <t>XHE</t>
  </si>
  <si>
    <t>SPDR S&amp;P Health Care Services ETF</t>
  </si>
  <si>
    <t>XHS</t>
  </si>
  <si>
    <t>Rydex Russell Top 50</t>
  </si>
  <si>
    <t>XLG</t>
  </si>
  <si>
    <t>Market Vectors CEF Municipal Income ETF</t>
  </si>
  <si>
    <t>XMPT</t>
  </si>
  <si>
    <t>SPDR BofA Merrill Lynch Crossover Corporate Bond ETF</t>
  </si>
  <si>
    <t>XOVR</t>
  </si>
  <si>
    <t>SPDR S&amp;P Pharmaceuticals</t>
  </si>
  <si>
    <t>XPH</t>
  </si>
  <si>
    <t>SPDR S&amp;P Semiconductor</t>
  </si>
  <si>
    <t>XSD</t>
  </si>
  <si>
    <t>SPDR S&amp;P Software &amp; Services ETF</t>
  </si>
  <si>
    <t>XSW</t>
  </si>
  <si>
    <t>SPDR S&amp;P Telecom ETF</t>
  </si>
  <si>
    <t>XTL</t>
  </si>
  <si>
    <t>SPDR S&amp;P Transportation ETF</t>
  </si>
  <si>
    <t>XTN</t>
  </si>
  <si>
    <t>E-TRACS Daily Long-Short VIX ETN</t>
  </si>
  <si>
    <t>XVIX</t>
  </si>
  <si>
    <t>S&amp;P 500 Dynamic VIX ETN</t>
  </si>
  <si>
    <t>XVZ</t>
  </si>
  <si>
    <t xml:space="preserve">China All-Cap ETF </t>
  </si>
  <si>
    <t>YAO</t>
  </si>
  <si>
    <t>Yorkville High Income MLP ETF</t>
  </si>
  <si>
    <t>YMLP</t>
  </si>
  <si>
    <t>25+ Year Zero Coupon U.S. Treasury Index Fund</t>
  </si>
  <si>
    <t>ZROZ</t>
  </si>
  <si>
    <t>Consumer staples select SPDR</t>
  </si>
  <si>
    <t>Materials</t>
  </si>
  <si>
    <t>Industrials</t>
  </si>
  <si>
    <t>Technology</t>
  </si>
  <si>
    <t>Utilities</t>
  </si>
  <si>
    <t>Health Care</t>
  </si>
  <si>
    <t>Cons Discretionary</t>
  </si>
  <si>
    <t>32 ETF portfolio</t>
  </si>
  <si>
    <t>Notes</t>
  </si>
  <si>
    <t>Date</t>
  </si>
  <si>
    <t>Comment</t>
  </si>
  <si>
    <t>Version</t>
  </si>
  <si>
    <t>Current ver</t>
  </si>
  <si>
    <t>Current version</t>
  </si>
  <si>
    <t>As of date</t>
  </si>
  <si>
    <t>Added a new page, and portfolio: ETF22, which adds the 9 US sector SPDRs (XL-series) to the baseline ETF13 model; Will give more exposure to US largecaps when SPY is dominating</t>
  </si>
  <si>
    <t>etfmax</t>
  </si>
  <si>
    <t>Legal Notices</t>
  </si>
  <si>
    <t xml:space="preserve">The purchaser of this material assumes all responsibility for its use. </t>
  </si>
  <si>
    <t>The video and related materials in this course are copyright protected. You have no rights to reproduce or distribute any material contained within or related to this publication in whole or in part without permission in writing from the Van Tharp Institute (VTI).</t>
  </si>
  <si>
    <t xml:space="preserve">This course is for informational purposes only.  This material is not intended for use as a source of trading advice and should not be construed as a recommendation to buy or sell any ETF, stock, futures contract, or option.  </t>
  </si>
  <si>
    <t xml:space="preserve">VTI assumes no responsibility for errors or omissions or any losses resulting from the use of the information contained in this material.  </t>
  </si>
  <si>
    <t xml:space="preserve">The information offered is gathered from sources believed to be reliable.  Reasonable attempts have been made to verify this information and VTI provides it in good faith though does not guarantee it.  </t>
  </si>
  <si>
    <t xml:space="preserve">VTI is an educational publisher, not an accredited program or institution.  By accessing this information you acknowledge and agree that VTI in no way shall be considered as conforming to any educational standards or qualifications prescribed by any private or governmental entity. </t>
  </si>
  <si>
    <t>Trading always carries the risk of losses and traders can lose more than their initial investment. Please consult an investment professional to explain all risks to you before making any decisions relating to the purchase or sale of any security.</t>
  </si>
  <si>
    <t xml:space="preserve">Adherence to applicable laws, regulations, and jurisdictions is the sole responsibility of the purchaser of this material. </t>
  </si>
  <si>
    <t>ETFreplay.com is used with the permission of ETFreplay.com, Inc.</t>
  </si>
  <si>
    <t xml:space="preserve">The Van Tharp Institute, 102A Commonwealth Court, Cary NC 27511, (919) 466-0043 </t>
  </si>
  <si>
    <t xml:space="preserve">Historical, hypothetical, and simulated trading performance results have certain inherent limitations.  Simulated trading results are generated with the benefit of hindsight and unlike an actual performance record, simulated results do not represent actual results. </t>
  </si>
  <si>
    <t xml:space="preserve">Also, because simulated results are derived from data, they may under compensate or over compensate for the impact, if any, of various market forces such as lack of liquidity on actual trade executions. No representation is being made that any account will or is likely to achieve profits or losses similar to those shown.  </t>
  </si>
  <si>
    <t>Workshop Content: © 2014 by Tortoise Capital Management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</si>
</sst>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7"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8"/>
      <name val="Arial"/>
      <family val="2"/>
    </font>
    <font>
      <sz val="11"/>
      <color theme="1"/>
      <name val="Times New Roman"/>
      <family val="1"/>
    </font>
    <font>
      <b/>
      <sz val="11"/>
      <color theme="1"/>
      <name val="Times New Roman"/>
      <family val="1"/>
    </font>
  </fonts>
  <fills count="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indexed="9"/>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auto="1"/>
      </left>
      <right style="medium">
        <color auto="1"/>
      </right>
      <top style="thin">
        <color auto="1"/>
      </top>
      <bottom style="thin">
        <color auto="1"/>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cellStyleXfs>
  <cellXfs count="56">
    <xf numFmtId="0" fontId="0" fillId="0" borderId="0" xfId="0"/>
    <xf numFmtId="0" fontId="0" fillId="2" borderId="1" xfId="0" applyFill="1" applyBorder="1"/>
    <xf numFmtId="0" fontId="2" fillId="0" borderId="1" xfId="0" applyFont="1" applyBorder="1" applyAlignment="1">
      <alignment horizontal="center"/>
    </xf>
    <xf numFmtId="14" fontId="0" fillId="0" borderId="1" xfId="0" applyNumberFormat="1" applyBorder="1"/>
    <xf numFmtId="0" fontId="0" fillId="2" borderId="1" xfId="0" applyFill="1" applyBorder="1" applyAlignment="1">
      <alignment horizontal="center"/>
    </xf>
    <xf numFmtId="0" fontId="0" fillId="0" borderId="3" xfId="0" applyBorder="1" applyAlignment="1">
      <alignment horizontal="center"/>
    </xf>
    <xf numFmtId="43" fontId="0" fillId="0" borderId="1" xfId="1" applyFont="1" applyBorder="1"/>
    <xf numFmtId="0" fontId="0" fillId="0" borderId="1" xfId="0" applyBorder="1"/>
    <xf numFmtId="10" fontId="0" fillId="0" borderId="1" xfId="2" applyNumberFormat="1" applyFont="1" applyBorder="1"/>
    <xf numFmtId="0" fontId="0" fillId="0" borderId="1" xfId="0" applyBorder="1" applyAlignment="1">
      <alignment horizontal="center"/>
    </xf>
    <xf numFmtId="0" fontId="0" fillId="0" borderId="4" xfId="0" applyBorder="1" applyAlignment="1">
      <alignment horizontal="center"/>
    </xf>
    <xf numFmtId="0" fontId="0" fillId="2" borderId="2" xfId="0" applyFill="1" applyBorder="1"/>
    <xf numFmtId="0" fontId="0" fillId="3" borderId="1" xfId="0" applyFill="1" applyBorder="1"/>
    <xf numFmtId="0" fontId="0" fillId="0" borderId="0" xfId="0" applyAlignment="1">
      <alignment horizontal="left"/>
    </xf>
    <xf numFmtId="0" fontId="0" fillId="3" borderId="1" xfId="0" applyFill="1" applyBorder="1" applyAlignment="1">
      <alignment horizontal="left"/>
    </xf>
    <xf numFmtId="0" fontId="0" fillId="5" borderId="1" xfId="0" applyFill="1" applyBorder="1" applyAlignment="1">
      <alignment horizontal="left"/>
    </xf>
    <xf numFmtId="0" fontId="0" fillId="4" borderId="1" xfId="0" applyFill="1" applyBorder="1" applyAlignment="1">
      <alignment horizontal="left"/>
    </xf>
    <xf numFmtId="0" fontId="0" fillId="0" borderId="0" xfId="0" applyBorder="1"/>
    <xf numFmtId="0" fontId="0" fillId="0" borderId="0" xfId="0" applyBorder="1" applyAlignment="1">
      <alignment horizontal="center"/>
    </xf>
    <xf numFmtId="0" fontId="0" fillId="0" borderId="3" xfId="0" applyBorder="1"/>
    <xf numFmtId="0" fontId="0" fillId="3" borderId="5" xfId="0" applyFill="1" applyBorder="1" applyAlignment="1">
      <alignment horizontal="left"/>
    </xf>
    <xf numFmtId="0" fontId="0" fillId="0" borderId="6" xfId="0" applyBorder="1" applyAlignment="1">
      <alignment horizontal="center"/>
    </xf>
    <xf numFmtId="0" fontId="0" fillId="6" borderId="1" xfId="0" applyFill="1" applyBorder="1" applyAlignment="1">
      <alignment horizontal="center"/>
    </xf>
    <xf numFmtId="0" fontId="0" fillId="0" borderId="7" xfId="0" applyBorder="1"/>
    <xf numFmtId="0" fontId="0" fillId="0" borderId="8" xfId="0" applyBorder="1" applyAlignment="1">
      <alignment horizontal="center"/>
    </xf>
    <xf numFmtId="10" fontId="0" fillId="0" borderId="1" xfId="0" applyNumberFormat="1" applyBorder="1" applyAlignment="1">
      <alignment horizontal="center"/>
    </xf>
    <xf numFmtId="0" fontId="0" fillId="0" borderId="1" xfId="0" quotePrefix="1" applyBorder="1"/>
    <xf numFmtId="0" fontId="0" fillId="0" borderId="9" xfId="0" applyBorder="1"/>
    <xf numFmtId="0" fontId="0" fillId="0" borderId="9" xfId="0" applyBorder="1" applyAlignment="1">
      <alignment horizontal="center"/>
    </xf>
    <xf numFmtId="0" fontId="2" fillId="0" borderId="1" xfId="0" applyFont="1" applyBorder="1" applyAlignment="1">
      <alignment horizontal="center"/>
    </xf>
    <xf numFmtId="0" fontId="0" fillId="6" borderId="1" xfId="0" applyFill="1" applyBorder="1" applyAlignment="1">
      <alignment horizontal="center"/>
    </xf>
    <xf numFmtId="0" fontId="0" fillId="7" borderId="0" xfId="0" applyFill="1"/>
    <xf numFmtId="0" fontId="0" fillId="7" borderId="0" xfId="0" applyFill="1" applyBorder="1"/>
    <xf numFmtId="0" fontId="0" fillId="7" borderId="0" xfId="0" applyFill="1" applyBorder="1" applyAlignment="1">
      <alignment horizontal="center"/>
    </xf>
    <xf numFmtId="0" fontId="0" fillId="7" borderId="0" xfId="0" applyFill="1" applyAlignment="1">
      <alignment horizontal="left"/>
    </xf>
    <xf numFmtId="14" fontId="0" fillId="0" borderId="0" xfId="0" applyNumberFormat="1"/>
    <xf numFmtId="0" fontId="2" fillId="7" borderId="0" xfId="0" applyFont="1" applyFill="1"/>
    <xf numFmtId="14" fontId="0" fillId="0" borderId="1" xfId="0" applyNumberFormat="1" applyBorder="1" applyAlignment="1">
      <alignment horizontal="center"/>
    </xf>
    <xf numFmtId="14" fontId="2" fillId="7" borderId="0" xfId="0" applyNumberFormat="1" applyFont="1" applyFill="1" applyAlignment="1">
      <alignment horizontal="left"/>
    </xf>
    <xf numFmtId="0" fontId="0" fillId="0" borderId="0" xfId="0" applyAlignment="1">
      <alignment horizontal="center"/>
    </xf>
    <xf numFmtId="0" fontId="0" fillId="3" borderId="5" xfId="0" applyFill="1" applyBorder="1" applyAlignment="1">
      <alignment horizontal="center"/>
    </xf>
    <xf numFmtId="0" fontId="3" fillId="0" borderId="3" xfId="3" applyFont="1" applyBorder="1"/>
    <xf numFmtId="0" fontId="0" fillId="0" borderId="3" xfId="0" applyFont="1" applyBorder="1"/>
    <xf numFmtId="0" fontId="4" fillId="8" borderId="1" xfId="3" applyFont="1" applyFill="1" applyBorder="1" applyAlignment="1">
      <alignment horizontal="center"/>
    </xf>
    <xf numFmtId="0" fontId="2" fillId="0" borderId="1" xfId="0" applyFont="1" applyBorder="1" applyAlignment="1">
      <alignment horizontal="center"/>
    </xf>
    <xf numFmtId="0" fontId="0" fillId="6" borderId="1" xfId="0" applyFill="1" applyBorder="1" applyAlignment="1">
      <alignment horizontal="center"/>
    </xf>
    <xf numFmtId="0" fontId="2" fillId="0" borderId="0" xfId="0" applyFont="1"/>
    <xf numFmtId="0" fontId="0" fillId="2" borderId="2" xfId="0" applyFill="1" applyBorder="1" applyAlignment="1">
      <alignment horizontal="center"/>
    </xf>
    <xf numFmtId="0" fontId="5" fillId="0" borderId="0" xfId="0" applyFont="1" applyAlignment="1">
      <alignment vertical="center"/>
    </xf>
    <xf numFmtId="0" fontId="6" fillId="0" borderId="0" xfId="0" applyFont="1" applyAlignment="1">
      <alignment horizontal="center" vertical="center"/>
    </xf>
    <xf numFmtId="0" fontId="2" fillId="0" borderId="1" xfId="0" applyFont="1" applyBorder="1" applyAlignment="1">
      <alignment horizontal="center"/>
    </xf>
    <xf numFmtId="0" fontId="0" fillId="5" borderId="1" xfId="0" applyFill="1" applyBorder="1" applyAlignment="1">
      <alignment horizontal="center"/>
    </xf>
    <xf numFmtId="14" fontId="0" fillId="4" borderId="1" xfId="0" applyNumberFormat="1" applyFill="1" applyBorder="1" applyAlignment="1">
      <alignment horizontal="center"/>
    </xf>
    <xf numFmtId="0" fontId="0" fillId="6" borderId="1" xfId="0" applyFill="1" applyBorder="1" applyAlignment="1">
      <alignment horizontal="center"/>
    </xf>
    <xf numFmtId="0" fontId="2" fillId="0" borderId="5" xfId="0" applyFont="1" applyBorder="1" applyAlignment="1">
      <alignment horizontal="center"/>
    </xf>
    <xf numFmtId="0" fontId="5" fillId="0" borderId="0" xfId="0" applyFont="1"/>
  </cellXfs>
  <cellStyles count="4">
    <cellStyle name="Comma" xfId="1" builtinId="3"/>
    <cellStyle name="Normal" xfId="0" builtinId="0"/>
    <cellStyle name="Normal 2" xfId="3"/>
    <cellStyle name="Percent" xfId="2" builtinId="5"/>
  </cellStyles>
  <dxfs count="38">
    <dxf>
      <font>
        <color rgb="FF006100"/>
      </font>
      <fill>
        <patternFill>
          <bgColor rgb="FFC6EFCE"/>
        </patternFill>
      </fill>
    </dxf>
    <dxf>
      <font>
        <color rgb="FF006100"/>
      </font>
      <fill>
        <patternFill>
          <bgColor rgb="FFC6EFCE"/>
        </patternFill>
      </fill>
    </dxf>
    <dxf>
      <font>
        <b/>
        <i val="0"/>
        <color rgb="FFC00000"/>
      </font>
      <fill>
        <patternFill patternType="none">
          <bgColor auto="1"/>
        </patternFill>
      </fill>
    </dxf>
    <dxf>
      <font>
        <b/>
        <i val="0"/>
        <color rgb="FF006600"/>
      </font>
      <fill>
        <patternFill patternType="none">
          <bgColor auto="1"/>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
      <font>
        <b/>
        <i val="0"/>
        <color rgb="FFC00000"/>
      </font>
      <fill>
        <patternFill patternType="none">
          <bgColor auto="1"/>
        </patternFill>
      </fill>
    </dxf>
    <dxf>
      <font>
        <b/>
        <i val="0"/>
        <color rgb="FF006600"/>
      </font>
      <fill>
        <patternFill patternType="none">
          <bgColor auto="1"/>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
      <font>
        <b/>
        <i val="0"/>
        <color rgb="FFC00000"/>
      </font>
      <fill>
        <patternFill patternType="none">
          <bgColor auto="1"/>
        </patternFill>
      </fill>
    </dxf>
    <dxf>
      <font>
        <b/>
        <i val="0"/>
        <color rgb="FF006600"/>
      </font>
      <fill>
        <patternFill patternType="none">
          <bgColor auto="1"/>
        </patternFill>
      </fill>
    </dxf>
    <dxf>
      <font>
        <b/>
        <i val="0"/>
        <color rgb="FFC00000"/>
      </font>
      <fill>
        <patternFill patternType="none">
          <bgColor auto="1"/>
        </patternFill>
      </fill>
    </dxf>
    <dxf>
      <font>
        <b/>
        <i val="0"/>
        <color rgb="FF006600"/>
      </font>
      <fill>
        <patternFill patternType="none">
          <bgColor auto="1"/>
        </patternFill>
      </fill>
    </dxf>
    <dxf>
      <font>
        <b/>
        <i val="0"/>
        <color rgb="FFC00000"/>
      </font>
      <fill>
        <patternFill patternType="none">
          <bgColor auto="1"/>
        </patternFill>
      </fill>
    </dxf>
    <dxf>
      <font>
        <b/>
        <i val="0"/>
        <color rgb="FF006600"/>
      </font>
      <fill>
        <patternFill patternType="none">
          <bgColor auto="1"/>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66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1133474</xdr:colOff>
      <xdr:row>1</xdr:row>
      <xdr:rowOff>38100</xdr:rowOff>
    </xdr:from>
    <xdr:to>
      <xdr:col>3</xdr:col>
      <xdr:colOff>0</xdr:colOff>
      <xdr:row>3</xdr:row>
      <xdr:rowOff>57150</xdr:rowOff>
    </xdr:to>
    <xdr:sp macro="[0]!SortAll" textlink="">
      <xdr:nvSpPr>
        <xdr:cNvPr id="2" name="Bevel 1"/>
        <xdr:cNvSpPr/>
      </xdr:nvSpPr>
      <xdr:spPr>
        <a:xfrm>
          <a:off x="1743074" y="228600"/>
          <a:ext cx="1838326" cy="40005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Sort all BMR portfolios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1133474</xdr:colOff>
      <xdr:row>1</xdr:row>
      <xdr:rowOff>38100</xdr:rowOff>
    </xdr:from>
    <xdr:to>
      <xdr:col>3</xdr:col>
      <xdr:colOff>0</xdr:colOff>
      <xdr:row>3</xdr:row>
      <xdr:rowOff>57150</xdr:rowOff>
    </xdr:to>
    <xdr:sp macro="[0]!SortAll" textlink="">
      <xdr:nvSpPr>
        <xdr:cNvPr id="2" name="Bevel 1"/>
        <xdr:cNvSpPr/>
      </xdr:nvSpPr>
      <xdr:spPr>
        <a:xfrm>
          <a:off x="1743074" y="228600"/>
          <a:ext cx="1838326" cy="40005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Sort all BMR portfolios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14"/>
  <sheetViews>
    <sheetView tabSelected="1" zoomScaleNormal="100" workbookViewId="0">
      <selection activeCell="P4" sqref="P4"/>
    </sheetView>
  </sheetViews>
  <sheetFormatPr defaultRowHeight="15" x14ac:dyDescent="0.25"/>
  <cols>
    <col min="2" max="2" width="34.85546875" bestFit="1" customWidth="1"/>
    <col min="3" max="3" width="9.7109375" bestFit="1" customWidth="1"/>
    <col min="4" max="4" width="10.5703125" customWidth="1"/>
    <col min="5" max="5" width="12.42578125" customWidth="1"/>
    <col min="6" max="6" width="8" customWidth="1"/>
    <col min="7" max="8" width="9" bestFit="1" customWidth="1"/>
    <col min="9" max="9" width="9.85546875" bestFit="1" customWidth="1"/>
    <col min="10" max="10" width="11" bestFit="1" customWidth="1"/>
    <col min="11" max="12" width="12.42578125" customWidth="1"/>
    <col min="13" max="13" width="5.28515625" customWidth="1"/>
  </cols>
  <sheetData>
    <row r="1" spans="1:18" x14ac:dyDescent="0.25">
      <c r="A1" s="31"/>
      <c r="B1" s="31"/>
      <c r="C1" s="31"/>
      <c r="D1" s="31"/>
      <c r="E1" s="31"/>
      <c r="F1" s="31"/>
      <c r="G1" s="31"/>
      <c r="H1" s="31"/>
      <c r="I1" s="31"/>
      <c r="J1" s="31"/>
      <c r="L1" s="31"/>
    </row>
    <row r="2" spans="1:18" x14ac:dyDescent="0.25">
      <c r="A2" s="31"/>
      <c r="B2" s="31"/>
      <c r="C2" s="31"/>
      <c r="D2" s="31"/>
      <c r="E2" s="31"/>
      <c r="F2" s="31"/>
      <c r="G2" s="31"/>
      <c r="H2" s="31"/>
      <c r="I2" s="31"/>
      <c r="J2" s="31"/>
      <c r="K2" s="2" t="s">
        <v>13</v>
      </c>
      <c r="L2" s="31"/>
    </row>
    <row r="3" spans="1:18" x14ac:dyDescent="0.25">
      <c r="A3" s="31"/>
      <c r="B3" s="31"/>
      <c r="C3" s="31"/>
      <c r="D3" s="31"/>
      <c r="E3" s="31"/>
      <c r="F3" s="31"/>
      <c r="G3" s="31"/>
      <c r="H3" s="31"/>
      <c r="I3" s="31"/>
      <c r="J3" s="31"/>
      <c r="K3" s="4" t="s">
        <v>12</v>
      </c>
      <c r="L3" s="31"/>
    </row>
    <row r="4" spans="1:18" x14ac:dyDescent="0.25">
      <c r="A4" s="31"/>
      <c r="B4" s="31"/>
      <c r="C4" s="31"/>
      <c r="D4" s="31"/>
      <c r="E4" s="31"/>
      <c r="F4" s="31"/>
      <c r="G4" s="31"/>
      <c r="H4" s="31"/>
      <c r="I4" s="31"/>
      <c r="J4" s="31"/>
      <c r="K4" s="2" t="s">
        <v>10</v>
      </c>
      <c r="L4" s="31">
        <v>0</v>
      </c>
    </row>
    <row r="5" spans="1:18" x14ac:dyDescent="0.25">
      <c r="A5" s="31"/>
      <c r="B5" s="31"/>
      <c r="C5" s="31"/>
      <c r="D5" s="31"/>
      <c r="E5" s="31"/>
      <c r="F5" s="31"/>
      <c r="G5" s="31"/>
      <c r="H5" s="31"/>
      <c r="I5" s="31"/>
      <c r="J5" s="31"/>
      <c r="K5" s="3">
        <f ca="1">TODAY()</f>
        <v>41738</v>
      </c>
      <c r="L5" s="31"/>
    </row>
    <row r="6" spans="1:18" x14ac:dyDescent="0.25">
      <c r="B6" s="38">
        <f ca="1">TODAY()</f>
        <v>41738</v>
      </c>
      <c r="C6" s="31"/>
      <c r="D6" s="31"/>
      <c r="E6" s="31"/>
      <c r="F6" s="31"/>
      <c r="G6" s="31"/>
      <c r="H6" s="31"/>
      <c r="I6" s="31"/>
      <c r="J6" s="50" t="s">
        <v>11</v>
      </c>
      <c r="K6" s="50"/>
      <c r="L6" s="50"/>
    </row>
    <row r="7" spans="1:18" x14ac:dyDescent="0.25">
      <c r="A7" s="31"/>
      <c r="B7" s="31"/>
      <c r="C7" s="31"/>
      <c r="D7" s="31"/>
      <c r="E7" s="31"/>
      <c r="F7" s="31"/>
      <c r="G7" s="31"/>
      <c r="H7" s="31"/>
      <c r="I7" s="31"/>
      <c r="J7" s="1">
        <v>88</v>
      </c>
      <c r="K7" s="1">
        <v>-66</v>
      </c>
      <c r="L7" s="1">
        <v>-132</v>
      </c>
    </row>
    <row r="8" spans="1:18" x14ac:dyDescent="0.25">
      <c r="A8" s="31"/>
      <c r="B8" s="36" t="s">
        <v>510</v>
      </c>
      <c r="C8" s="31"/>
      <c r="D8" s="31"/>
      <c r="E8" s="31"/>
      <c r="F8" s="31"/>
      <c r="G8" s="11">
        <v>0.7</v>
      </c>
      <c r="H8" s="11">
        <v>0.3</v>
      </c>
      <c r="I8" s="31"/>
      <c r="J8" s="3"/>
      <c r="K8" s="3" t="e">
        <f ca="1">_xll.xlqhDate("SPY",K$7,$K$3)</f>
        <v>#NAME?</v>
      </c>
      <c r="L8" s="3" t="e">
        <f ca="1">_xll.xlqhDate("SPY",L$7,$K$3)</f>
        <v>#NAME?</v>
      </c>
    </row>
    <row r="9" spans="1:18" x14ac:dyDescent="0.25">
      <c r="A9" s="31"/>
      <c r="B9" s="36" t="s">
        <v>511</v>
      </c>
      <c r="C9" s="34"/>
      <c r="D9" s="34"/>
      <c r="E9" s="34"/>
      <c r="F9" s="34"/>
      <c r="G9" s="51" t="s">
        <v>33</v>
      </c>
      <c r="H9" s="51"/>
      <c r="I9" s="51"/>
      <c r="J9" s="52" t="s">
        <v>34</v>
      </c>
      <c r="K9" s="52"/>
      <c r="L9" s="52"/>
      <c r="N9" s="53" t="s">
        <v>48</v>
      </c>
      <c r="O9" s="53"/>
      <c r="P9" s="53"/>
      <c r="Q9" s="53"/>
      <c r="R9" s="53"/>
    </row>
    <row r="10" spans="1:18" x14ac:dyDescent="0.25">
      <c r="A10" s="32"/>
      <c r="B10" s="12" t="s">
        <v>0</v>
      </c>
      <c r="C10" s="20" t="s">
        <v>1</v>
      </c>
      <c r="D10" s="14" t="s">
        <v>2</v>
      </c>
      <c r="E10" s="14" t="s">
        <v>26</v>
      </c>
      <c r="F10" s="14" t="s">
        <v>31</v>
      </c>
      <c r="G10" s="15" t="s">
        <v>4</v>
      </c>
      <c r="H10" s="15" t="s">
        <v>3</v>
      </c>
      <c r="I10" s="15" t="s">
        <v>5</v>
      </c>
      <c r="J10" s="16" t="s">
        <v>6</v>
      </c>
      <c r="K10" s="16" t="s">
        <v>8</v>
      </c>
      <c r="L10" s="16" t="s">
        <v>7</v>
      </c>
      <c r="N10" s="22" t="s">
        <v>29</v>
      </c>
      <c r="O10" s="22" t="s">
        <v>30</v>
      </c>
      <c r="P10" s="22" t="s">
        <v>28</v>
      </c>
      <c r="Q10" s="22" t="s">
        <v>27</v>
      </c>
      <c r="R10" s="22" t="s">
        <v>32</v>
      </c>
    </row>
    <row r="11" spans="1:18" x14ac:dyDescent="0.25">
      <c r="A11" s="33"/>
      <c r="B11" s="7" t="s">
        <v>35</v>
      </c>
      <c r="C11" s="21" t="s">
        <v>14</v>
      </c>
      <c r="D11" s="7" t="e">
        <f ca="1">_xll.xlqPrice(C11)</f>
        <v>#NAME?</v>
      </c>
      <c r="E11" s="9" t="e">
        <f t="shared" ref="E11:E23" ca="1" si="0">IF(D11&gt;J11, "Buy","Cash")</f>
        <v>#NAME?</v>
      </c>
      <c r="F11" s="9" t="e">
        <f t="shared" ref="F11:F23" ca="1" si="1">RANK(I11,$I$11:$I$23,0)</f>
        <v>#NAME?</v>
      </c>
      <c r="G11" s="8" t="e">
        <f t="shared" ref="G11:G23" ca="1" si="2">($D11-K11)/K11</f>
        <v>#NAME?</v>
      </c>
      <c r="H11" s="8" t="e">
        <f t="shared" ref="H11:H23" ca="1" si="3">($D11-L11)/L11</f>
        <v>#NAME?</v>
      </c>
      <c r="I11" s="8" t="e">
        <f t="shared" ref="I11:I23" ca="1" si="4">(G11*$G$8) +(H11*$H$8)</f>
        <v>#NAME?</v>
      </c>
      <c r="J11" s="6" t="e">
        <f ca="1">_xll.xlqxhSMA($C11,$L$4,$J$7,$K$3)</f>
        <v>#NAME?</v>
      </c>
      <c r="K11" s="7" t="e">
        <f ca="1">_xll.xlqhClose($C11,K$8,$K$3)</f>
        <v>#NAME?</v>
      </c>
      <c r="L11" s="7" t="e">
        <f ca="1">_xll.xlqhClose($C11,L$8,$K$3)</f>
        <v>#NAME?</v>
      </c>
      <c r="N11" s="9" t="e">
        <f t="shared" ref="N11:N23" ca="1" si="5">RANK($G11,G$11:G$23,0)</f>
        <v>#NAME?</v>
      </c>
      <c r="O11" s="9" t="e">
        <f t="shared" ref="O11:O23" ca="1" si="6">RANK($H11,H$11:H$23,0)</f>
        <v>#NAME?</v>
      </c>
      <c r="P11" s="9" t="e">
        <f t="shared" ref="P11:P23" ca="1" si="7">(N11*$G$8)+(O11*$H$8)</f>
        <v>#NAME?</v>
      </c>
      <c r="Q11" s="9" t="e">
        <f t="shared" ref="Q11:Q23" ca="1" si="8">RANK($P11,P$11:P$23,1)</f>
        <v>#NAME?</v>
      </c>
      <c r="R11" s="9" t="e">
        <f t="shared" ref="R11:R23" ca="1" si="9">F11-Q11</f>
        <v>#NAME?</v>
      </c>
    </row>
    <row r="12" spans="1:18" x14ac:dyDescent="0.25">
      <c r="A12" s="33"/>
      <c r="B12" s="7" t="s">
        <v>39</v>
      </c>
      <c r="C12" s="21" t="s">
        <v>17</v>
      </c>
      <c r="D12" s="7" t="e">
        <f ca="1">_xll.xlqPrice(C12)</f>
        <v>#NAME?</v>
      </c>
      <c r="E12" s="9" t="e">
        <f t="shared" ca="1" si="0"/>
        <v>#NAME?</v>
      </c>
      <c r="F12" s="9" t="e">
        <f t="shared" ca="1" si="1"/>
        <v>#NAME?</v>
      </c>
      <c r="G12" s="8" t="e">
        <f t="shared" ca="1" si="2"/>
        <v>#NAME?</v>
      </c>
      <c r="H12" s="8" t="e">
        <f t="shared" ca="1" si="3"/>
        <v>#NAME?</v>
      </c>
      <c r="I12" s="8" t="e">
        <f t="shared" ca="1" si="4"/>
        <v>#NAME?</v>
      </c>
      <c r="J12" s="6" t="e">
        <f ca="1">_xll.xlqxhSMA($C12,$L$4,$J$7,$K$3)</f>
        <v>#NAME?</v>
      </c>
      <c r="K12" s="7" t="e">
        <f ca="1">_xll.xlqhClose($C12,K$8,$K$3)</f>
        <v>#NAME?</v>
      </c>
      <c r="L12" s="7" t="e">
        <f ca="1">_xll.xlqhClose($C12,L$8,$K$3)</f>
        <v>#NAME?</v>
      </c>
      <c r="N12" s="9" t="e">
        <f t="shared" ca="1" si="5"/>
        <v>#NAME?</v>
      </c>
      <c r="O12" s="9" t="e">
        <f t="shared" ca="1" si="6"/>
        <v>#NAME?</v>
      </c>
      <c r="P12" s="9" t="e">
        <f t="shared" ca="1" si="7"/>
        <v>#NAME?</v>
      </c>
      <c r="Q12" s="9" t="e">
        <f t="shared" ca="1" si="8"/>
        <v>#NAME?</v>
      </c>
      <c r="R12" s="9" t="e">
        <f t="shared" ca="1" si="9"/>
        <v>#NAME?</v>
      </c>
    </row>
    <row r="13" spans="1:18" x14ac:dyDescent="0.25">
      <c r="A13" s="33"/>
      <c r="B13" s="7" t="s">
        <v>37</v>
      </c>
      <c r="C13" s="21" t="s">
        <v>24</v>
      </c>
      <c r="D13" s="7" t="e">
        <f ca="1">_xll.xlqPrice(C13)</f>
        <v>#NAME?</v>
      </c>
      <c r="E13" s="9" t="e">
        <f t="shared" ca="1" si="0"/>
        <v>#NAME?</v>
      </c>
      <c r="F13" s="9" t="e">
        <f t="shared" ca="1" si="1"/>
        <v>#NAME?</v>
      </c>
      <c r="G13" s="8" t="e">
        <f t="shared" ca="1" si="2"/>
        <v>#NAME?</v>
      </c>
      <c r="H13" s="8" t="e">
        <f t="shared" ca="1" si="3"/>
        <v>#NAME?</v>
      </c>
      <c r="I13" s="8" t="e">
        <f t="shared" ca="1" si="4"/>
        <v>#NAME?</v>
      </c>
      <c r="J13" s="6" t="e">
        <f ca="1">_xll.xlqxhSMA($C13,$L$4,$J$7,$K$3)</f>
        <v>#NAME?</v>
      </c>
      <c r="K13" s="7" t="e">
        <f ca="1">_xll.xlqhClose($C13,K$8,$K$3)</f>
        <v>#NAME?</v>
      </c>
      <c r="L13" s="7" t="e">
        <f ca="1">_xll.xlqhClose($C13,L$8,$K$3)</f>
        <v>#NAME?</v>
      </c>
      <c r="N13" s="9" t="e">
        <f t="shared" ca="1" si="5"/>
        <v>#NAME?</v>
      </c>
      <c r="O13" s="9" t="e">
        <f t="shared" ca="1" si="6"/>
        <v>#NAME?</v>
      </c>
      <c r="P13" s="9" t="e">
        <f t="shared" ca="1" si="7"/>
        <v>#NAME?</v>
      </c>
      <c r="Q13" s="9" t="e">
        <f t="shared" ca="1" si="8"/>
        <v>#NAME?</v>
      </c>
      <c r="R13" s="9" t="e">
        <f t="shared" ca="1" si="9"/>
        <v>#NAME?</v>
      </c>
    </row>
    <row r="14" spans="1:18" x14ac:dyDescent="0.25">
      <c r="A14" s="33"/>
      <c r="B14" s="7" t="s">
        <v>36</v>
      </c>
      <c r="C14" s="21" t="s">
        <v>23</v>
      </c>
      <c r="D14" s="7" t="e">
        <f ca="1">_xll.xlqPrice(C14)</f>
        <v>#NAME?</v>
      </c>
      <c r="E14" s="9" t="e">
        <f t="shared" ca="1" si="0"/>
        <v>#NAME?</v>
      </c>
      <c r="F14" s="9" t="e">
        <f t="shared" ca="1" si="1"/>
        <v>#NAME?</v>
      </c>
      <c r="G14" s="8" t="e">
        <f t="shared" ca="1" si="2"/>
        <v>#NAME?</v>
      </c>
      <c r="H14" s="8" t="e">
        <f t="shared" ca="1" si="3"/>
        <v>#NAME?</v>
      </c>
      <c r="I14" s="8" t="e">
        <f t="shared" ca="1" si="4"/>
        <v>#NAME?</v>
      </c>
      <c r="J14" s="6" t="e">
        <f ca="1">_xll.xlqxhSMA($C14,$L$4,$J$7,$K$3)</f>
        <v>#NAME?</v>
      </c>
      <c r="K14" s="7" t="e">
        <f ca="1">_xll.xlqhClose($C14,K$8,$K$3)</f>
        <v>#NAME?</v>
      </c>
      <c r="L14" s="7" t="e">
        <f ca="1">_xll.xlqhClose($C14,L$8,$K$3)</f>
        <v>#NAME?</v>
      </c>
      <c r="N14" s="9" t="e">
        <f t="shared" ca="1" si="5"/>
        <v>#NAME?</v>
      </c>
      <c r="O14" s="9" t="e">
        <f t="shared" ca="1" si="6"/>
        <v>#NAME?</v>
      </c>
      <c r="P14" s="9" t="e">
        <f t="shared" ca="1" si="7"/>
        <v>#NAME?</v>
      </c>
      <c r="Q14" s="9" t="e">
        <f t="shared" ca="1" si="8"/>
        <v>#NAME?</v>
      </c>
      <c r="R14" s="9" t="e">
        <f t="shared" ca="1" si="9"/>
        <v>#NAME?</v>
      </c>
    </row>
    <row r="15" spans="1:18" x14ac:dyDescent="0.25">
      <c r="A15" s="33"/>
      <c r="B15" s="7" t="s">
        <v>38</v>
      </c>
      <c r="C15" s="21" t="s">
        <v>9</v>
      </c>
      <c r="D15" s="7" t="e">
        <f ca="1">_xll.xlqPrice(C15)</f>
        <v>#NAME?</v>
      </c>
      <c r="E15" s="9" t="e">
        <f t="shared" ca="1" si="0"/>
        <v>#NAME?</v>
      </c>
      <c r="F15" s="9" t="e">
        <f t="shared" ca="1" si="1"/>
        <v>#NAME?</v>
      </c>
      <c r="G15" s="8" t="e">
        <f t="shared" ca="1" si="2"/>
        <v>#NAME?</v>
      </c>
      <c r="H15" s="8" t="e">
        <f t="shared" ca="1" si="3"/>
        <v>#NAME?</v>
      </c>
      <c r="I15" s="8" t="e">
        <f t="shared" ca="1" si="4"/>
        <v>#NAME?</v>
      </c>
      <c r="J15" s="6" t="e">
        <f ca="1">_xll.xlqxhSMA($C15,$L$4,$J$7,$K$3)</f>
        <v>#NAME?</v>
      </c>
      <c r="K15" s="7" t="e">
        <f ca="1">_xll.xlqhClose($C15,K$8,$K$3)</f>
        <v>#NAME?</v>
      </c>
      <c r="L15" s="7" t="e">
        <f ca="1">_xll.xlqhClose($C15,L$8,$K$3)</f>
        <v>#NAME?</v>
      </c>
      <c r="N15" s="9" t="e">
        <f t="shared" ca="1" si="5"/>
        <v>#NAME?</v>
      </c>
      <c r="O15" s="9" t="e">
        <f t="shared" ca="1" si="6"/>
        <v>#NAME?</v>
      </c>
      <c r="P15" s="9" t="e">
        <f t="shared" ca="1" si="7"/>
        <v>#NAME?</v>
      </c>
      <c r="Q15" s="9" t="e">
        <f t="shared" ca="1" si="8"/>
        <v>#NAME?</v>
      </c>
      <c r="R15" s="9" t="e">
        <f t="shared" ca="1" si="9"/>
        <v>#NAME?</v>
      </c>
    </row>
    <row r="16" spans="1:18" x14ac:dyDescent="0.25">
      <c r="A16" s="33"/>
      <c r="B16" s="7" t="s">
        <v>43</v>
      </c>
      <c r="C16" s="21" t="s">
        <v>22</v>
      </c>
      <c r="D16" s="7" t="e">
        <f ca="1">_xll.xlqPrice(C16)</f>
        <v>#NAME?</v>
      </c>
      <c r="E16" s="9" t="e">
        <f t="shared" ca="1" si="0"/>
        <v>#NAME?</v>
      </c>
      <c r="F16" s="9" t="e">
        <f t="shared" ca="1" si="1"/>
        <v>#NAME?</v>
      </c>
      <c r="G16" s="8" t="e">
        <f t="shared" ca="1" si="2"/>
        <v>#NAME?</v>
      </c>
      <c r="H16" s="8" t="e">
        <f t="shared" ca="1" si="3"/>
        <v>#NAME?</v>
      </c>
      <c r="I16" s="8" t="e">
        <f t="shared" ca="1" si="4"/>
        <v>#NAME?</v>
      </c>
      <c r="J16" s="6" t="e">
        <f ca="1">_xll.xlqxhSMA($C16,$L$4,$J$7,$K$3)</f>
        <v>#NAME?</v>
      </c>
      <c r="K16" s="7" t="e">
        <f ca="1">_xll.xlqhClose($C16,K$8,$K$3)</f>
        <v>#NAME?</v>
      </c>
      <c r="L16" s="7" t="e">
        <f ca="1">_xll.xlqhClose($C16,L$8,$K$3)</f>
        <v>#NAME?</v>
      </c>
      <c r="N16" s="9" t="e">
        <f t="shared" ca="1" si="5"/>
        <v>#NAME?</v>
      </c>
      <c r="O16" s="9" t="e">
        <f t="shared" ca="1" si="6"/>
        <v>#NAME?</v>
      </c>
      <c r="P16" s="9" t="e">
        <f t="shared" ca="1" si="7"/>
        <v>#NAME?</v>
      </c>
      <c r="Q16" s="9" t="e">
        <f t="shared" ca="1" si="8"/>
        <v>#NAME?</v>
      </c>
      <c r="R16" s="9" t="e">
        <f t="shared" ca="1" si="9"/>
        <v>#NAME?</v>
      </c>
    </row>
    <row r="17" spans="1:18" x14ac:dyDescent="0.25">
      <c r="A17" s="33"/>
      <c r="B17" s="7" t="s">
        <v>40</v>
      </c>
      <c r="C17" s="21" t="s">
        <v>16</v>
      </c>
      <c r="D17" s="7" t="e">
        <f ca="1">_xll.xlqPrice(C17)</f>
        <v>#NAME?</v>
      </c>
      <c r="E17" s="9" t="e">
        <f t="shared" ca="1" si="0"/>
        <v>#NAME?</v>
      </c>
      <c r="F17" s="9" t="e">
        <f t="shared" ca="1" si="1"/>
        <v>#NAME?</v>
      </c>
      <c r="G17" s="8" t="e">
        <f t="shared" ca="1" si="2"/>
        <v>#NAME?</v>
      </c>
      <c r="H17" s="8" t="e">
        <f t="shared" ca="1" si="3"/>
        <v>#NAME?</v>
      </c>
      <c r="I17" s="8" t="e">
        <f t="shared" ca="1" si="4"/>
        <v>#NAME?</v>
      </c>
      <c r="J17" s="6" t="e">
        <f ca="1">_xll.xlqxhSMA($C17,$L$4,$J$7,$K$3)</f>
        <v>#NAME?</v>
      </c>
      <c r="K17" s="7" t="e">
        <f ca="1">_xll.xlqhClose($C17,K$8,$K$3)</f>
        <v>#NAME?</v>
      </c>
      <c r="L17" s="7" t="e">
        <f ca="1">_xll.xlqhClose($C17,L$8,$K$3)</f>
        <v>#NAME?</v>
      </c>
      <c r="N17" s="9" t="e">
        <f t="shared" ca="1" si="5"/>
        <v>#NAME?</v>
      </c>
      <c r="O17" s="9" t="e">
        <f t="shared" ca="1" si="6"/>
        <v>#NAME?</v>
      </c>
      <c r="P17" s="9" t="e">
        <f t="shared" ca="1" si="7"/>
        <v>#NAME?</v>
      </c>
      <c r="Q17" s="9" t="e">
        <f t="shared" ca="1" si="8"/>
        <v>#NAME?</v>
      </c>
      <c r="R17" s="9" t="e">
        <f t="shared" ca="1" si="9"/>
        <v>#NAME?</v>
      </c>
    </row>
    <row r="18" spans="1:18" x14ac:dyDescent="0.25">
      <c r="A18" s="33"/>
      <c r="B18" s="7" t="s">
        <v>47</v>
      </c>
      <c r="C18" s="21" t="s">
        <v>15</v>
      </c>
      <c r="D18" s="7" t="e">
        <f ca="1">_xll.xlqPrice(C18)</f>
        <v>#NAME?</v>
      </c>
      <c r="E18" s="9" t="e">
        <f t="shared" ca="1" si="0"/>
        <v>#NAME?</v>
      </c>
      <c r="F18" s="9" t="e">
        <f t="shared" ca="1" si="1"/>
        <v>#NAME?</v>
      </c>
      <c r="G18" s="8" t="e">
        <f t="shared" ca="1" si="2"/>
        <v>#NAME?</v>
      </c>
      <c r="H18" s="8" t="e">
        <f t="shared" ca="1" si="3"/>
        <v>#NAME?</v>
      </c>
      <c r="I18" s="8" t="e">
        <f t="shared" ca="1" si="4"/>
        <v>#NAME?</v>
      </c>
      <c r="J18" s="6" t="e">
        <f ca="1">_xll.xlqxhSMA($C18,$L$4,$J$7,$K$3)</f>
        <v>#NAME?</v>
      </c>
      <c r="K18" s="7" t="e">
        <f ca="1">_xll.xlqhClose($C18,K$8,$K$3)</f>
        <v>#NAME?</v>
      </c>
      <c r="L18" s="7" t="e">
        <f ca="1">_xll.xlqhClose($C18,L$8,$K$3)</f>
        <v>#NAME?</v>
      </c>
      <c r="N18" s="9" t="e">
        <f t="shared" ca="1" si="5"/>
        <v>#NAME?</v>
      </c>
      <c r="O18" s="9" t="e">
        <f t="shared" ca="1" si="6"/>
        <v>#NAME?</v>
      </c>
      <c r="P18" s="9" t="e">
        <f t="shared" ca="1" si="7"/>
        <v>#NAME?</v>
      </c>
      <c r="Q18" s="9" t="e">
        <f t="shared" ca="1" si="8"/>
        <v>#NAME?</v>
      </c>
      <c r="R18" s="9" t="e">
        <f t="shared" ca="1" si="9"/>
        <v>#NAME?</v>
      </c>
    </row>
    <row r="19" spans="1:18" x14ac:dyDescent="0.25">
      <c r="A19" s="33"/>
      <c r="B19" s="7" t="s">
        <v>45</v>
      </c>
      <c r="C19" s="21" t="s">
        <v>20</v>
      </c>
      <c r="D19" s="7" t="e">
        <f ca="1">_xll.xlqPrice(C19)</f>
        <v>#NAME?</v>
      </c>
      <c r="E19" s="9" t="e">
        <f t="shared" ca="1" si="0"/>
        <v>#NAME?</v>
      </c>
      <c r="F19" s="9" t="e">
        <f t="shared" ca="1" si="1"/>
        <v>#NAME?</v>
      </c>
      <c r="G19" s="8" t="e">
        <f t="shared" ca="1" si="2"/>
        <v>#NAME?</v>
      </c>
      <c r="H19" s="8" t="e">
        <f t="shared" ca="1" si="3"/>
        <v>#NAME?</v>
      </c>
      <c r="I19" s="8" t="e">
        <f t="shared" ca="1" si="4"/>
        <v>#NAME?</v>
      </c>
      <c r="J19" s="6" t="e">
        <f ca="1">_xll.xlqxhSMA($C19,$L$4,$J$7,$K$3)</f>
        <v>#NAME?</v>
      </c>
      <c r="K19" s="7" t="e">
        <f ca="1">_xll.xlqhClose($C19,K$8,$K$3)</f>
        <v>#NAME?</v>
      </c>
      <c r="L19" s="7" t="e">
        <f ca="1">_xll.xlqhClose($C19,L$8,$K$3)</f>
        <v>#NAME?</v>
      </c>
      <c r="N19" s="9" t="e">
        <f t="shared" ca="1" si="5"/>
        <v>#NAME?</v>
      </c>
      <c r="O19" s="9" t="e">
        <f t="shared" ca="1" si="6"/>
        <v>#NAME?</v>
      </c>
      <c r="P19" s="9" t="e">
        <f t="shared" ca="1" si="7"/>
        <v>#NAME?</v>
      </c>
      <c r="Q19" s="9" t="e">
        <f t="shared" ca="1" si="8"/>
        <v>#NAME?</v>
      </c>
      <c r="R19" s="9" t="e">
        <f t="shared" ca="1" si="9"/>
        <v>#NAME?</v>
      </c>
    </row>
    <row r="20" spans="1:18" x14ac:dyDescent="0.25">
      <c r="A20" s="33"/>
      <c r="B20" s="7" t="s">
        <v>42</v>
      </c>
      <c r="C20" s="21" t="s">
        <v>19</v>
      </c>
      <c r="D20" s="7" t="e">
        <f ca="1">_xll.xlqPrice(C20)</f>
        <v>#NAME?</v>
      </c>
      <c r="E20" s="9" t="e">
        <f t="shared" ca="1" si="0"/>
        <v>#NAME?</v>
      </c>
      <c r="F20" s="9" t="e">
        <f t="shared" ca="1" si="1"/>
        <v>#NAME?</v>
      </c>
      <c r="G20" s="8" t="e">
        <f t="shared" ca="1" si="2"/>
        <v>#NAME?</v>
      </c>
      <c r="H20" s="8" t="e">
        <f t="shared" ca="1" si="3"/>
        <v>#NAME?</v>
      </c>
      <c r="I20" s="8" t="e">
        <f t="shared" ca="1" si="4"/>
        <v>#NAME?</v>
      </c>
      <c r="J20" s="6" t="e">
        <f ca="1">_xll.xlqxhSMA($C20,$L$4,$J$7,$K$3)</f>
        <v>#NAME?</v>
      </c>
      <c r="K20" s="7" t="e">
        <f ca="1">_xll.xlqhClose($C20,K$8,$K$3)</f>
        <v>#NAME?</v>
      </c>
      <c r="L20" s="7" t="e">
        <f ca="1">_xll.xlqhClose($C20,L$8,$K$3)</f>
        <v>#NAME?</v>
      </c>
      <c r="N20" s="9" t="e">
        <f t="shared" ca="1" si="5"/>
        <v>#NAME?</v>
      </c>
      <c r="O20" s="9" t="e">
        <f t="shared" ca="1" si="6"/>
        <v>#NAME?</v>
      </c>
      <c r="P20" s="9" t="e">
        <f t="shared" ca="1" si="7"/>
        <v>#NAME?</v>
      </c>
      <c r="Q20" s="9" t="e">
        <f t="shared" ca="1" si="8"/>
        <v>#NAME?</v>
      </c>
      <c r="R20" s="9" t="e">
        <f t="shared" ca="1" si="9"/>
        <v>#NAME?</v>
      </c>
    </row>
    <row r="21" spans="1:18" x14ac:dyDescent="0.25">
      <c r="A21" s="33"/>
      <c r="B21" s="7" t="s">
        <v>44</v>
      </c>
      <c r="C21" s="21" t="s">
        <v>21</v>
      </c>
      <c r="D21" s="7" t="e">
        <f ca="1">_xll.xlqPrice(C21)</f>
        <v>#NAME?</v>
      </c>
      <c r="E21" s="9" t="e">
        <f t="shared" ca="1" si="0"/>
        <v>#NAME?</v>
      </c>
      <c r="F21" s="9" t="e">
        <f t="shared" ca="1" si="1"/>
        <v>#NAME?</v>
      </c>
      <c r="G21" s="8" t="e">
        <f t="shared" ca="1" si="2"/>
        <v>#NAME?</v>
      </c>
      <c r="H21" s="8" t="e">
        <f t="shared" ca="1" si="3"/>
        <v>#NAME?</v>
      </c>
      <c r="I21" s="8" t="e">
        <f t="shared" ca="1" si="4"/>
        <v>#NAME?</v>
      </c>
      <c r="J21" s="6" t="e">
        <f ca="1">_xll.xlqxhSMA($C21,$L$4,$J$7,$K$3)</f>
        <v>#NAME?</v>
      </c>
      <c r="K21" s="7" t="e">
        <f ca="1">_xll.xlqhClose($C21,K$8,$K$3)</f>
        <v>#NAME?</v>
      </c>
      <c r="L21" s="7" t="e">
        <f ca="1">_xll.xlqhClose($C21,L$8,$K$3)</f>
        <v>#NAME?</v>
      </c>
      <c r="N21" s="9" t="e">
        <f t="shared" ca="1" si="5"/>
        <v>#NAME?</v>
      </c>
      <c r="O21" s="9" t="e">
        <f t="shared" ca="1" si="6"/>
        <v>#NAME?</v>
      </c>
      <c r="P21" s="9" t="e">
        <f t="shared" ca="1" si="7"/>
        <v>#NAME?</v>
      </c>
      <c r="Q21" s="9" t="e">
        <f t="shared" ca="1" si="8"/>
        <v>#NAME?</v>
      </c>
      <c r="R21" s="9" t="e">
        <f t="shared" ca="1" si="9"/>
        <v>#NAME?</v>
      </c>
    </row>
    <row r="22" spans="1:18" x14ac:dyDescent="0.25">
      <c r="A22" s="33"/>
      <c r="B22" s="7" t="s">
        <v>41</v>
      </c>
      <c r="C22" s="21" t="s">
        <v>18</v>
      </c>
      <c r="D22" s="7" t="e">
        <f ca="1">_xll.xlqPrice(C22)</f>
        <v>#NAME?</v>
      </c>
      <c r="E22" s="9" t="e">
        <f t="shared" ca="1" si="0"/>
        <v>#NAME?</v>
      </c>
      <c r="F22" s="9" t="e">
        <f t="shared" ca="1" si="1"/>
        <v>#NAME?</v>
      </c>
      <c r="G22" s="8" t="e">
        <f t="shared" ca="1" si="2"/>
        <v>#NAME?</v>
      </c>
      <c r="H22" s="8" t="e">
        <f t="shared" ca="1" si="3"/>
        <v>#NAME?</v>
      </c>
      <c r="I22" s="8" t="e">
        <f t="shared" ca="1" si="4"/>
        <v>#NAME?</v>
      </c>
      <c r="J22" s="6" t="e">
        <f ca="1">_xll.xlqxhSMA($C22,$L$4,$J$7,$K$3)</f>
        <v>#NAME?</v>
      </c>
      <c r="K22" s="7" t="e">
        <f ca="1">_xll.xlqhClose($C22,K$8,$K$3)</f>
        <v>#NAME?</v>
      </c>
      <c r="L22" s="7" t="e">
        <f ca="1">_xll.xlqhClose($C22,L$8,$K$3)</f>
        <v>#NAME?</v>
      </c>
      <c r="N22" s="9" t="e">
        <f t="shared" ca="1" si="5"/>
        <v>#NAME?</v>
      </c>
      <c r="O22" s="9" t="e">
        <f t="shared" ca="1" si="6"/>
        <v>#NAME?</v>
      </c>
      <c r="P22" s="9" t="e">
        <f t="shared" ca="1" si="7"/>
        <v>#NAME?</v>
      </c>
      <c r="Q22" s="9" t="e">
        <f t="shared" ca="1" si="8"/>
        <v>#NAME?</v>
      </c>
      <c r="R22" s="9" t="e">
        <f t="shared" ca="1" si="9"/>
        <v>#NAME?</v>
      </c>
    </row>
    <row r="23" spans="1:18" x14ac:dyDescent="0.25">
      <c r="A23" s="33"/>
      <c r="B23" s="7" t="s">
        <v>46</v>
      </c>
      <c r="C23" s="21" t="s">
        <v>25</v>
      </c>
      <c r="D23" s="7" t="e">
        <f ca="1">_xll.xlqPrice(C23)</f>
        <v>#NAME?</v>
      </c>
      <c r="E23" s="10" t="e">
        <f t="shared" ca="1" si="0"/>
        <v>#NAME?</v>
      </c>
      <c r="F23" s="9" t="e">
        <f t="shared" ca="1" si="1"/>
        <v>#NAME?</v>
      </c>
      <c r="G23" s="8" t="e">
        <f t="shared" ca="1" si="2"/>
        <v>#NAME?</v>
      </c>
      <c r="H23" s="8" t="e">
        <f t="shared" ca="1" si="3"/>
        <v>#NAME?</v>
      </c>
      <c r="I23" s="8" t="e">
        <f t="shared" ca="1" si="4"/>
        <v>#NAME?</v>
      </c>
      <c r="J23" s="6" t="e">
        <f ca="1">_xll.xlqxhSMA($C23,$L$4,$J$7,$K$3)</f>
        <v>#NAME?</v>
      </c>
      <c r="K23" s="7" t="e">
        <f ca="1">_xll.xlqhClose($C23,K$8,$K$3)</f>
        <v>#NAME?</v>
      </c>
      <c r="L23" s="7" t="e">
        <f ca="1">_xll.xlqhClose($C23,L$8,$K$3)</f>
        <v>#NAME?</v>
      </c>
      <c r="N23" s="9" t="e">
        <f t="shared" ca="1" si="5"/>
        <v>#NAME?</v>
      </c>
      <c r="O23" s="9" t="e">
        <f t="shared" ca="1" si="6"/>
        <v>#NAME?</v>
      </c>
      <c r="P23" s="9" t="e">
        <f t="shared" ca="1" si="7"/>
        <v>#NAME?</v>
      </c>
      <c r="Q23" s="9" t="e">
        <f t="shared" ca="1" si="8"/>
        <v>#NAME?</v>
      </c>
      <c r="R23" s="9" t="e">
        <f t="shared" ca="1" si="9"/>
        <v>#NAME?</v>
      </c>
    </row>
    <row r="24" spans="1:18" x14ac:dyDescent="0.25">
      <c r="A24" s="32"/>
    </row>
    <row r="26" spans="1:18" x14ac:dyDescent="0.25">
      <c r="D26" s="35"/>
    </row>
    <row r="27" spans="1:18" x14ac:dyDescent="0.25">
      <c r="D27" s="35"/>
    </row>
    <row r="28" spans="1:18" x14ac:dyDescent="0.25">
      <c r="D28" s="35"/>
      <c r="G28" s="8"/>
    </row>
    <row r="29" spans="1:18" x14ac:dyDescent="0.25">
      <c r="D29" s="35"/>
    </row>
    <row r="30" spans="1:18" x14ac:dyDescent="0.25">
      <c r="D30" s="35"/>
    </row>
    <row r="31" spans="1:18" x14ac:dyDescent="0.25">
      <c r="D31" s="35"/>
    </row>
    <row r="32" spans="1:18" x14ac:dyDescent="0.25">
      <c r="D32" s="35"/>
    </row>
    <row r="33" spans="4:4" x14ac:dyDescent="0.25">
      <c r="D33" s="35"/>
    </row>
    <row r="34" spans="4:4" x14ac:dyDescent="0.25">
      <c r="D34" s="35"/>
    </row>
    <row r="35" spans="4:4" x14ac:dyDescent="0.25">
      <c r="D35" s="35"/>
    </row>
    <row r="36" spans="4:4" x14ac:dyDescent="0.25">
      <c r="D36" s="35"/>
    </row>
    <row r="37" spans="4:4" x14ac:dyDescent="0.25">
      <c r="D37" s="35"/>
    </row>
    <row r="38" spans="4:4" x14ac:dyDescent="0.25">
      <c r="D38" s="35"/>
    </row>
    <row r="39" spans="4:4" x14ac:dyDescent="0.25">
      <c r="D39" s="35"/>
    </row>
    <row r="40" spans="4:4" x14ac:dyDescent="0.25">
      <c r="D40" s="35"/>
    </row>
    <row r="41" spans="4:4" x14ac:dyDescent="0.25">
      <c r="D41" s="35"/>
    </row>
    <row r="42" spans="4:4" x14ac:dyDescent="0.25">
      <c r="D42" s="35"/>
    </row>
    <row r="43" spans="4:4" x14ac:dyDescent="0.25">
      <c r="D43" s="35"/>
    </row>
    <row r="44" spans="4:4" x14ac:dyDescent="0.25">
      <c r="D44" s="35"/>
    </row>
    <row r="45" spans="4:4" x14ac:dyDescent="0.25">
      <c r="D45" s="35"/>
    </row>
    <row r="46" spans="4:4" x14ac:dyDescent="0.25">
      <c r="D46" s="35"/>
    </row>
    <row r="47" spans="4:4" x14ac:dyDescent="0.25">
      <c r="D47" s="35"/>
    </row>
    <row r="48" spans="4:4" x14ac:dyDescent="0.25">
      <c r="D48" s="35"/>
    </row>
    <row r="49" spans="4:4" x14ac:dyDescent="0.25">
      <c r="D49" s="35"/>
    </row>
    <row r="50" spans="4:4" x14ac:dyDescent="0.25">
      <c r="D50" s="35"/>
    </row>
    <row r="51" spans="4:4" x14ac:dyDescent="0.25">
      <c r="D51" s="35"/>
    </row>
    <row r="52" spans="4:4" x14ac:dyDescent="0.25">
      <c r="D52" s="35"/>
    </row>
    <row r="53" spans="4:4" x14ac:dyDescent="0.25">
      <c r="D53" s="35"/>
    </row>
    <row r="54" spans="4:4" x14ac:dyDescent="0.25">
      <c r="D54" s="35"/>
    </row>
    <row r="55" spans="4:4" x14ac:dyDescent="0.25">
      <c r="D55" s="35"/>
    </row>
    <row r="56" spans="4:4" x14ac:dyDescent="0.25">
      <c r="D56" s="35"/>
    </row>
    <row r="57" spans="4:4" x14ac:dyDescent="0.25">
      <c r="D57" s="35"/>
    </row>
    <row r="58" spans="4:4" x14ac:dyDescent="0.25">
      <c r="D58" s="35"/>
    </row>
    <row r="59" spans="4:4" x14ac:dyDescent="0.25">
      <c r="D59" s="35"/>
    </row>
    <row r="60" spans="4:4" x14ac:dyDescent="0.25">
      <c r="D60" s="35"/>
    </row>
    <row r="61" spans="4:4" x14ac:dyDescent="0.25">
      <c r="D61" s="35"/>
    </row>
    <row r="62" spans="4:4" x14ac:dyDescent="0.25">
      <c r="D62" s="35"/>
    </row>
    <row r="63" spans="4:4" x14ac:dyDescent="0.25">
      <c r="D63" s="35"/>
    </row>
    <row r="64" spans="4:4" x14ac:dyDescent="0.25">
      <c r="D64" s="35"/>
    </row>
    <row r="65" spans="4:4" x14ac:dyDescent="0.25">
      <c r="D65" s="35"/>
    </row>
    <row r="66" spans="4:4" x14ac:dyDescent="0.25">
      <c r="D66" s="35"/>
    </row>
    <row r="67" spans="4:4" x14ac:dyDescent="0.25">
      <c r="D67" s="35"/>
    </row>
    <row r="68" spans="4:4" x14ac:dyDescent="0.25">
      <c r="D68" s="35"/>
    </row>
    <row r="69" spans="4:4" x14ac:dyDescent="0.25">
      <c r="D69" s="35"/>
    </row>
    <row r="70" spans="4:4" x14ac:dyDescent="0.25">
      <c r="D70" s="35"/>
    </row>
    <row r="71" spans="4:4" x14ac:dyDescent="0.25">
      <c r="D71" s="35"/>
    </row>
    <row r="72" spans="4:4" x14ac:dyDescent="0.25">
      <c r="D72" s="35"/>
    </row>
    <row r="73" spans="4:4" x14ac:dyDescent="0.25">
      <c r="D73" s="35"/>
    </row>
    <row r="74" spans="4:4" x14ac:dyDescent="0.25">
      <c r="D74" s="35"/>
    </row>
    <row r="75" spans="4:4" x14ac:dyDescent="0.25">
      <c r="D75" s="35"/>
    </row>
    <row r="76" spans="4:4" x14ac:dyDescent="0.25">
      <c r="D76" s="35"/>
    </row>
    <row r="77" spans="4:4" x14ac:dyDescent="0.25">
      <c r="D77" s="35"/>
    </row>
    <row r="78" spans="4:4" x14ac:dyDescent="0.25">
      <c r="D78" s="35"/>
    </row>
    <row r="79" spans="4:4" x14ac:dyDescent="0.25">
      <c r="D79" s="35"/>
    </row>
    <row r="80" spans="4:4" x14ac:dyDescent="0.25">
      <c r="D80" s="35"/>
    </row>
    <row r="81" spans="4:4" x14ac:dyDescent="0.25">
      <c r="D81" s="35"/>
    </row>
    <row r="82" spans="4:4" x14ac:dyDescent="0.25">
      <c r="D82" s="35"/>
    </row>
    <row r="83" spans="4:4" x14ac:dyDescent="0.25">
      <c r="D83" s="35"/>
    </row>
    <row r="84" spans="4:4" x14ac:dyDescent="0.25">
      <c r="D84" s="35"/>
    </row>
    <row r="85" spans="4:4" x14ac:dyDescent="0.25">
      <c r="D85" s="35"/>
    </row>
    <row r="86" spans="4:4" x14ac:dyDescent="0.25">
      <c r="D86" s="35"/>
    </row>
    <row r="87" spans="4:4" x14ac:dyDescent="0.25">
      <c r="D87" s="35"/>
    </row>
    <row r="88" spans="4:4" x14ac:dyDescent="0.25">
      <c r="D88" s="35"/>
    </row>
    <row r="89" spans="4:4" x14ac:dyDescent="0.25">
      <c r="D89" s="35"/>
    </row>
    <row r="90" spans="4:4" x14ac:dyDescent="0.25">
      <c r="D90" s="35"/>
    </row>
    <row r="91" spans="4:4" x14ac:dyDescent="0.25">
      <c r="D91" s="35"/>
    </row>
    <row r="92" spans="4:4" x14ac:dyDescent="0.25">
      <c r="D92" s="35"/>
    </row>
    <row r="93" spans="4:4" x14ac:dyDescent="0.25">
      <c r="D93" s="35"/>
    </row>
    <row r="94" spans="4:4" x14ac:dyDescent="0.25">
      <c r="D94" s="35"/>
    </row>
    <row r="95" spans="4:4" x14ac:dyDescent="0.25">
      <c r="D95" s="35"/>
    </row>
    <row r="96" spans="4:4" x14ac:dyDescent="0.25">
      <c r="D96" s="35"/>
    </row>
    <row r="97" spans="4:4" x14ac:dyDescent="0.25">
      <c r="D97" s="35"/>
    </row>
    <row r="98" spans="4:4" x14ac:dyDescent="0.25">
      <c r="D98" s="35"/>
    </row>
    <row r="99" spans="4:4" x14ac:dyDescent="0.25">
      <c r="D99" s="35"/>
    </row>
    <row r="100" spans="4:4" x14ac:dyDescent="0.25">
      <c r="D100" s="35"/>
    </row>
    <row r="101" spans="4:4" x14ac:dyDescent="0.25">
      <c r="D101" s="35"/>
    </row>
    <row r="102" spans="4:4" x14ac:dyDescent="0.25">
      <c r="D102" s="35"/>
    </row>
    <row r="103" spans="4:4" x14ac:dyDescent="0.25">
      <c r="D103" s="35"/>
    </row>
    <row r="104" spans="4:4" x14ac:dyDescent="0.25">
      <c r="D104" s="35"/>
    </row>
    <row r="105" spans="4:4" x14ac:dyDescent="0.25">
      <c r="D105" s="35"/>
    </row>
    <row r="106" spans="4:4" x14ac:dyDescent="0.25">
      <c r="D106" s="35"/>
    </row>
    <row r="107" spans="4:4" x14ac:dyDescent="0.25">
      <c r="D107" s="35"/>
    </row>
    <row r="108" spans="4:4" x14ac:dyDescent="0.25">
      <c r="D108" s="35"/>
    </row>
    <row r="109" spans="4:4" x14ac:dyDescent="0.25">
      <c r="D109" s="35"/>
    </row>
    <row r="110" spans="4:4" x14ac:dyDescent="0.25">
      <c r="D110" s="35"/>
    </row>
    <row r="111" spans="4:4" x14ac:dyDescent="0.25">
      <c r="D111" s="35"/>
    </row>
    <row r="112" spans="4:4" x14ac:dyDescent="0.25">
      <c r="D112" s="35"/>
    </row>
    <row r="113" spans="4:4" x14ac:dyDescent="0.25">
      <c r="D113" s="35"/>
    </row>
    <row r="114" spans="4:4" x14ac:dyDescent="0.25">
      <c r="D114" s="35"/>
    </row>
  </sheetData>
  <autoFilter ref="B10:R23">
    <sortState ref="B11:R23">
      <sortCondition ref="F10:F23"/>
    </sortState>
  </autoFilter>
  <mergeCells count="4">
    <mergeCell ref="J6:L6"/>
    <mergeCell ref="G9:I9"/>
    <mergeCell ref="J9:L9"/>
    <mergeCell ref="N9:R9"/>
  </mergeCells>
  <conditionalFormatting sqref="E11:E23">
    <cfRule type="containsText" dxfId="37" priority="11" operator="containsText" text="Cash">
      <formula>NOT(ISERROR(SEARCH("Cash",E11)))</formula>
    </cfRule>
    <cfRule type="containsText" dxfId="36" priority="12" operator="containsText" text="Buy">
      <formula>NOT(ISERROR(SEARCH("Buy",E11)))</formula>
    </cfRule>
  </conditionalFormatting>
  <conditionalFormatting sqref="G11:H23">
    <cfRule type="cellIs" dxfId="35" priority="8" operator="greaterThan">
      <formula>0</formula>
    </cfRule>
    <cfRule type="cellIs" dxfId="34" priority="9" operator="lessThan">
      <formula>0</formula>
    </cfRule>
  </conditionalFormatting>
  <conditionalFormatting sqref="I11:I23">
    <cfRule type="cellIs" dxfId="33" priority="3" operator="greaterThan">
      <formula>0</formula>
    </cfRule>
    <cfRule type="cellIs" dxfId="32" priority="4" operator="lessThan">
      <formula>0</formula>
    </cfRule>
  </conditionalFormatting>
  <conditionalFormatting sqref="G28">
    <cfRule type="cellIs" dxfId="31" priority="1" operator="greaterThan">
      <formula>0</formula>
    </cfRule>
    <cfRule type="cellIs" dxfId="30" priority="2" operator="lessThan">
      <formula>0</formula>
    </cfRule>
  </conditionalFormatting>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23"/>
  <sheetViews>
    <sheetView zoomScaleNormal="100" workbookViewId="0">
      <selection activeCell="H23" sqref="H23"/>
    </sheetView>
  </sheetViews>
  <sheetFormatPr defaultRowHeight="15" x14ac:dyDescent="0.25"/>
  <cols>
    <col min="2" max="2" width="34.85546875" bestFit="1" customWidth="1"/>
    <col min="3" max="3" width="9.7109375" bestFit="1" customWidth="1"/>
    <col min="4" max="4" width="10.5703125" customWidth="1"/>
    <col min="5" max="5" width="12.42578125" customWidth="1"/>
    <col min="6" max="6" width="8" customWidth="1"/>
    <col min="7" max="8" width="9" bestFit="1" customWidth="1"/>
    <col min="9" max="9" width="9.85546875" bestFit="1" customWidth="1"/>
    <col min="10" max="10" width="11" bestFit="1" customWidth="1"/>
    <col min="11" max="12" width="12.42578125" customWidth="1"/>
    <col min="13" max="13" width="5.28515625" customWidth="1"/>
  </cols>
  <sheetData>
    <row r="1" spans="1:18" x14ac:dyDescent="0.25">
      <c r="A1" s="31"/>
      <c r="B1" s="31"/>
      <c r="C1" s="31"/>
      <c r="D1" s="31"/>
      <c r="E1" s="31"/>
      <c r="F1" s="31"/>
      <c r="G1" s="31"/>
      <c r="H1" s="31"/>
      <c r="I1" s="31"/>
      <c r="J1" s="31"/>
      <c r="L1" s="31"/>
    </row>
    <row r="2" spans="1:18" x14ac:dyDescent="0.25">
      <c r="A2" s="31"/>
      <c r="B2" s="31"/>
      <c r="C2" s="31"/>
      <c r="D2" s="31"/>
      <c r="E2" s="31"/>
      <c r="F2" s="31"/>
      <c r="G2" s="31"/>
      <c r="H2" s="31"/>
      <c r="I2" s="31"/>
      <c r="J2" s="31"/>
      <c r="K2" s="44" t="s">
        <v>13</v>
      </c>
      <c r="L2" s="31"/>
    </row>
    <row r="3" spans="1:18" x14ac:dyDescent="0.25">
      <c r="A3" s="31"/>
      <c r="B3" s="31"/>
      <c r="C3" s="31"/>
      <c r="D3" s="31"/>
      <c r="E3" s="31"/>
      <c r="F3" s="31"/>
      <c r="G3" s="31"/>
      <c r="H3" s="31"/>
      <c r="I3" s="31"/>
      <c r="J3" s="31"/>
      <c r="K3" s="4" t="s">
        <v>12</v>
      </c>
      <c r="L3" s="31"/>
    </row>
    <row r="4" spans="1:18" x14ac:dyDescent="0.25">
      <c r="A4" s="31"/>
      <c r="B4" s="31"/>
      <c r="C4" s="31"/>
      <c r="D4" s="31"/>
      <c r="E4" s="31"/>
      <c r="F4" s="31"/>
      <c r="G4" s="31"/>
      <c r="H4" s="31"/>
      <c r="I4" s="31"/>
      <c r="J4" s="31"/>
      <c r="K4" s="44" t="s">
        <v>10</v>
      </c>
      <c r="L4" s="31">
        <v>0</v>
      </c>
    </row>
    <row r="5" spans="1:18" x14ac:dyDescent="0.25">
      <c r="A5" s="31"/>
      <c r="B5" s="31"/>
      <c r="C5" s="31"/>
      <c r="D5" s="31"/>
      <c r="E5" s="31"/>
      <c r="F5" s="31"/>
      <c r="G5" s="31"/>
      <c r="H5" s="31"/>
      <c r="I5" s="31"/>
      <c r="J5" s="31"/>
      <c r="K5" s="3">
        <f ca="1">TODAY()</f>
        <v>41738</v>
      </c>
      <c r="L5" s="31"/>
    </row>
    <row r="6" spans="1:18" x14ac:dyDescent="0.25">
      <c r="B6" s="38">
        <f ca="1">TODAY()</f>
        <v>41738</v>
      </c>
      <c r="C6" s="31"/>
      <c r="D6" s="31"/>
      <c r="E6" s="31"/>
      <c r="F6" s="31"/>
      <c r="G6" s="31"/>
      <c r="H6" s="31"/>
      <c r="I6" s="31"/>
      <c r="J6" s="50" t="s">
        <v>11</v>
      </c>
      <c r="K6" s="50"/>
      <c r="L6" s="50"/>
    </row>
    <row r="7" spans="1:18" x14ac:dyDescent="0.25">
      <c r="A7" s="31"/>
      <c r="B7" s="31"/>
      <c r="C7" s="31"/>
      <c r="D7" s="31"/>
      <c r="E7" s="31"/>
      <c r="F7" s="31"/>
      <c r="G7" s="31"/>
      <c r="H7" s="31"/>
      <c r="I7" s="31"/>
      <c r="J7" s="1">
        <v>88</v>
      </c>
      <c r="K7" s="1">
        <v>-66</v>
      </c>
      <c r="L7" s="1">
        <v>-132</v>
      </c>
    </row>
    <row r="8" spans="1:18" x14ac:dyDescent="0.25">
      <c r="A8" s="31"/>
      <c r="B8" s="36" t="s">
        <v>510</v>
      </c>
      <c r="C8" s="31"/>
      <c r="D8" s="31"/>
      <c r="E8" s="31"/>
      <c r="F8" s="31"/>
      <c r="G8" s="11">
        <v>0.7</v>
      </c>
      <c r="H8" s="11">
        <v>0.3</v>
      </c>
      <c r="I8" s="31"/>
      <c r="J8" s="3"/>
      <c r="K8" s="3" t="e">
        <f ca="1">_xll.xlqhDate("SPY",K$7,$K$3)</f>
        <v>#NAME?</v>
      </c>
      <c r="L8" s="3" t="e">
        <f ca="1">_xll.xlqhDate("SPY",L$7,$K$3)</f>
        <v>#NAME?</v>
      </c>
    </row>
    <row r="9" spans="1:18" x14ac:dyDescent="0.25">
      <c r="A9" s="31"/>
      <c r="B9" s="36" t="s">
        <v>511</v>
      </c>
      <c r="C9" s="34"/>
      <c r="D9" s="34"/>
      <c r="E9" s="34"/>
      <c r="F9" s="34"/>
      <c r="G9" s="51" t="s">
        <v>33</v>
      </c>
      <c r="H9" s="51"/>
      <c r="I9" s="51"/>
      <c r="J9" s="52" t="s">
        <v>34</v>
      </c>
      <c r="K9" s="52"/>
      <c r="L9" s="52"/>
      <c r="N9" s="53" t="s">
        <v>48</v>
      </c>
      <c r="O9" s="53"/>
      <c r="P9" s="53"/>
      <c r="Q9" s="53"/>
      <c r="R9" s="53"/>
    </row>
    <row r="10" spans="1:18" x14ac:dyDescent="0.25">
      <c r="A10" s="32"/>
      <c r="B10" s="12" t="s">
        <v>0</v>
      </c>
      <c r="C10" s="20" t="s">
        <v>1</v>
      </c>
      <c r="D10" s="14" t="s">
        <v>2</v>
      </c>
      <c r="E10" s="14" t="s">
        <v>26</v>
      </c>
      <c r="F10" s="14" t="s">
        <v>31</v>
      </c>
      <c r="G10" s="15" t="s">
        <v>4</v>
      </c>
      <c r="H10" s="15" t="s">
        <v>3</v>
      </c>
      <c r="I10" s="15" t="s">
        <v>5</v>
      </c>
      <c r="J10" s="16" t="s">
        <v>6</v>
      </c>
      <c r="K10" s="16" t="s">
        <v>8</v>
      </c>
      <c r="L10" s="16" t="s">
        <v>7</v>
      </c>
      <c r="N10" s="45" t="s">
        <v>29</v>
      </c>
      <c r="O10" s="45" t="s">
        <v>30</v>
      </c>
      <c r="P10" s="45" t="s">
        <v>28</v>
      </c>
      <c r="Q10" s="45" t="s">
        <v>27</v>
      </c>
      <c r="R10" s="45" t="s">
        <v>32</v>
      </c>
    </row>
    <row r="11" spans="1:18" x14ac:dyDescent="0.25">
      <c r="A11" s="33"/>
      <c r="B11" s="7" t="s">
        <v>2353</v>
      </c>
      <c r="C11" s="21" t="s">
        <v>275</v>
      </c>
      <c r="D11" s="7" t="e">
        <f ca="1">_xll.xlqPrice(C11)</f>
        <v>#NAME?</v>
      </c>
      <c r="E11" s="9" t="e">
        <f t="shared" ref="E11:E32" ca="1" si="0">IF(D11&gt;J11, "Buy","Cash")</f>
        <v>#NAME?</v>
      </c>
      <c r="F11" s="9" t="e">
        <f t="shared" ref="F11:F32" ca="1" si="1">RANK(I11,$I$11:$I$32,0)</f>
        <v>#NAME?</v>
      </c>
      <c r="G11" s="8" t="e">
        <f t="shared" ref="G11:G32" ca="1" si="2">($D11-K11)/K11</f>
        <v>#NAME?</v>
      </c>
      <c r="H11" s="8" t="e">
        <f t="shared" ref="H11:H32" ca="1" si="3">($D11-L11)/L11</f>
        <v>#NAME?</v>
      </c>
      <c r="I11" s="8" t="e">
        <f t="shared" ref="I11:I32" ca="1" si="4">(G11*$G$8) +(H11*$H$8)</f>
        <v>#NAME?</v>
      </c>
      <c r="J11" s="6" t="e">
        <f ca="1">_xll.xlqxhSMA($C11,$L$4,$J$7,$K$3)</f>
        <v>#NAME?</v>
      </c>
      <c r="K11" s="7" t="e">
        <f ca="1">_xll.xlqhClose($C11,K$8,$K$3)</f>
        <v>#NAME?</v>
      </c>
      <c r="L11" s="7" t="e">
        <f ca="1">_xll.xlqhClose($C11,L$8,$K$3)</f>
        <v>#NAME?</v>
      </c>
      <c r="N11" s="9" t="e">
        <f t="shared" ref="N11:N32" ca="1" si="5">RANK($G11,G$11:G$32,0)</f>
        <v>#NAME?</v>
      </c>
      <c r="O11" s="9" t="e">
        <f t="shared" ref="O11:O32" ca="1" si="6">RANK($H11,H$11:H$32,0)</f>
        <v>#NAME?</v>
      </c>
      <c r="P11" s="9" t="e">
        <f t="shared" ref="P11:P32" ca="1" si="7">(N11*$G$8)+(O11*$H$8)</f>
        <v>#NAME?</v>
      </c>
      <c r="Q11" s="9" t="e">
        <f t="shared" ref="Q11:Q32" ca="1" si="8">RANK($P11,P$11:P$32,1)</f>
        <v>#NAME?</v>
      </c>
      <c r="R11" s="9" t="e">
        <f t="shared" ref="R11:R32" ca="1" si="9">F11-Q11</f>
        <v>#NAME?</v>
      </c>
    </row>
    <row r="12" spans="1:18" x14ac:dyDescent="0.25">
      <c r="A12" s="33"/>
      <c r="B12" s="7" t="s">
        <v>35</v>
      </c>
      <c r="C12" s="21" t="s">
        <v>14</v>
      </c>
      <c r="D12" s="7" t="e">
        <f ca="1">_xll.xlqPrice(C12)</f>
        <v>#NAME?</v>
      </c>
      <c r="E12" s="9" t="e">
        <f t="shared" ca="1" si="0"/>
        <v>#NAME?</v>
      </c>
      <c r="F12" s="9" t="e">
        <f t="shared" ca="1" si="1"/>
        <v>#NAME?</v>
      </c>
      <c r="G12" s="8" t="e">
        <f t="shared" ca="1" si="2"/>
        <v>#NAME?</v>
      </c>
      <c r="H12" s="8" t="e">
        <f t="shared" ca="1" si="3"/>
        <v>#NAME?</v>
      </c>
      <c r="I12" s="8" t="e">
        <f t="shared" ca="1" si="4"/>
        <v>#NAME?</v>
      </c>
      <c r="J12" s="6" t="e">
        <f ca="1">_xll.xlqxhSMA($C12,$L$4,$J$7,$K$3)</f>
        <v>#NAME?</v>
      </c>
      <c r="K12" s="7" t="e">
        <f ca="1">_xll.xlqhClose($C12,K$8,$K$3)</f>
        <v>#NAME?</v>
      </c>
      <c r="L12" s="7" t="e">
        <f ca="1">_xll.xlqhClose($C12,L$8,$K$3)</f>
        <v>#NAME?</v>
      </c>
      <c r="N12" s="9" t="e">
        <f t="shared" ca="1" si="5"/>
        <v>#NAME?</v>
      </c>
      <c r="O12" s="9" t="e">
        <f t="shared" ca="1" si="6"/>
        <v>#NAME?</v>
      </c>
      <c r="P12" s="9" t="e">
        <f t="shared" ca="1" si="7"/>
        <v>#NAME?</v>
      </c>
      <c r="Q12" s="9" t="e">
        <f t="shared" ca="1" si="8"/>
        <v>#NAME?</v>
      </c>
      <c r="R12" s="9" t="e">
        <f t="shared" ca="1" si="9"/>
        <v>#NAME?</v>
      </c>
    </row>
    <row r="13" spans="1:18" x14ac:dyDescent="0.25">
      <c r="A13" s="33"/>
      <c r="B13" s="7" t="s">
        <v>2357</v>
      </c>
      <c r="C13" s="21" t="s">
        <v>159</v>
      </c>
      <c r="D13" s="7" t="e">
        <f ca="1">_xll.xlqPrice(C13)</f>
        <v>#NAME?</v>
      </c>
      <c r="E13" s="9" t="e">
        <f t="shared" ca="1" si="0"/>
        <v>#NAME?</v>
      </c>
      <c r="F13" s="9" t="e">
        <f t="shared" ca="1" si="1"/>
        <v>#NAME?</v>
      </c>
      <c r="G13" s="8" t="e">
        <f t="shared" ca="1" si="2"/>
        <v>#NAME?</v>
      </c>
      <c r="H13" s="8" t="e">
        <f t="shared" ca="1" si="3"/>
        <v>#NAME?</v>
      </c>
      <c r="I13" s="8" t="e">
        <f t="shared" ca="1" si="4"/>
        <v>#NAME?</v>
      </c>
      <c r="J13" s="6" t="e">
        <f ca="1">_xll.xlqxhSMA($C13,$L$4,$J$7,$K$3)</f>
        <v>#NAME?</v>
      </c>
      <c r="K13" s="7" t="e">
        <f ca="1">_xll.xlqhClose($C13,K$8,$K$3)</f>
        <v>#NAME?</v>
      </c>
      <c r="L13" s="7" t="e">
        <f ca="1">_xll.xlqhClose($C13,L$8,$K$3)</f>
        <v>#NAME?</v>
      </c>
      <c r="N13" s="9" t="e">
        <f t="shared" ca="1" si="5"/>
        <v>#NAME?</v>
      </c>
      <c r="O13" s="9" t="e">
        <f t="shared" ca="1" si="6"/>
        <v>#NAME?</v>
      </c>
      <c r="P13" s="9" t="e">
        <f t="shared" ca="1" si="7"/>
        <v>#NAME?</v>
      </c>
      <c r="Q13" s="9" t="e">
        <f t="shared" ca="1" si="8"/>
        <v>#NAME?</v>
      </c>
      <c r="R13" s="9" t="e">
        <f t="shared" ca="1" si="9"/>
        <v>#NAME?</v>
      </c>
    </row>
    <row r="14" spans="1:18" x14ac:dyDescent="0.25">
      <c r="A14" s="33"/>
      <c r="B14" s="7" t="s">
        <v>39</v>
      </c>
      <c r="C14" s="21" t="s">
        <v>17</v>
      </c>
      <c r="D14" s="7" t="e">
        <f ca="1">_xll.xlqPrice(C14)</f>
        <v>#NAME?</v>
      </c>
      <c r="E14" s="9" t="e">
        <f t="shared" ca="1" si="0"/>
        <v>#NAME?</v>
      </c>
      <c r="F14" s="9" t="e">
        <f t="shared" ca="1" si="1"/>
        <v>#NAME?</v>
      </c>
      <c r="G14" s="8" t="e">
        <f t="shared" ca="1" si="2"/>
        <v>#NAME?</v>
      </c>
      <c r="H14" s="8" t="e">
        <f t="shared" ca="1" si="3"/>
        <v>#NAME?</v>
      </c>
      <c r="I14" s="8" t="e">
        <f t="shared" ca="1" si="4"/>
        <v>#NAME?</v>
      </c>
      <c r="J14" s="6" t="e">
        <f ca="1">_xll.xlqxhSMA($C14,$L$4,$J$7,$K$3)</f>
        <v>#NAME?</v>
      </c>
      <c r="K14" s="7" t="e">
        <f ca="1">_xll.xlqhClose($C14,K$8,$K$3)</f>
        <v>#NAME?</v>
      </c>
      <c r="L14" s="7" t="e">
        <f ca="1">_xll.xlqhClose($C14,L$8,$K$3)</f>
        <v>#NAME?</v>
      </c>
      <c r="N14" s="9" t="e">
        <f t="shared" ca="1" si="5"/>
        <v>#NAME?</v>
      </c>
      <c r="O14" s="9" t="e">
        <f t="shared" ca="1" si="6"/>
        <v>#NAME?</v>
      </c>
      <c r="P14" s="9" t="e">
        <f t="shared" ca="1" si="7"/>
        <v>#NAME?</v>
      </c>
      <c r="Q14" s="9" t="e">
        <f t="shared" ca="1" si="8"/>
        <v>#NAME?</v>
      </c>
      <c r="R14" s="9" t="e">
        <f t="shared" ca="1" si="9"/>
        <v>#NAME?</v>
      </c>
    </row>
    <row r="15" spans="1:18" x14ac:dyDescent="0.25">
      <c r="A15" s="33"/>
      <c r="B15" s="7" t="s">
        <v>2356</v>
      </c>
      <c r="C15" s="21" t="s">
        <v>421</v>
      </c>
      <c r="D15" s="7" t="e">
        <f ca="1">_xll.xlqPrice(C15)</f>
        <v>#NAME?</v>
      </c>
      <c r="E15" s="9" t="e">
        <f t="shared" ca="1" si="0"/>
        <v>#NAME?</v>
      </c>
      <c r="F15" s="9" t="e">
        <f t="shared" ca="1" si="1"/>
        <v>#NAME?</v>
      </c>
      <c r="G15" s="8" t="e">
        <f t="shared" ca="1" si="2"/>
        <v>#NAME?</v>
      </c>
      <c r="H15" s="8" t="e">
        <f t="shared" ca="1" si="3"/>
        <v>#NAME?</v>
      </c>
      <c r="I15" s="8" t="e">
        <f t="shared" ca="1" si="4"/>
        <v>#NAME?</v>
      </c>
      <c r="J15" s="6" t="e">
        <f ca="1">_xll.xlqxhSMA($C15,$L$4,$J$7,$K$3)</f>
        <v>#NAME?</v>
      </c>
      <c r="K15" s="7" t="e">
        <f ca="1">_xll.xlqhClose($C15,K$8,$K$3)</f>
        <v>#NAME?</v>
      </c>
      <c r="L15" s="7" t="e">
        <f ca="1">_xll.xlqhClose($C15,L$8,$K$3)</f>
        <v>#NAME?</v>
      </c>
      <c r="N15" s="9" t="e">
        <f t="shared" ca="1" si="5"/>
        <v>#NAME?</v>
      </c>
      <c r="O15" s="9" t="e">
        <f t="shared" ca="1" si="6"/>
        <v>#NAME?</v>
      </c>
      <c r="P15" s="9" t="e">
        <f t="shared" ca="1" si="7"/>
        <v>#NAME?</v>
      </c>
      <c r="Q15" s="9" t="e">
        <f t="shared" ca="1" si="8"/>
        <v>#NAME?</v>
      </c>
      <c r="R15" s="9" t="e">
        <f t="shared" ca="1" si="9"/>
        <v>#NAME?</v>
      </c>
    </row>
    <row r="16" spans="1:18" x14ac:dyDescent="0.25">
      <c r="A16" s="33"/>
      <c r="B16" s="7" t="s">
        <v>2354</v>
      </c>
      <c r="C16" s="21" t="s">
        <v>151</v>
      </c>
      <c r="D16" s="7" t="e">
        <f ca="1">_xll.xlqPrice(C16)</f>
        <v>#NAME?</v>
      </c>
      <c r="E16" s="9" t="e">
        <f t="shared" ca="1" si="0"/>
        <v>#NAME?</v>
      </c>
      <c r="F16" s="9" t="e">
        <f t="shared" ca="1" si="1"/>
        <v>#NAME?</v>
      </c>
      <c r="G16" s="8" t="e">
        <f t="shared" ca="1" si="2"/>
        <v>#NAME?</v>
      </c>
      <c r="H16" s="8" t="e">
        <f t="shared" ca="1" si="3"/>
        <v>#NAME?</v>
      </c>
      <c r="I16" s="8" t="e">
        <f t="shared" ca="1" si="4"/>
        <v>#NAME?</v>
      </c>
      <c r="J16" s="6" t="e">
        <f ca="1">_xll.xlqxhSMA($C16,$L$4,$J$7,$K$3)</f>
        <v>#NAME?</v>
      </c>
      <c r="K16" s="7" t="e">
        <f ca="1">_xll.xlqhClose($C16,K$8,$K$3)</f>
        <v>#NAME?</v>
      </c>
      <c r="L16" s="7" t="e">
        <f ca="1">_xll.xlqhClose($C16,L$8,$K$3)</f>
        <v>#NAME?</v>
      </c>
      <c r="N16" s="9" t="e">
        <f t="shared" ca="1" si="5"/>
        <v>#NAME?</v>
      </c>
      <c r="O16" s="9" t="e">
        <f t="shared" ca="1" si="6"/>
        <v>#NAME?</v>
      </c>
      <c r="P16" s="9" t="e">
        <f t="shared" ca="1" si="7"/>
        <v>#NAME?</v>
      </c>
      <c r="Q16" s="9" t="e">
        <f t="shared" ca="1" si="8"/>
        <v>#NAME?</v>
      </c>
      <c r="R16" s="9" t="e">
        <f t="shared" ca="1" si="9"/>
        <v>#NAME?</v>
      </c>
    </row>
    <row r="17" spans="1:18" x14ac:dyDescent="0.25">
      <c r="A17" s="33"/>
      <c r="B17" s="7" t="s">
        <v>38</v>
      </c>
      <c r="C17" s="21" t="s">
        <v>9</v>
      </c>
      <c r="D17" s="7" t="e">
        <f ca="1">_xll.xlqPrice(C17)</f>
        <v>#NAME?</v>
      </c>
      <c r="E17" s="9" t="e">
        <f t="shared" ca="1" si="0"/>
        <v>#NAME?</v>
      </c>
      <c r="F17" s="9" t="e">
        <f t="shared" ca="1" si="1"/>
        <v>#NAME?</v>
      </c>
      <c r="G17" s="8" t="e">
        <f t="shared" ca="1" si="2"/>
        <v>#NAME?</v>
      </c>
      <c r="H17" s="8" t="e">
        <f t="shared" ca="1" si="3"/>
        <v>#NAME?</v>
      </c>
      <c r="I17" s="8" t="e">
        <f t="shared" ca="1" si="4"/>
        <v>#NAME?</v>
      </c>
      <c r="J17" s="6" t="e">
        <f ca="1">_xll.xlqxhSMA($C17,$L$4,$J$7,$K$3)</f>
        <v>#NAME?</v>
      </c>
      <c r="K17" s="7" t="e">
        <f ca="1">_xll.xlqhClose($C17,K$8,$K$3)</f>
        <v>#NAME?</v>
      </c>
      <c r="L17" s="7" t="e">
        <f ca="1">_xll.xlqhClose($C17,L$8,$K$3)</f>
        <v>#NAME?</v>
      </c>
      <c r="N17" s="9" t="e">
        <f t="shared" ca="1" si="5"/>
        <v>#NAME?</v>
      </c>
      <c r="O17" s="9" t="e">
        <f t="shared" ca="1" si="6"/>
        <v>#NAME?</v>
      </c>
      <c r="P17" s="9" t="e">
        <f t="shared" ca="1" si="7"/>
        <v>#NAME?</v>
      </c>
      <c r="Q17" s="9" t="e">
        <f t="shared" ca="1" si="8"/>
        <v>#NAME?</v>
      </c>
      <c r="R17" s="9" t="e">
        <f t="shared" ca="1" si="9"/>
        <v>#NAME?</v>
      </c>
    </row>
    <row r="18" spans="1:18" x14ac:dyDescent="0.25">
      <c r="A18" s="33"/>
      <c r="B18" s="7" t="s">
        <v>2352</v>
      </c>
      <c r="C18" s="21" t="s">
        <v>343</v>
      </c>
      <c r="D18" s="7" t="e">
        <f ca="1">_xll.xlqPrice(C18)</f>
        <v>#NAME?</v>
      </c>
      <c r="E18" s="9" t="e">
        <f t="shared" ca="1" si="0"/>
        <v>#NAME?</v>
      </c>
      <c r="F18" s="9" t="e">
        <f t="shared" ca="1" si="1"/>
        <v>#NAME?</v>
      </c>
      <c r="G18" s="8" t="e">
        <f t="shared" ca="1" si="2"/>
        <v>#NAME?</v>
      </c>
      <c r="H18" s="8" t="e">
        <f t="shared" ca="1" si="3"/>
        <v>#NAME?</v>
      </c>
      <c r="I18" s="8" t="e">
        <f t="shared" ca="1" si="4"/>
        <v>#NAME?</v>
      </c>
      <c r="J18" s="6" t="e">
        <f ca="1">_xll.xlqxhSMA($C18,$L$4,$J$7,$K$3)</f>
        <v>#NAME?</v>
      </c>
      <c r="K18" s="7" t="e">
        <f ca="1">_xll.xlqhClose($C18,K$8,$K$3)</f>
        <v>#NAME?</v>
      </c>
      <c r="L18" s="7" t="e">
        <f ca="1">_xll.xlqhClose($C18,L$8,$K$3)</f>
        <v>#NAME?</v>
      </c>
      <c r="N18" s="9" t="e">
        <f t="shared" ca="1" si="5"/>
        <v>#NAME?</v>
      </c>
      <c r="O18" s="9" t="e">
        <f t="shared" ca="1" si="6"/>
        <v>#NAME?</v>
      </c>
      <c r="P18" s="9" t="e">
        <f t="shared" ca="1" si="7"/>
        <v>#NAME?</v>
      </c>
      <c r="Q18" s="9" t="e">
        <f t="shared" ca="1" si="8"/>
        <v>#NAME?</v>
      </c>
      <c r="R18" s="9" t="e">
        <f t="shared" ca="1" si="9"/>
        <v>#NAME?</v>
      </c>
    </row>
    <row r="19" spans="1:18" x14ac:dyDescent="0.25">
      <c r="A19" s="33"/>
      <c r="B19" s="7" t="s">
        <v>67</v>
      </c>
      <c r="C19" s="21" t="s">
        <v>68</v>
      </c>
      <c r="D19" s="7" t="e">
        <f ca="1">_xll.xlqPrice(C19)</f>
        <v>#NAME?</v>
      </c>
      <c r="E19" s="9" t="e">
        <f t="shared" ca="1" si="0"/>
        <v>#NAME?</v>
      </c>
      <c r="F19" s="9" t="e">
        <f t="shared" ca="1" si="1"/>
        <v>#NAME?</v>
      </c>
      <c r="G19" s="8" t="e">
        <f t="shared" ca="1" si="2"/>
        <v>#NAME?</v>
      </c>
      <c r="H19" s="8" t="e">
        <f t="shared" ca="1" si="3"/>
        <v>#NAME?</v>
      </c>
      <c r="I19" s="8" t="e">
        <f t="shared" ca="1" si="4"/>
        <v>#NAME?</v>
      </c>
      <c r="J19" s="6" t="e">
        <f ca="1">_xll.xlqxhSMA($C19,$L$4,$J$7,$K$3)</f>
        <v>#NAME?</v>
      </c>
      <c r="K19" s="7" t="e">
        <f ca="1">_xll.xlqhClose($C19,K$8,$K$3)</f>
        <v>#NAME?</v>
      </c>
      <c r="L19" s="7" t="e">
        <f ca="1">_xll.xlqhClose($C19,L$8,$K$3)</f>
        <v>#NAME?</v>
      </c>
      <c r="N19" s="9" t="e">
        <f t="shared" ca="1" si="5"/>
        <v>#NAME?</v>
      </c>
      <c r="O19" s="9" t="e">
        <f t="shared" ca="1" si="6"/>
        <v>#NAME?</v>
      </c>
      <c r="P19" s="9" t="e">
        <f t="shared" ca="1" si="7"/>
        <v>#NAME?</v>
      </c>
      <c r="Q19" s="9" t="e">
        <f t="shared" ca="1" si="8"/>
        <v>#NAME?</v>
      </c>
      <c r="R19" s="9" t="e">
        <f t="shared" ca="1" si="9"/>
        <v>#NAME?</v>
      </c>
    </row>
    <row r="20" spans="1:18" x14ac:dyDescent="0.25">
      <c r="A20" s="33"/>
      <c r="B20" s="7" t="s">
        <v>43</v>
      </c>
      <c r="C20" s="21" t="s">
        <v>22</v>
      </c>
      <c r="D20" s="7" t="e">
        <f ca="1">_xll.xlqPrice(C20)</f>
        <v>#NAME?</v>
      </c>
      <c r="E20" s="9" t="e">
        <f t="shared" ca="1" si="0"/>
        <v>#NAME?</v>
      </c>
      <c r="F20" s="9" t="e">
        <f t="shared" ca="1" si="1"/>
        <v>#NAME?</v>
      </c>
      <c r="G20" s="8" t="e">
        <f t="shared" ca="1" si="2"/>
        <v>#NAME?</v>
      </c>
      <c r="H20" s="8" t="e">
        <f t="shared" ca="1" si="3"/>
        <v>#NAME?</v>
      </c>
      <c r="I20" s="8" t="e">
        <f t="shared" ca="1" si="4"/>
        <v>#NAME?</v>
      </c>
      <c r="J20" s="6" t="e">
        <f ca="1">_xll.xlqxhSMA($C20,$L$4,$J$7,$K$3)</f>
        <v>#NAME?</v>
      </c>
      <c r="K20" s="7" t="e">
        <f ca="1">_xll.xlqhClose($C20,K$8,$K$3)</f>
        <v>#NAME?</v>
      </c>
      <c r="L20" s="7" t="e">
        <f ca="1">_xll.xlqhClose($C20,L$8,$K$3)</f>
        <v>#NAME?</v>
      </c>
      <c r="N20" s="9" t="e">
        <f t="shared" ca="1" si="5"/>
        <v>#NAME?</v>
      </c>
      <c r="O20" s="9" t="e">
        <f t="shared" ca="1" si="6"/>
        <v>#NAME?</v>
      </c>
      <c r="P20" s="9" t="e">
        <f t="shared" ca="1" si="7"/>
        <v>#NAME?</v>
      </c>
      <c r="Q20" s="9" t="e">
        <f t="shared" ca="1" si="8"/>
        <v>#NAME?</v>
      </c>
      <c r="R20" s="9" t="e">
        <f t="shared" ca="1" si="9"/>
        <v>#NAME?</v>
      </c>
    </row>
    <row r="21" spans="1:18" x14ac:dyDescent="0.25">
      <c r="A21" s="33"/>
      <c r="B21" s="7" t="s">
        <v>41</v>
      </c>
      <c r="C21" s="21" t="s">
        <v>18</v>
      </c>
      <c r="D21" s="7" t="e">
        <f ca="1">_xll.xlqPrice(C21)</f>
        <v>#NAME?</v>
      </c>
      <c r="E21" s="9" t="e">
        <f t="shared" ca="1" si="0"/>
        <v>#NAME?</v>
      </c>
      <c r="F21" s="9" t="e">
        <f t="shared" ca="1" si="1"/>
        <v>#NAME?</v>
      </c>
      <c r="G21" s="8" t="e">
        <f t="shared" ca="1" si="2"/>
        <v>#NAME?</v>
      </c>
      <c r="H21" s="8" t="e">
        <f t="shared" ca="1" si="3"/>
        <v>#NAME?</v>
      </c>
      <c r="I21" s="8" t="e">
        <f t="shared" ca="1" si="4"/>
        <v>#NAME?</v>
      </c>
      <c r="J21" s="6" t="e">
        <f ca="1">_xll.xlqxhSMA($C21,$L$4,$J$7,$K$3)</f>
        <v>#NAME?</v>
      </c>
      <c r="K21" s="7" t="e">
        <f ca="1">_xll.xlqhClose($C21,K$8,$K$3)</f>
        <v>#NAME?</v>
      </c>
      <c r="L21" s="7" t="e">
        <f ca="1">_xll.xlqhClose($C21,L$8,$K$3)</f>
        <v>#NAME?</v>
      </c>
      <c r="N21" s="9" t="e">
        <f t="shared" ca="1" si="5"/>
        <v>#NAME?</v>
      </c>
      <c r="O21" s="9" t="e">
        <f t="shared" ca="1" si="6"/>
        <v>#NAME?</v>
      </c>
      <c r="P21" s="9" t="e">
        <f t="shared" ca="1" si="7"/>
        <v>#NAME?</v>
      </c>
      <c r="Q21" s="9" t="e">
        <f t="shared" ca="1" si="8"/>
        <v>#NAME?</v>
      </c>
      <c r="R21" s="9" t="e">
        <f t="shared" ca="1" si="9"/>
        <v>#NAME?</v>
      </c>
    </row>
    <row r="22" spans="1:18" x14ac:dyDescent="0.25">
      <c r="A22" s="33"/>
      <c r="B22" s="7" t="s">
        <v>37</v>
      </c>
      <c r="C22" s="21" t="s">
        <v>24</v>
      </c>
      <c r="D22" s="7" t="e">
        <f ca="1">_xll.xlqPrice(C22)</f>
        <v>#NAME?</v>
      </c>
      <c r="E22" s="9" t="e">
        <f t="shared" ca="1" si="0"/>
        <v>#NAME?</v>
      </c>
      <c r="F22" s="9" t="e">
        <f t="shared" ca="1" si="1"/>
        <v>#NAME?</v>
      </c>
      <c r="G22" s="8" t="e">
        <f t="shared" ca="1" si="2"/>
        <v>#NAME?</v>
      </c>
      <c r="H22" s="8" t="e">
        <f t="shared" ca="1" si="3"/>
        <v>#NAME?</v>
      </c>
      <c r="I22" s="8" t="e">
        <f t="shared" ca="1" si="4"/>
        <v>#NAME?</v>
      </c>
      <c r="J22" s="6" t="e">
        <f ca="1">_xll.xlqxhSMA($C22,$L$4,$J$7,$K$3)</f>
        <v>#NAME?</v>
      </c>
      <c r="K22" s="7" t="e">
        <f ca="1">_xll.xlqhClose($C22,K$8,$K$3)</f>
        <v>#NAME?</v>
      </c>
      <c r="L22" s="7" t="e">
        <f ca="1">_xll.xlqhClose($C22,L$8,$K$3)</f>
        <v>#NAME?</v>
      </c>
      <c r="N22" s="9" t="e">
        <f t="shared" ca="1" si="5"/>
        <v>#NAME?</v>
      </c>
      <c r="O22" s="9" t="e">
        <f t="shared" ca="1" si="6"/>
        <v>#NAME?</v>
      </c>
      <c r="P22" s="9" t="e">
        <f t="shared" ca="1" si="7"/>
        <v>#NAME?</v>
      </c>
      <c r="Q22" s="9" t="e">
        <f t="shared" ca="1" si="8"/>
        <v>#NAME?</v>
      </c>
      <c r="R22" s="9" t="e">
        <f t="shared" ca="1" si="9"/>
        <v>#NAME?</v>
      </c>
    </row>
    <row r="23" spans="1:18" x14ac:dyDescent="0.25">
      <c r="A23" s="33"/>
      <c r="B23" s="7" t="s">
        <v>2351</v>
      </c>
      <c r="C23" s="21" t="s">
        <v>399</v>
      </c>
      <c r="D23" s="7" t="e">
        <f ca="1">_xll.xlqPrice(C23)</f>
        <v>#NAME?</v>
      </c>
      <c r="E23" s="9" t="e">
        <f t="shared" ca="1" si="0"/>
        <v>#NAME?</v>
      </c>
      <c r="F23" s="9" t="e">
        <f t="shared" ca="1" si="1"/>
        <v>#NAME?</v>
      </c>
      <c r="G23" s="8" t="e">
        <f t="shared" ca="1" si="2"/>
        <v>#NAME?</v>
      </c>
      <c r="H23" s="8" t="e">
        <f t="shared" ca="1" si="3"/>
        <v>#NAME?</v>
      </c>
      <c r="I23" s="8" t="e">
        <f t="shared" ca="1" si="4"/>
        <v>#NAME?</v>
      </c>
      <c r="J23" s="6" t="e">
        <f ca="1">_xll.xlqxhSMA($C23,$L$4,$J$7,$K$3)</f>
        <v>#NAME?</v>
      </c>
      <c r="K23" s="7" t="e">
        <f ca="1">_xll.xlqhClose($C23,K$8,$K$3)</f>
        <v>#NAME?</v>
      </c>
      <c r="L23" s="7" t="e">
        <f ca="1">_xll.xlqhClose($C23,L$8,$K$3)</f>
        <v>#NAME?</v>
      </c>
      <c r="N23" s="9" t="e">
        <f t="shared" ca="1" si="5"/>
        <v>#NAME?</v>
      </c>
      <c r="O23" s="9" t="e">
        <f t="shared" ca="1" si="6"/>
        <v>#NAME?</v>
      </c>
      <c r="P23" s="9" t="e">
        <f t="shared" ca="1" si="7"/>
        <v>#NAME?</v>
      </c>
      <c r="Q23" s="9" t="e">
        <f t="shared" ca="1" si="8"/>
        <v>#NAME?</v>
      </c>
      <c r="R23" s="9" t="e">
        <f t="shared" ca="1" si="9"/>
        <v>#NAME?</v>
      </c>
    </row>
    <row r="24" spans="1:18" x14ac:dyDescent="0.25">
      <c r="A24" s="33"/>
      <c r="B24" s="7" t="s">
        <v>40</v>
      </c>
      <c r="C24" s="21" t="s">
        <v>16</v>
      </c>
      <c r="D24" s="7" t="e">
        <f ca="1">_xll.xlqPrice(C24)</f>
        <v>#NAME?</v>
      </c>
      <c r="E24" s="9" t="e">
        <f t="shared" ca="1" si="0"/>
        <v>#NAME?</v>
      </c>
      <c r="F24" s="9" t="e">
        <f t="shared" ca="1" si="1"/>
        <v>#NAME?</v>
      </c>
      <c r="G24" s="8" t="e">
        <f t="shared" ca="1" si="2"/>
        <v>#NAME?</v>
      </c>
      <c r="H24" s="8" t="e">
        <f t="shared" ca="1" si="3"/>
        <v>#NAME?</v>
      </c>
      <c r="I24" s="8" t="e">
        <f t="shared" ca="1" si="4"/>
        <v>#NAME?</v>
      </c>
      <c r="J24" s="6" t="e">
        <f ca="1">_xll.xlqxhSMA($C24,$L$4,$J$7,$K$3)</f>
        <v>#NAME?</v>
      </c>
      <c r="K24" s="7" t="e">
        <f ca="1">_xll.xlqhClose($C24,K$8,$K$3)</f>
        <v>#NAME?</v>
      </c>
      <c r="L24" s="7" t="e">
        <f ca="1">_xll.xlqhClose($C24,L$8,$K$3)</f>
        <v>#NAME?</v>
      </c>
      <c r="N24" s="9" t="e">
        <f t="shared" ca="1" si="5"/>
        <v>#NAME?</v>
      </c>
      <c r="O24" s="9" t="e">
        <f t="shared" ca="1" si="6"/>
        <v>#NAME?</v>
      </c>
      <c r="P24" s="9" t="e">
        <f t="shared" ca="1" si="7"/>
        <v>#NAME?</v>
      </c>
      <c r="Q24" s="9" t="e">
        <f t="shared" ca="1" si="8"/>
        <v>#NAME?</v>
      </c>
      <c r="R24" s="9" t="e">
        <f t="shared" ca="1" si="9"/>
        <v>#NAME?</v>
      </c>
    </row>
    <row r="25" spans="1:18" x14ac:dyDescent="0.25">
      <c r="A25" s="33"/>
      <c r="B25" s="7" t="s">
        <v>44</v>
      </c>
      <c r="C25" s="21" t="s">
        <v>21</v>
      </c>
      <c r="D25" s="7" t="e">
        <f ca="1">_xll.xlqPrice(C25)</f>
        <v>#NAME?</v>
      </c>
      <c r="E25" s="9" t="e">
        <f t="shared" ca="1" si="0"/>
        <v>#NAME?</v>
      </c>
      <c r="F25" s="9" t="e">
        <f t="shared" ca="1" si="1"/>
        <v>#NAME?</v>
      </c>
      <c r="G25" s="8" t="e">
        <f t="shared" ca="1" si="2"/>
        <v>#NAME?</v>
      </c>
      <c r="H25" s="8" t="e">
        <f t="shared" ca="1" si="3"/>
        <v>#NAME?</v>
      </c>
      <c r="I25" s="8" t="e">
        <f t="shared" ca="1" si="4"/>
        <v>#NAME?</v>
      </c>
      <c r="J25" s="6" t="e">
        <f ca="1">_xll.xlqxhSMA($C25,$L$4,$J$7,$K$3)</f>
        <v>#NAME?</v>
      </c>
      <c r="K25" s="7" t="e">
        <f ca="1">_xll.xlqhClose($C25,K$8,$K$3)</f>
        <v>#NAME?</v>
      </c>
      <c r="L25" s="7" t="e">
        <f ca="1">_xll.xlqhClose($C25,L$8,$K$3)</f>
        <v>#NAME?</v>
      </c>
      <c r="N25" s="9" t="e">
        <f t="shared" ca="1" si="5"/>
        <v>#NAME?</v>
      </c>
      <c r="O25" s="9" t="e">
        <f t="shared" ca="1" si="6"/>
        <v>#NAME?</v>
      </c>
      <c r="P25" s="9" t="e">
        <f t="shared" ca="1" si="7"/>
        <v>#NAME?</v>
      </c>
      <c r="Q25" s="9" t="e">
        <f t="shared" ca="1" si="8"/>
        <v>#NAME?</v>
      </c>
      <c r="R25" s="9" t="e">
        <f t="shared" ca="1" si="9"/>
        <v>#NAME?</v>
      </c>
    </row>
    <row r="26" spans="1:18" x14ac:dyDescent="0.25">
      <c r="A26" s="33"/>
      <c r="B26" s="7" t="s">
        <v>42</v>
      </c>
      <c r="C26" s="21" t="s">
        <v>19</v>
      </c>
      <c r="D26" s="7" t="e">
        <f ca="1">_xll.xlqPrice(C26)</f>
        <v>#NAME?</v>
      </c>
      <c r="E26" s="9" t="e">
        <f t="shared" ca="1" si="0"/>
        <v>#NAME?</v>
      </c>
      <c r="F26" s="9" t="e">
        <f t="shared" ca="1" si="1"/>
        <v>#NAME?</v>
      </c>
      <c r="G26" s="8" t="e">
        <f t="shared" ca="1" si="2"/>
        <v>#NAME?</v>
      </c>
      <c r="H26" s="8" t="e">
        <f t="shared" ca="1" si="3"/>
        <v>#NAME?</v>
      </c>
      <c r="I26" s="8" t="e">
        <f t="shared" ca="1" si="4"/>
        <v>#NAME?</v>
      </c>
      <c r="J26" s="6" t="e">
        <f ca="1">_xll.xlqxhSMA($C26,$L$4,$J$7,$K$3)</f>
        <v>#NAME?</v>
      </c>
      <c r="K26" s="7" t="e">
        <f ca="1">_xll.xlqhClose($C26,K$8,$K$3)</f>
        <v>#NAME?</v>
      </c>
      <c r="L26" s="7" t="e">
        <f ca="1">_xll.xlqhClose($C26,L$8,$K$3)</f>
        <v>#NAME?</v>
      </c>
      <c r="N26" s="9" t="e">
        <f t="shared" ca="1" si="5"/>
        <v>#NAME?</v>
      </c>
      <c r="O26" s="9" t="e">
        <f t="shared" ca="1" si="6"/>
        <v>#NAME?</v>
      </c>
      <c r="P26" s="9" t="e">
        <f t="shared" ca="1" si="7"/>
        <v>#NAME?</v>
      </c>
      <c r="Q26" s="9" t="e">
        <f t="shared" ca="1" si="8"/>
        <v>#NAME?</v>
      </c>
      <c r="R26" s="9" t="e">
        <f t="shared" ca="1" si="9"/>
        <v>#NAME?</v>
      </c>
    </row>
    <row r="27" spans="1:18" x14ac:dyDescent="0.25">
      <c r="A27" s="33"/>
      <c r="B27" s="7" t="s">
        <v>45</v>
      </c>
      <c r="C27" s="21" t="s">
        <v>20</v>
      </c>
      <c r="D27" s="7" t="e">
        <f ca="1">_xll.xlqPrice(C27)</f>
        <v>#NAME?</v>
      </c>
      <c r="E27" s="9" t="e">
        <f t="shared" ca="1" si="0"/>
        <v>#NAME?</v>
      </c>
      <c r="F27" s="9" t="e">
        <f t="shared" ca="1" si="1"/>
        <v>#NAME?</v>
      </c>
      <c r="G27" s="8" t="e">
        <f t="shared" ca="1" si="2"/>
        <v>#NAME?</v>
      </c>
      <c r="H27" s="8" t="e">
        <f t="shared" ca="1" si="3"/>
        <v>#NAME?</v>
      </c>
      <c r="I27" s="8" t="e">
        <f t="shared" ca="1" si="4"/>
        <v>#NAME?</v>
      </c>
      <c r="J27" s="6" t="e">
        <f ca="1">_xll.xlqxhSMA($C27,$L$4,$J$7,$K$3)</f>
        <v>#NAME?</v>
      </c>
      <c r="K27" s="7" t="e">
        <f ca="1">_xll.xlqhClose($C27,K$8,$K$3)</f>
        <v>#NAME?</v>
      </c>
      <c r="L27" s="7" t="e">
        <f ca="1">_xll.xlqhClose($C27,L$8,$K$3)</f>
        <v>#NAME?</v>
      </c>
      <c r="N27" s="9" t="e">
        <f t="shared" ca="1" si="5"/>
        <v>#NAME?</v>
      </c>
      <c r="O27" s="9" t="e">
        <f t="shared" ca="1" si="6"/>
        <v>#NAME?</v>
      </c>
      <c r="P27" s="9" t="e">
        <f t="shared" ca="1" si="7"/>
        <v>#NAME?</v>
      </c>
      <c r="Q27" s="9" t="e">
        <f t="shared" ca="1" si="8"/>
        <v>#NAME?</v>
      </c>
      <c r="R27" s="9" t="e">
        <f t="shared" ca="1" si="9"/>
        <v>#NAME?</v>
      </c>
    </row>
    <row r="28" spans="1:18" x14ac:dyDescent="0.25">
      <c r="A28" s="33"/>
      <c r="B28" s="7" t="s">
        <v>65</v>
      </c>
      <c r="C28" s="21" t="s">
        <v>66</v>
      </c>
      <c r="D28" s="7" t="e">
        <f ca="1">_xll.xlqPrice(C28)</f>
        <v>#NAME?</v>
      </c>
      <c r="E28" s="9" t="e">
        <f t="shared" ca="1" si="0"/>
        <v>#NAME?</v>
      </c>
      <c r="F28" s="9" t="e">
        <f t="shared" ca="1" si="1"/>
        <v>#NAME?</v>
      </c>
      <c r="G28" s="8" t="e">
        <f t="shared" ca="1" si="2"/>
        <v>#NAME?</v>
      </c>
      <c r="H28" s="8" t="e">
        <f t="shared" ca="1" si="3"/>
        <v>#NAME?</v>
      </c>
      <c r="I28" s="8" t="e">
        <f t="shared" ca="1" si="4"/>
        <v>#NAME?</v>
      </c>
      <c r="J28" s="6" t="e">
        <f ca="1">_xll.xlqxhSMA($C28,$L$4,$J$7,$K$3)</f>
        <v>#NAME?</v>
      </c>
      <c r="K28" s="7" t="e">
        <f ca="1">_xll.xlqhClose($C28,K$8,$K$3)</f>
        <v>#NAME?</v>
      </c>
      <c r="L28" s="7" t="e">
        <f ca="1">_xll.xlqhClose($C28,L$8,$K$3)</f>
        <v>#NAME?</v>
      </c>
      <c r="N28" s="9" t="e">
        <f t="shared" ca="1" si="5"/>
        <v>#NAME?</v>
      </c>
      <c r="O28" s="9" t="e">
        <f t="shared" ca="1" si="6"/>
        <v>#NAME?</v>
      </c>
      <c r="P28" s="9" t="e">
        <f t="shared" ca="1" si="7"/>
        <v>#NAME?</v>
      </c>
      <c r="Q28" s="9" t="e">
        <f t="shared" ca="1" si="8"/>
        <v>#NAME?</v>
      </c>
      <c r="R28" s="9" t="e">
        <f t="shared" ca="1" si="9"/>
        <v>#NAME?</v>
      </c>
    </row>
    <row r="29" spans="1:18" x14ac:dyDescent="0.25">
      <c r="A29" s="33"/>
      <c r="B29" s="7" t="s">
        <v>46</v>
      </c>
      <c r="C29" s="21" t="s">
        <v>25</v>
      </c>
      <c r="D29" s="7" t="e">
        <f ca="1">_xll.xlqPrice(C29)</f>
        <v>#NAME?</v>
      </c>
      <c r="E29" s="9" t="e">
        <f t="shared" ca="1" si="0"/>
        <v>#NAME?</v>
      </c>
      <c r="F29" s="9" t="e">
        <f t="shared" ca="1" si="1"/>
        <v>#NAME?</v>
      </c>
      <c r="G29" s="8" t="e">
        <f t="shared" ca="1" si="2"/>
        <v>#NAME?</v>
      </c>
      <c r="H29" s="8" t="e">
        <f t="shared" ca="1" si="3"/>
        <v>#NAME?</v>
      </c>
      <c r="I29" s="8" t="e">
        <f t="shared" ca="1" si="4"/>
        <v>#NAME?</v>
      </c>
      <c r="J29" s="6" t="e">
        <f ca="1">_xll.xlqxhSMA($C29,$L$4,$J$7,$K$3)</f>
        <v>#NAME?</v>
      </c>
      <c r="K29" s="7" t="e">
        <f ca="1">_xll.xlqhClose($C29,K$8,$K$3)</f>
        <v>#NAME?</v>
      </c>
      <c r="L29" s="7" t="e">
        <f ca="1">_xll.xlqhClose($C29,L$8,$K$3)</f>
        <v>#NAME?</v>
      </c>
      <c r="N29" s="9" t="e">
        <f t="shared" ca="1" si="5"/>
        <v>#NAME?</v>
      </c>
      <c r="O29" s="9" t="e">
        <f t="shared" ca="1" si="6"/>
        <v>#NAME?</v>
      </c>
      <c r="P29" s="9" t="e">
        <f t="shared" ca="1" si="7"/>
        <v>#NAME?</v>
      </c>
      <c r="Q29" s="9" t="e">
        <f t="shared" ca="1" si="8"/>
        <v>#NAME?</v>
      </c>
      <c r="R29" s="9" t="e">
        <f t="shared" ca="1" si="9"/>
        <v>#NAME?</v>
      </c>
    </row>
    <row r="30" spans="1:18" x14ac:dyDescent="0.25">
      <c r="A30" s="33"/>
      <c r="B30" s="7" t="s">
        <v>2355</v>
      </c>
      <c r="C30" s="21" t="s">
        <v>445</v>
      </c>
      <c r="D30" s="7" t="e">
        <f ca="1">_xll.xlqPrice(C30)</f>
        <v>#NAME?</v>
      </c>
      <c r="E30" s="9" t="e">
        <f t="shared" ca="1" si="0"/>
        <v>#NAME?</v>
      </c>
      <c r="F30" s="9" t="e">
        <f t="shared" ca="1" si="1"/>
        <v>#NAME?</v>
      </c>
      <c r="G30" s="8" t="e">
        <f t="shared" ca="1" si="2"/>
        <v>#NAME?</v>
      </c>
      <c r="H30" s="8" t="e">
        <f t="shared" ca="1" si="3"/>
        <v>#NAME?</v>
      </c>
      <c r="I30" s="8" t="e">
        <f t="shared" ca="1" si="4"/>
        <v>#NAME?</v>
      </c>
      <c r="J30" s="6" t="e">
        <f ca="1">_xll.xlqxhSMA($C30,$L$4,$J$7,$K$3)</f>
        <v>#NAME?</v>
      </c>
      <c r="K30" s="7" t="e">
        <f ca="1">_xll.xlqhClose($C30,K$8,$K$3)</f>
        <v>#NAME?</v>
      </c>
      <c r="L30" s="7" t="e">
        <f ca="1">_xll.xlqhClose($C30,L$8,$K$3)</f>
        <v>#NAME?</v>
      </c>
      <c r="N30" s="9" t="e">
        <f t="shared" ca="1" si="5"/>
        <v>#NAME?</v>
      </c>
      <c r="O30" s="9" t="e">
        <f t="shared" ca="1" si="6"/>
        <v>#NAME?</v>
      </c>
      <c r="P30" s="9" t="e">
        <f t="shared" ca="1" si="7"/>
        <v>#NAME?</v>
      </c>
      <c r="Q30" s="9" t="e">
        <f t="shared" ca="1" si="8"/>
        <v>#NAME?</v>
      </c>
      <c r="R30" s="9" t="e">
        <f t="shared" ca="1" si="9"/>
        <v>#NAME?</v>
      </c>
    </row>
    <row r="31" spans="1:18" x14ac:dyDescent="0.25">
      <c r="A31" s="33"/>
      <c r="B31" s="7" t="s">
        <v>36</v>
      </c>
      <c r="C31" s="21" t="s">
        <v>23</v>
      </c>
      <c r="D31" s="7" t="e">
        <f ca="1">_xll.xlqPrice(C31)</f>
        <v>#NAME?</v>
      </c>
      <c r="E31" s="9" t="e">
        <f t="shared" ca="1" si="0"/>
        <v>#NAME?</v>
      </c>
      <c r="F31" s="9" t="e">
        <f t="shared" ca="1" si="1"/>
        <v>#NAME?</v>
      </c>
      <c r="G31" s="8" t="e">
        <f t="shared" ca="1" si="2"/>
        <v>#NAME?</v>
      </c>
      <c r="H31" s="8" t="e">
        <f t="shared" ca="1" si="3"/>
        <v>#NAME?</v>
      </c>
      <c r="I31" s="8" t="e">
        <f t="shared" ca="1" si="4"/>
        <v>#NAME?</v>
      </c>
      <c r="J31" s="6" t="e">
        <f ca="1">_xll.xlqxhSMA($C31,$L$4,$J$7,$K$3)</f>
        <v>#NAME?</v>
      </c>
      <c r="K31" s="7" t="e">
        <f ca="1">_xll.xlqhClose($C31,K$8,$K$3)</f>
        <v>#NAME?</v>
      </c>
      <c r="L31" s="7" t="e">
        <f ca="1">_xll.xlqhClose($C31,L$8,$K$3)</f>
        <v>#NAME?</v>
      </c>
      <c r="N31" s="9" t="e">
        <f t="shared" ca="1" si="5"/>
        <v>#NAME?</v>
      </c>
      <c r="O31" s="9" t="e">
        <f t="shared" ca="1" si="6"/>
        <v>#NAME?</v>
      </c>
      <c r="P31" s="9" t="e">
        <f t="shared" ca="1" si="7"/>
        <v>#NAME?</v>
      </c>
      <c r="Q31" s="9" t="e">
        <f t="shared" ca="1" si="8"/>
        <v>#NAME?</v>
      </c>
      <c r="R31" s="9" t="e">
        <f t="shared" ca="1" si="9"/>
        <v>#NAME?</v>
      </c>
    </row>
    <row r="32" spans="1:18" x14ac:dyDescent="0.25">
      <c r="A32" s="33"/>
      <c r="B32" s="7" t="s">
        <v>47</v>
      </c>
      <c r="C32" s="21" t="s">
        <v>15</v>
      </c>
      <c r="D32" s="7" t="e">
        <f ca="1">_xll.xlqPrice(C32)</f>
        <v>#NAME?</v>
      </c>
      <c r="E32" s="10" t="e">
        <f t="shared" ca="1" si="0"/>
        <v>#NAME?</v>
      </c>
      <c r="F32" s="9" t="e">
        <f t="shared" ca="1" si="1"/>
        <v>#NAME?</v>
      </c>
      <c r="G32" s="8" t="e">
        <f t="shared" ca="1" si="2"/>
        <v>#NAME?</v>
      </c>
      <c r="H32" s="8" t="e">
        <f t="shared" ca="1" si="3"/>
        <v>#NAME?</v>
      </c>
      <c r="I32" s="8" t="e">
        <f t="shared" ca="1" si="4"/>
        <v>#NAME?</v>
      </c>
      <c r="J32" s="6" t="e">
        <f ca="1">_xll.xlqxhSMA($C32,$L$4,$J$7,$K$3)</f>
        <v>#NAME?</v>
      </c>
      <c r="K32" s="7" t="e">
        <f ca="1">_xll.xlqhClose($C32,K$8,$K$3)</f>
        <v>#NAME?</v>
      </c>
      <c r="L32" s="7" t="e">
        <f ca="1">_xll.xlqhClose($C32,L$8,$K$3)</f>
        <v>#NAME?</v>
      </c>
      <c r="N32" s="9" t="e">
        <f t="shared" ca="1" si="5"/>
        <v>#NAME?</v>
      </c>
      <c r="O32" s="9" t="e">
        <f t="shared" ca="1" si="6"/>
        <v>#NAME?</v>
      </c>
      <c r="P32" s="9" t="e">
        <f t="shared" ca="1" si="7"/>
        <v>#NAME?</v>
      </c>
      <c r="Q32" s="9" t="e">
        <f t="shared" ca="1" si="8"/>
        <v>#NAME?</v>
      </c>
      <c r="R32" s="9" t="e">
        <f t="shared" ca="1" si="9"/>
        <v>#NAME?</v>
      </c>
    </row>
    <row r="33" spans="1:7" x14ac:dyDescent="0.25">
      <c r="A33" s="32"/>
    </row>
    <row r="35" spans="1:7" x14ac:dyDescent="0.25">
      <c r="D35" s="35"/>
    </row>
    <row r="36" spans="1:7" x14ac:dyDescent="0.25">
      <c r="D36" s="35"/>
    </row>
    <row r="37" spans="1:7" x14ac:dyDescent="0.25">
      <c r="D37" s="35"/>
      <c r="G37" s="8"/>
    </row>
    <row r="38" spans="1:7" x14ac:dyDescent="0.25">
      <c r="D38" s="35"/>
    </row>
    <row r="39" spans="1:7" x14ac:dyDescent="0.25">
      <c r="D39" s="35"/>
    </row>
    <row r="40" spans="1:7" x14ac:dyDescent="0.25">
      <c r="D40" s="35"/>
    </row>
    <row r="41" spans="1:7" x14ac:dyDescent="0.25">
      <c r="D41" s="35"/>
    </row>
    <row r="42" spans="1:7" x14ac:dyDescent="0.25">
      <c r="D42" s="35"/>
    </row>
    <row r="43" spans="1:7" x14ac:dyDescent="0.25">
      <c r="D43" s="35"/>
    </row>
    <row r="44" spans="1:7" x14ac:dyDescent="0.25">
      <c r="D44" s="35"/>
    </row>
    <row r="45" spans="1:7" x14ac:dyDescent="0.25">
      <c r="D45" s="35"/>
    </row>
    <row r="46" spans="1:7" x14ac:dyDescent="0.25">
      <c r="D46" s="35"/>
    </row>
    <row r="47" spans="1:7" x14ac:dyDescent="0.25">
      <c r="D47" s="35"/>
    </row>
    <row r="48" spans="1:7" x14ac:dyDescent="0.25">
      <c r="D48" s="35"/>
    </row>
    <row r="49" spans="4:4" x14ac:dyDescent="0.25">
      <c r="D49" s="35"/>
    </row>
    <row r="50" spans="4:4" x14ac:dyDescent="0.25">
      <c r="D50" s="35"/>
    </row>
    <row r="51" spans="4:4" x14ac:dyDescent="0.25">
      <c r="D51" s="35"/>
    </row>
    <row r="52" spans="4:4" x14ac:dyDescent="0.25">
      <c r="D52" s="35"/>
    </row>
    <row r="53" spans="4:4" x14ac:dyDescent="0.25">
      <c r="D53" s="35"/>
    </row>
    <row r="54" spans="4:4" x14ac:dyDescent="0.25">
      <c r="D54" s="35"/>
    </row>
    <row r="55" spans="4:4" x14ac:dyDescent="0.25">
      <c r="D55" s="35"/>
    </row>
    <row r="56" spans="4:4" x14ac:dyDescent="0.25">
      <c r="D56" s="35"/>
    </row>
    <row r="57" spans="4:4" x14ac:dyDescent="0.25">
      <c r="D57" s="35"/>
    </row>
    <row r="58" spans="4:4" x14ac:dyDescent="0.25">
      <c r="D58" s="35"/>
    </row>
    <row r="59" spans="4:4" x14ac:dyDescent="0.25">
      <c r="D59" s="35"/>
    </row>
    <row r="60" spans="4:4" x14ac:dyDescent="0.25">
      <c r="D60" s="35"/>
    </row>
    <row r="61" spans="4:4" x14ac:dyDescent="0.25">
      <c r="D61" s="35"/>
    </row>
    <row r="62" spans="4:4" x14ac:dyDescent="0.25">
      <c r="D62" s="35"/>
    </row>
    <row r="63" spans="4:4" x14ac:dyDescent="0.25">
      <c r="D63" s="35"/>
    </row>
    <row r="64" spans="4:4" x14ac:dyDescent="0.25">
      <c r="D64" s="35"/>
    </row>
    <row r="65" spans="4:4" x14ac:dyDescent="0.25">
      <c r="D65" s="35"/>
    </row>
    <row r="66" spans="4:4" x14ac:dyDescent="0.25">
      <c r="D66" s="35"/>
    </row>
    <row r="67" spans="4:4" x14ac:dyDescent="0.25">
      <c r="D67" s="35"/>
    </row>
    <row r="68" spans="4:4" x14ac:dyDescent="0.25">
      <c r="D68" s="35"/>
    </row>
    <row r="69" spans="4:4" x14ac:dyDescent="0.25">
      <c r="D69" s="35"/>
    </row>
    <row r="70" spans="4:4" x14ac:dyDescent="0.25">
      <c r="D70" s="35"/>
    </row>
    <row r="71" spans="4:4" x14ac:dyDescent="0.25">
      <c r="D71" s="35"/>
    </row>
    <row r="72" spans="4:4" x14ac:dyDescent="0.25">
      <c r="D72" s="35"/>
    </row>
    <row r="73" spans="4:4" x14ac:dyDescent="0.25">
      <c r="D73" s="35"/>
    </row>
    <row r="74" spans="4:4" x14ac:dyDescent="0.25">
      <c r="D74" s="35"/>
    </row>
    <row r="75" spans="4:4" x14ac:dyDescent="0.25">
      <c r="D75" s="35"/>
    </row>
    <row r="76" spans="4:4" x14ac:dyDescent="0.25">
      <c r="D76" s="35"/>
    </row>
    <row r="77" spans="4:4" x14ac:dyDescent="0.25">
      <c r="D77" s="35"/>
    </row>
    <row r="78" spans="4:4" x14ac:dyDescent="0.25">
      <c r="D78" s="35"/>
    </row>
    <row r="79" spans="4:4" x14ac:dyDescent="0.25">
      <c r="D79" s="35"/>
    </row>
    <row r="80" spans="4:4" x14ac:dyDescent="0.25">
      <c r="D80" s="35"/>
    </row>
    <row r="81" spans="4:4" x14ac:dyDescent="0.25">
      <c r="D81" s="35"/>
    </row>
    <row r="82" spans="4:4" x14ac:dyDescent="0.25">
      <c r="D82" s="35"/>
    </row>
    <row r="83" spans="4:4" x14ac:dyDescent="0.25">
      <c r="D83" s="35"/>
    </row>
    <row r="84" spans="4:4" x14ac:dyDescent="0.25">
      <c r="D84" s="35"/>
    </row>
    <row r="85" spans="4:4" x14ac:dyDescent="0.25">
      <c r="D85" s="35"/>
    </row>
    <row r="86" spans="4:4" x14ac:dyDescent="0.25">
      <c r="D86" s="35"/>
    </row>
    <row r="87" spans="4:4" x14ac:dyDescent="0.25">
      <c r="D87" s="35"/>
    </row>
    <row r="88" spans="4:4" x14ac:dyDescent="0.25">
      <c r="D88" s="35"/>
    </row>
    <row r="89" spans="4:4" x14ac:dyDescent="0.25">
      <c r="D89" s="35"/>
    </row>
    <row r="90" spans="4:4" x14ac:dyDescent="0.25">
      <c r="D90" s="35"/>
    </row>
    <row r="91" spans="4:4" x14ac:dyDescent="0.25">
      <c r="D91" s="35"/>
    </row>
    <row r="92" spans="4:4" x14ac:dyDescent="0.25">
      <c r="D92" s="35"/>
    </row>
    <row r="93" spans="4:4" x14ac:dyDescent="0.25">
      <c r="D93" s="35"/>
    </row>
    <row r="94" spans="4:4" x14ac:dyDescent="0.25">
      <c r="D94" s="35"/>
    </row>
    <row r="95" spans="4:4" x14ac:dyDescent="0.25">
      <c r="D95" s="35"/>
    </row>
    <row r="96" spans="4:4" x14ac:dyDescent="0.25">
      <c r="D96" s="35"/>
    </row>
    <row r="97" spans="4:4" x14ac:dyDescent="0.25">
      <c r="D97" s="35"/>
    </row>
    <row r="98" spans="4:4" x14ac:dyDescent="0.25">
      <c r="D98" s="35"/>
    </row>
    <row r="99" spans="4:4" x14ac:dyDescent="0.25">
      <c r="D99" s="35"/>
    </row>
    <row r="100" spans="4:4" x14ac:dyDescent="0.25">
      <c r="D100" s="35"/>
    </row>
    <row r="101" spans="4:4" x14ac:dyDescent="0.25">
      <c r="D101" s="35"/>
    </row>
    <row r="102" spans="4:4" x14ac:dyDescent="0.25">
      <c r="D102" s="35"/>
    </row>
    <row r="103" spans="4:4" x14ac:dyDescent="0.25">
      <c r="D103" s="35"/>
    </row>
    <row r="104" spans="4:4" x14ac:dyDescent="0.25">
      <c r="D104" s="35"/>
    </row>
    <row r="105" spans="4:4" x14ac:dyDescent="0.25">
      <c r="D105" s="35"/>
    </row>
    <row r="106" spans="4:4" x14ac:dyDescent="0.25">
      <c r="D106" s="35"/>
    </row>
    <row r="107" spans="4:4" x14ac:dyDescent="0.25">
      <c r="D107" s="35"/>
    </row>
    <row r="108" spans="4:4" x14ac:dyDescent="0.25">
      <c r="D108" s="35"/>
    </row>
    <row r="109" spans="4:4" x14ac:dyDescent="0.25">
      <c r="D109" s="35"/>
    </row>
    <row r="110" spans="4:4" x14ac:dyDescent="0.25">
      <c r="D110" s="35"/>
    </row>
    <row r="111" spans="4:4" x14ac:dyDescent="0.25">
      <c r="D111" s="35"/>
    </row>
    <row r="112" spans="4:4" x14ac:dyDescent="0.25">
      <c r="D112" s="35"/>
    </row>
    <row r="113" spans="4:4" x14ac:dyDescent="0.25">
      <c r="D113" s="35"/>
    </row>
    <row r="114" spans="4:4" x14ac:dyDescent="0.25">
      <c r="D114" s="35"/>
    </row>
    <row r="115" spans="4:4" x14ac:dyDescent="0.25">
      <c r="D115" s="35"/>
    </row>
    <row r="116" spans="4:4" x14ac:dyDescent="0.25">
      <c r="D116" s="35"/>
    </row>
    <row r="117" spans="4:4" x14ac:dyDescent="0.25">
      <c r="D117" s="35"/>
    </row>
    <row r="118" spans="4:4" x14ac:dyDescent="0.25">
      <c r="D118" s="35"/>
    </row>
    <row r="119" spans="4:4" x14ac:dyDescent="0.25">
      <c r="D119" s="35"/>
    </row>
    <row r="120" spans="4:4" x14ac:dyDescent="0.25">
      <c r="D120" s="35"/>
    </row>
    <row r="121" spans="4:4" x14ac:dyDescent="0.25">
      <c r="D121" s="35"/>
    </row>
    <row r="122" spans="4:4" x14ac:dyDescent="0.25">
      <c r="D122" s="35"/>
    </row>
    <row r="123" spans="4:4" x14ac:dyDescent="0.25">
      <c r="D123" s="35"/>
    </row>
  </sheetData>
  <autoFilter ref="B10:R32">
    <sortState ref="B11:R32">
      <sortCondition ref="F10:F32"/>
    </sortState>
  </autoFilter>
  <mergeCells count="4">
    <mergeCell ref="J6:L6"/>
    <mergeCell ref="G9:I9"/>
    <mergeCell ref="J9:L9"/>
    <mergeCell ref="N9:R9"/>
  </mergeCells>
  <conditionalFormatting sqref="E11:E32">
    <cfRule type="containsText" dxfId="29" priority="7" operator="containsText" text="Cash">
      <formula>NOT(ISERROR(SEARCH("Cash",E11)))</formula>
    </cfRule>
    <cfRule type="containsText" dxfId="28" priority="8" operator="containsText" text="Buy">
      <formula>NOT(ISERROR(SEARCH("Buy",E11)))</formula>
    </cfRule>
  </conditionalFormatting>
  <conditionalFormatting sqref="G11:I32">
    <cfRule type="cellIs" dxfId="27" priority="5" operator="greaterThan">
      <formula>0</formula>
    </cfRule>
    <cfRule type="cellIs" dxfId="26" priority="6" operator="lessThan">
      <formula>0</formula>
    </cfRule>
  </conditionalFormatting>
  <conditionalFormatting sqref="G37">
    <cfRule type="cellIs" dxfId="25" priority="1" operator="greaterThan">
      <formula>0</formula>
    </cfRule>
    <cfRule type="cellIs" dxfId="24" priority="2" operator="lessThan">
      <formula>0</formula>
    </cfRule>
  </conditionalFormatting>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42"/>
  <sheetViews>
    <sheetView zoomScale="90" zoomScaleNormal="90" workbookViewId="0">
      <selection activeCell="F29" sqref="F29"/>
    </sheetView>
  </sheetViews>
  <sheetFormatPr defaultRowHeight="15" x14ac:dyDescent="0.25"/>
  <cols>
    <col min="2" max="2" width="41" bestFit="1" customWidth="1"/>
    <col min="3" max="3" width="9.7109375" bestFit="1" customWidth="1"/>
    <col min="4" max="4" width="8" bestFit="1" customWidth="1"/>
    <col min="5" max="5" width="11.85546875" bestFit="1" customWidth="1"/>
    <col min="6" max="6" width="7.42578125" bestFit="1" customWidth="1"/>
    <col min="7" max="8" width="9" bestFit="1" customWidth="1"/>
    <col min="9" max="9" width="9.85546875" bestFit="1" customWidth="1"/>
    <col min="10" max="10" width="11" bestFit="1" customWidth="1"/>
    <col min="11" max="12" width="11.85546875" bestFit="1" customWidth="1"/>
    <col min="13" max="13" width="5.28515625" customWidth="1"/>
  </cols>
  <sheetData>
    <row r="1" spans="1:18" x14ac:dyDescent="0.25">
      <c r="B1" s="31"/>
      <c r="C1" s="31"/>
      <c r="D1" s="31"/>
      <c r="E1" s="31"/>
      <c r="F1" s="31"/>
      <c r="G1" s="31"/>
      <c r="H1" s="31"/>
      <c r="I1" s="31"/>
      <c r="J1" s="31"/>
      <c r="K1" s="31"/>
      <c r="L1" s="31"/>
    </row>
    <row r="2" spans="1:18" x14ac:dyDescent="0.25">
      <c r="B2" s="31"/>
      <c r="C2" s="31"/>
      <c r="D2" s="31"/>
      <c r="E2" s="31"/>
      <c r="F2" s="31"/>
      <c r="G2" s="31"/>
      <c r="H2" s="31"/>
      <c r="I2" s="31"/>
      <c r="J2" s="31"/>
      <c r="K2" s="2" t="s">
        <v>13</v>
      </c>
      <c r="L2" s="31"/>
    </row>
    <row r="3" spans="1:18" x14ac:dyDescent="0.25">
      <c r="B3" s="31"/>
      <c r="C3" s="31"/>
      <c r="D3" s="31"/>
      <c r="E3" s="31"/>
      <c r="F3" s="31"/>
      <c r="G3" s="31"/>
      <c r="H3" s="31"/>
      <c r="I3" s="31"/>
      <c r="J3" s="31"/>
      <c r="K3" s="4" t="s">
        <v>12</v>
      </c>
      <c r="L3" s="31"/>
    </row>
    <row r="4" spans="1:18" x14ac:dyDescent="0.25">
      <c r="B4" s="31"/>
      <c r="C4" s="31"/>
      <c r="D4" s="31"/>
      <c r="E4" s="31"/>
      <c r="F4" s="31"/>
      <c r="G4" s="31"/>
      <c r="H4" s="31"/>
      <c r="I4" s="31"/>
      <c r="J4" s="31"/>
      <c r="K4" s="2" t="s">
        <v>10</v>
      </c>
      <c r="L4" s="31">
        <v>0</v>
      </c>
    </row>
    <row r="5" spans="1:18" x14ac:dyDescent="0.25">
      <c r="C5" s="31"/>
      <c r="D5" s="31"/>
      <c r="E5" s="31"/>
      <c r="F5" s="31"/>
      <c r="G5" s="31"/>
      <c r="H5" s="31"/>
      <c r="I5" s="31"/>
      <c r="J5" s="31"/>
      <c r="K5" s="3">
        <f ca="1">TODAY()</f>
        <v>41738</v>
      </c>
      <c r="L5" s="31"/>
    </row>
    <row r="6" spans="1:18" x14ac:dyDescent="0.25">
      <c r="B6" s="38">
        <f ca="1">TODAY()</f>
        <v>41738</v>
      </c>
      <c r="C6" s="31"/>
      <c r="D6" s="31"/>
      <c r="E6" s="31"/>
      <c r="F6" s="31"/>
      <c r="G6" s="31"/>
      <c r="H6" s="31"/>
      <c r="I6" s="31"/>
      <c r="J6" s="50" t="s">
        <v>11</v>
      </c>
      <c r="K6" s="50"/>
      <c r="L6" s="50"/>
    </row>
    <row r="7" spans="1:18" x14ac:dyDescent="0.25">
      <c r="B7" s="36" t="s">
        <v>510</v>
      </c>
      <c r="C7" s="31"/>
      <c r="D7" s="31"/>
      <c r="E7" s="31"/>
      <c r="F7" s="31"/>
      <c r="G7" s="31"/>
      <c r="H7" s="31"/>
      <c r="I7" s="31"/>
      <c r="J7" s="1">
        <v>88</v>
      </c>
      <c r="K7" s="1">
        <v>-66</v>
      </c>
      <c r="L7" s="1">
        <v>-132</v>
      </c>
    </row>
    <row r="8" spans="1:18" x14ac:dyDescent="0.25">
      <c r="B8" s="36" t="s">
        <v>2358</v>
      </c>
      <c r="C8" s="31"/>
      <c r="D8" s="31"/>
      <c r="E8" s="31"/>
      <c r="F8" s="31"/>
      <c r="G8" s="11">
        <v>0.7</v>
      </c>
      <c r="H8" s="11">
        <v>0.3</v>
      </c>
      <c r="I8" s="31"/>
      <c r="J8" s="37" t="s">
        <v>509</v>
      </c>
      <c r="K8" s="3" t="e">
        <f ca="1">_xll.xlqhDate("SPY",K$7,$K$3)</f>
        <v>#NAME?</v>
      </c>
      <c r="L8" s="3" t="e">
        <f ca="1">_xll.xlqhDate("SPY",L$7,$K$3)</f>
        <v>#NAME?</v>
      </c>
    </row>
    <row r="9" spans="1:18" x14ac:dyDescent="0.25">
      <c r="B9" s="31"/>
      <c r="C9" s="34"/>
      <c r="D9" s="34"/>
      <c r="E9" s="34"/>
      <c r="F9" s="34"/>
      <c r="G9" s="51" t="s">
        <v>33</v>
      </c>
      <c r="H9" s="51"/>
      <c r="I9" s="51"/>
      <c r="J9" s="52" t="s">
        <v>34</v>
      </c>
      <c r="K9" s="52"/>
      <c r="L9" s="52"/>
      <c r="N9" s="53" t="s">
        <v>48</v>
      </c>
      <c r="O9" s="53"/>
      <c r="P9" s="53"/>
      <c r="Q9" s="53"/>
      <c r="R9" s="53"/>
    </row>
    <row r="10" spans="1:18" x14ac:dyDescent="0.25">
      <c r="A10" s="17"/>
      <c r="B10" s="12" t="s">
        <v>0</v>
      </c>
      <c r="C10" s="20" t="s">
        <v>1</v>
      </c>
      <c r="D10" s="14" t="s">
        <v>2</v>
      </c>
      <c r="E10" s="14" t="s">
        <v>26</v>
      </c>
      <c r="F10" s="14" t="s">
        <v>31</v>
      </c>
      <c r="G10" s="15" t="s">
        <v>4</v>
      </c>
      <c r="H10" s="15" t="s">
        <v>3</v>
      </c>
      <c r="I10" s="15" t="s">
        <v>5</v>
      </c>
      <c r="J10" s="16" t="s">
        <v>6</v>
      </c>
      <c r="K10" s="16" t="s">
        <v>8</v>
      </c>
      <c r="L10" s="16" t="s">
        <v>7</v>
      </c>
      <c r="N10" s="22" t="s">
        <v>29</v>
      </c>
      <c r="O10" s="22" t="s">
        <v>30</v>
      </c>
      <c r="P10" s="22" t="s">
        <v>28</v>
      </c>
      <c r="Q10" s="22" t="s">
        <v>27</v>
      </c>
      <c r="R10" s="22" t="s">
        <v>32</v>
      </c>
    </row>
    <row r="11" spans="1:18" x14ac:dyDescent="0.25">
      <c r="A11" s="18"/>
      <c r="B11" s="41" t="s">
        <v>2356</v>
      </c>
      <c r="C11" s="43" t="s">
        <v>421</v>
      </c>
      <c r="D11" s="7" t="e">
        <f ca="1">_xll.xlqPrice(C11)</f>
        <v>#NAME?</v>
      </c>
      <c r="E11" s="9" t="e">
        <f t="shared" ref="E11:E42" ca="1" si="0">IF(D11&gt;J11, "Buy","Cash")</f>
        <v>#NAME?</v>
      </c>
      <c r="F11" s="9" t="e">
        <f t="shared" ref="F11:F42" ca="1" si="1">RANK(I11,$I$11:$I$42,0)</f>
        <v>#NAME?</v>
      </c>
      <c r="G11" s="8" t="e">
        <f t="shared" ref="G11:G42" ca="1" si="2">($D11-K11)/K11</f>
        <v>#NAME?</v>
      </c>
      <c r="H11" s="8" t="e">
        <f t="shared" ref="H11:H42" ca="1" si="3">($D11-L11)/L11</f>
        <v>#NAME?</v>
      </c>
      <c r="I11" s="8" t="e">
        <f t="shared" ref="I11:I42" ca="1" si="4">(G11*$G$8) +(H11*$H$8)</f>
        <v>#NAME?</v>
      </c>
      <c r="J11" s="6" t="e">
        <f ca="1">_xll.xlqxhSMA($C11,$L$4,$J$7,$K$3)</f>
        <v>#NAME?</v>
      </c>
      <c r="K11" s="7" t="e">
        <f ca="1">_xll.xlqhClose($C11,K$8,$K$3)</f>
        <v>#NAME?</v>
      </c>
      <c r="L11" s="7" t="e">
        <f ca="1">_xll.xlqhClose($C11,L$8,$K$3)</f>
        <v>#NAME?</v>
      </c>
      <c r="N11" s="9" t="e">
        <f t="shared" ref="N11:N42" ca="1" si="5">RANK($G11,G$11:G$42,0)</f>
        <v>#NAME?</v>
      </c>
      <c r="O11" s="9" t="e">
        <f t="shared" ref="O11:O42" ca="1" si="6">RANK($H11,H$11:H$42,0)</f>
        <v>#NAME?</v>
      </c>
      <c r="P11" s="9" t="e">
        <f t="shared" ref="P11:P42" ca="1" si="7">(N11*$G$8)+(O11*$H$8)</f>
        <v>#NAME?</v>
      </c>
      <c r="Q11" s="9" t="e">
        <f t="shared" ref="Q11:Q42" ca="1" si="8">RANK($P11,P$11:P$42,1)</f>
        <v>#NAME?</v>
      </c>
      <c r="R11" s="9" t="e">
        <f t="shared" ref="R11:R42" ca="1" si="9">F11-Q11</f>
        <v>#NAME?</v>
      </c>
    </row>
    <row r="12" spans="1:18" x14ac:dyDescent="0.25">
      <c r="A12" s="18"/>
      <c r="B12" s="19" t="s">
        <v>35</v>
      </c>
      <c r="C12" s="43" t="s">
        <v>14</v>
      </c>
      <c r="D12" s="7" t="e">
        <f ca="1">_xll.xlqPrice(C12)</f>
        <v>#NAME?</v>
      </c>
      <c r="E12" s="9" t="e">
        <f t="shared" ca="1" si="0"/>
        <v>#NAME?</v>
      </c>
      <c r="F12" s="9" t="e">
        <f t="shared" ca="1" si="1"/>
        <v>#NAME?</v>
      </c>
      <c r="G12" s="8" t="e">
        <f t="shared" ca="1" si="2"/>
        <v>#NAME?</v>
      </c>
      <c r="H12" s="8" t="e">
        <f t="shared" ca="1" si="3"/>
        <v>#NAME?</v>
      </c>
      <c r="I12" s="8" t="e">
        <f t="shared" ca="1" si="4"/>
        <v>#NAME?</v>
      </c>
      <c r="J12" s="6" t="e">
        <f ca="1">_xll.xlqxhSMA($C12,$L$4,$J$7,$K$3)</f>
        <v>#NAME?</v>
      </c>
      <c r="K12" s="7" t="e">
        <f ca="1">_xll.xlqhClose($C12,K$8,$K$3)</f>
        <v>#NAME?</v>
      </c>
      <c r="L12" s="7" t="e">
        <f ca="1">_xll.xlqhClose($C12,L$8,$K$3)</f>
        <v>#NAME?</v>
      </c>
      <c r="N12" s="9" t="e">
        <f t="shared" ca="1" si="5"/>
        <v>#NAME?</v>
      </c>
      <c r="O12" s="9" t="e">
        <f t="shared" ca="1" si="6"/>
        <v>#NAME?</v>
      </c>
      <c r="P12" s="9" t="e">
        <f t="shared" ca="1" si="7"/>
        <v>#NAME?</v>
      </c>
      <c r="Q12" s="9" t="e">
        <f t="shared" ca="1" si="8"/>
        <v>#NAME?</v>
      </c>
      <c r="R12" s="9" t="e">
        <f t="shared" ca="1" si="9"/>
        <v>#NAME?</v>
      </c>
    </row>
    <row r="13" spans="1:18" x14ac:dyDescent="0.25">
      <c r="A13" s="18"/>
      <c r="B13" s="19" t="s">
        <v>39</v>
      </c>
      <c r="C13" s="43" t="s">
        <v>17</v>
      </c>
      <c r="D13" s="7" t="e">
        <f ca="1">_xll.xlqPrice(C13)</f>
        <v>#NAME?</v>
      </c>
      <c r="E13" s="9" t="e">
        <f t="shared" ca="1" si="0"/>
        <v>#NAME?</v>
      </c>
      <c r="F13" s="9" t="e">
        <f t="shared" ca="1" si="1"/>
        <v>#NAME?</v>
      </c>
      <c r="G13" s="8" t="e">
        <f t="shared" ca="1" si="2"/>
        <v>#NAME?</v>
      </c>
      <c r="H13" s="8" t="e">
        <f t="shared" ca="1" si="3"/>
        <v>#NAME?</v>
      </c>
      <c r="I13" s="8" t="e">
        <f t="shared" ca="1" si="4"/>
        <v>#NAME?</v>
      </c>
      <c r="J13" s="6" t="e">
        <f ca="1">_xll.xlqxhSMA($C13,$L$4,$J$7,$K$3)</f>
        <v>#NAME?</v>
      </c>
      <c r="K13" s="7" t="e">
        <f ca="1">_xll.xlqhClose($C13,K$8,$K$3)</f>
        <v>#NAME?</v>
      </c>
      <c r="L13" s="7" t="e">
        <f ca="1">_xll.xlqhClose($C13,L$8,$K$3)</f>
        <v>#NAME?</v>
      </c>
      <c r="N13" s="9" t="e">
        <f t="shared" ca="1" si="5"/>
        <v>#NAME?</v>
      </c>
      <c r="O13" s="9" t="e">
        <f t="shared" ca="1" si="6"/>
        <v>#NAME?</v>
      </c>
      <c r="P13" s="9" t="e">
        <f t="shared" ca="1" si="7"/>
        <v>#NAME?</v>
      </c>
      <c r="Q13" s="9" t="e">
        <f t="shared" ca="1" si="8"/>
        <v>#NAME?</v>
      </c>
      <c r="R13" s="9" t="e">
        <f t="shared" ca="1" si="9"/>
        <v>#NAME?</v>
      </c>
    </row>
    <row r="14" spans="1:18" x14ac:dyDescent="0.25">
      <c r="A14" s="18"/>
      <c r="B14" s="19" t="s">
        <v>73</v>
      </c>
      <c r="C14" s="43" t="s">
        <v>74</v>
      </c>
      <c r="D14" s="7" t="e">
        <f ca="1">_xll.xlqPrice(C14)</f>
        <v>#NAME?</v>
      </c>
      <c r="E14" s="9" t="e">
        <f t="shared" ca="1" si="0"/>
        <v>#NAME?</v>
      </c>
      <c r="F14" s="9" t="e">
        <f t="shared" ca="1" si="1"/>
        <v>#NAME?</v>
      </c>
      <c r="G14" s="8" t="e">
        <f t="shared" ca="1" si="2"/>
        <v>#NAME?</v>
      </c>
      <c r="H14" s="8" t="e">
        <f t="shared" ca="1" si="3"/>
        <v>#NAME?</v>
      </c>
      <c r="I14" s="8" t="e">
        <f t="shared" ca="1" si="4"/>
        <v>#NAME?</v>
      </c>
      <c r="J14" s="6" t="e">
        <f ca="1">_xll.xlqxhSMA($C14,$L$4,$J$7,$K$3)</f>
        <v>#NAME?</v>
      </c>
      <c r="K14" s="7" t="e">
        <f ca="1">_xll.xlqhClose($C14,K$8,$K$3)</f>
        <v>#NAME?</v>
      </c>
      <c r="L14" s="7" t="e">
        <f ca="1">_xll.xlqhClose($C14,L$8,$K$3)</f>
        <v>#NAME?</v>
      </c>
      <c r="N14" s="9" t="e">
        <f t="shared" ca="1" si="5"/>
        <v>#NAME?</v>
      </c>
      <c r="O14" s="9" t="e">
        <f t="shared" ca="1" si="6"/>
        <v>#NAME?</v>
      </c>
      <c r="P14" s="9" t="e">
        <f t="shared" ca="1" si="7"/>
        <v>#NAME?</v>
      </c>
      <c r="Q14" s="9" t="e">
        <f t="shared" ca="1" si="8"/>
        <v>#NAME?</v>
      </c>
      <c r="R14" s="9" t="e">
        <f t="shared" ca="1" si="9"/>
        <v>#NAME?</v>
      </c>
    </row>
    <row r="15" spans="1:18" x14ac:dyDescent="0.25">
      <c r="A15" s="18"/>
      <c r="B15" s="41" t="s">
        <v>2354</v>
      </c>
      <c r="C15" s="43" t="s">
        <v>151</v>
      </c>
      <c r="D15" s="7" t="e">
        <f ca="1">_xll.xlqPrice(C15)</f>
        <v>#NAME?</v>
      </c>
      <c r="E15" s="9" t="e">
        <f t="shared" ca="1" si="0"/>
        <v>#NAME?</v>
      </c>
      <c r="F15" s="9" t="e">
        <f t="shared" ca="1" si="1"/>
        <v>#NAME?</v>
      </c>
      <c r="G15" s="8" t="e">
        <f t="shared" ca="1" si="2"/>
        <v>#NAME?</v>
      </c>
      <c r="H15" s="8" t="e">
        <f t="shared" ca="1" si="3"/>
        <v>#NAME?</v>
      </c>
      <c r="I15" s="8" t="e">
        <f t="shared" ca="1" si="4"/>
        <v>#NAME?</v>
      </c>
      <c r="J15" s="6" t="e">
        <f ca="1">_xll.xlqxhSMA($C15,$L$4,$J$7,$K$3)</f>
        <v>#NAME?</v>
      </c>
      <c r="K15" s="7" t="e">
        <f ca="1">_xll.xlqhClose($C15,K$8,$K$3)</f>
        <v>#NAME?</v>
      </c>
      <c r="L15" s="7" t="e">
        <f ca="1">_xll.xlqhClose($C15,L$8,$K$3)</f>
        <v>#NAME?</v>
      </c>
      <c r="N15" s="9" t="e">
        <f t="shared" ca="1" si="5"/>
        <v>#NAME?</v>
      </c>
      <c r="O15" s="9" t="e">
        <f t="shared" ca="1" si="6"/>
        <v>#NAME?</v>
      </c>
      <c r="P15" s="9" t="e">
        <f t="shared" ca="1" si="7"/>
        <v>#NAME?</v>
      </c>
      <c r="Q15" s="9" t="e">
        <f t="shared" ca="1" si="8"/>
        <v>#NAME?</v>
      </c>
      <c r="R15" s="9" t="e">
        <f t="shared" ca="1" si="9"/>
        <v>#NAME?</v>
      </c>
    </row>
    <row r="16" spans="1:18" x14ac:dyDescent="0.25">
      <c r="A16" s="18"/>
      <c r="B16" s="19" t="s">
        <v>61</v>
      </c>
      <c r="C16" s="43" t="s">
        <v>62</v>
      </c>
      <c r="D16" s="7" t="e">
        <f ca="1">_xll.xlqPrice(C16)</f>
        <v>#NAME?</v>
      </c>
      <c r="E16" s="9" t="e">
        <f t="shared" ca="1" si="0"/>
        <v>#NAME?</v>
      </c>
      <c r="F16" s="9" t="e">
        <f t="shared" ca="1" si="1"/>
        <v>#NAME?</v>
      </c>
      <c r="G16" s="8" t="e">
        <f t="shared" ca="1" si="2"/>
        <v>#NAME?</v>
      </c>
      <c r="H16" s="8" t="e">
        <f t="shared" ca="1" si="3"/>
        <v>#NAME?</v>
      </c>
      <c r="I16" s="8" t="e">
        <f t="shared" ca="1" si="4"/>
        <v>#NAME?</v>
      </c>
      <c r="J16" s="6" t="e">
        <f ca="1">_xll.xlqxhSMA($C16,$L$4,$J$7,$K$3)</f>
        <v>#NAME?</v>
      </c>
      <c r="K16" s="7" t="e">
        <f ca="1">_xll.xlqhClose($C16,K$8,$K$3)</f>
        <v>#NAME?</v>
      </c>
      <c r="L16" s="7" t="e">
        <f ca="1">_xll.xlqhClose($C16,L$8,$K$3)</f>
        <v>#NAME?</v>
      </c>
      <c r="N16" s="9" t="e">
        <f t="shared" ca="1" si="5"/>
        <v>#NAME?</v>
      </c>
      <c r="O16" s="9" t="e">
        <f t="shared" ca="1" si="6"/>
        <v>#NAME?</v>
      </c>
      <c r="P16" s="9" t="e">
        <f t="shared" ca="1" si="7"/>
        <v>#NAME?</v>
      </c>
      <c r="Q16" s="9" t="e">
        <f t="shared" ca="1" si="8"/>
        <v>#NAME?</v>
      </c>
      <c r="R16" s="9" t="e">
        <f t="shared" ca="1" si="9"/>
        <v>#NAME?</v>
      </c>
    </row>
    <row r="17" spans="1:18" x14ac:dyDescent="0.25">
      <c r="A17" s="18"/>
      <c r="B17" s="41" t="s">
        <v>2353</v>
      </c>
      <c r="C17" s="43" t="s">
        <v>275</v>
      </c>
      <c r="D17" s="7" t="e">
        <f ca="1">_xll.xlqPrice(C17)</f>
        <v>#NAME?</v>
      </c>
      <c r="E17" s="9" t="e">
        <f t="shared" ca="1" si="0"/>
        <v>#NAME?</v>
      </c>
      <c r="F17" s="9" t="e">
        <f t="shared" ca="1" si="1"/>
        <v>#NAME?</v>
      </c>
      <c r="G17" s="8" t="e">
        <f t="shared" ca="1" si="2"/>
        <v>#NAME?</v>
      </c>
      <c r="H17" s="8" t="e">
        <f t="shared" ca="1" si="3"/>
        <v>#NAME?</v>
      </c>
      <c r="I17" s="8" t="e">
        <f t="shared" ca="1" si="4"/>
        <v>#NAME?</v>
      </c>
      <c r="J17" s="6" t="e">
        <f ca="1">_xll.xlqxhSMA($C17,$L$4,$J$7,$K$3)</f>
        <v>#NAME?</v>
      </c>
      <c r="K17" s="7" t="e">
        <f ca="1">_xll.xlqhClose($C17,K$8,$K$3)</f>
        <v>#NAME?</v>
      </c>
      <c r="L17" s="7" t="e">
        <f ca="1">_xll.xlqhClose($C17,L$8,$K$3)</f>
        <v>#NAME?</v>
      </c>
      <c r="N17" s="9" t="e">
        <f t="shared" ca="1" si="5"/>
        <v>#NAME?</v>
      </c>
      <c r="O17" s="9" t="e">
        <f t="shared" ca="1" si="6"/>
        <v>#NAME?</v>
      </c>
      <c r="P17" s="9" t="e">
        <f t="shared" ca="1" si="7"/>
        <v>#NAME?</v>
      </c>
      <c r="Q17" s="9" t="e">
        <f t="shared" ca="1" si="8"/>
        <v>#NAME?</v>
      </c>
      <c r="R17" s="9" t="e">
        <f t="shared" ca="1" si="9"/>
        <v>#NAME?</v>
      </c>
    </row>
    <row r="18" spans="1:18" x14ac:dyDescent="0.25">
      <c r="A18" s="18"/>
      <c r="B18" s="19" t="s">
        <v>37</v>
      </c>
      <c r="C18" s="43" t="s">
        <v>24</v>
      </c>
      <c r="D18" s="7" t="e">
        <f ca="1">_xll.xlqPrice(C18)</f>
        <v>#NAME?</v>
      </c>
      <c r="E18" s="9" t="e">
        <f t="shared" ca="1" si="0"/>
        <v>#NAME?</v>
      </c>
      <c r="F18" s="9" t="e">
        <f t="shared" ca="1" si="1"/>
        <v>#NAME?</v>
      </c>
      <c r="G18" s="8" t="e">
        <f t="shared" ca="1" si="2"/>
        <v>#NAME?</v>
      </c>
      <c r="H18" s="8" t="e">
        <f t="shared" ca="1" si="3"/>
        <v>#NAME?</v>
      </c>
      <c r="I18" s="8" t="e">
        <f t="shared" ca="1" si="4"/>
        <v>#NAME?</v>
      </c>
      <c r="J18" s="6" t="e">
        <f ca="1">_xll.xlqxhSMA($C18,$L$4,$J$7,$K$3)</f>
        <v>#NAME?</v>
      </c>
      <c r="K18" s="7" t="e">
        <f ca="1">_xll.xlqhClose($C18,K$8,$K$3)</f>
        <v>#NAME?</v>
      </c>
      <c r="L18" s="7" t="e">
        <f ca="1">_xll.xlqhClose($C18,L$8,$K$3)</f>
        <v>#NAME?</v>
      </c>
      <c r="N18" s="9" t="e">
        <f t="shared" ca="1" si="5"/>
        <v>#NAME?</v>
      </c>
      <c r="O18" s="9" t="e">
        <f t="shared" ca="1" si="6"/>
        <v>#NAME?</v>
      </c>
      <c r="P18" s="9" t="e">
        <f t="shared" ca="1" si="7"/>
        <v>#NAME?</v>
      </c>
      <c r="Q18" s="9" t="e">
        <f t="shared" ca="1" si="8"/>
        <v>#NAME?</v>
      </c>
      <c r="R18" s="9" t="e">
        <f t="shared" ca="1" si="9"/>
        <v>#NAME?</v>
      </c>
    </row>
    <row r="19" spans="1:18" x14ac:dyDescent="0.25">
      <c r="A19" s="18"/>
      <c r="B19" s="19" t="s">
        <v>36</v>
      </c>
      <c r="C19" s="43" t="s">
        <v>23</v>
      </c>
      <c r="D19" s="7" t="e">
        <f ca="1">_xll.xlqPrice(C19)</f>
        <v>#NAME?</v>
      </c>
      <c r="E19" s="9" t="e">
        <f t="shared" ca="1" si="0"/>
        <v>#NAME?</v>
      </c>
      <c r="F19" s="9" t="e">
        <f t="shared" ca="1" si="1"/>
        <v>#NAME?</v>
      </c>
      <c r="G19" s="8" t="e">
        <f t="shared" ca="1" si="2"/>
        <v>#NAME?</v>
      </c>
      <c r="H19" s="8" t="e">
        <f t="shared" ca="1" si="3"/>
        <v>#NAME?</v>
      </c>
      <c r="I19" s="8" t="e">
        <f t="shared" ca="1" si="4"/>
        <v>#NAME?</v>
      </c>
      <c r="J19" s="6" t="e">
        <f ca="1">_xll.xlqxhSMA($C19,$L$4,$J$7,$K$3)</f>
        <v>#NAME?</v>
      </c>
      <c r="K19" s="7" t="e">
        <f ca="1">_xll.xlqhClose($C19,K$8,$K$3)</f>
        <v>#NAME?</v>
      </c>
      <c r="L19" s="7" t="e">
        <f ca="1">_xll.xlqhClose($C19,L$8,$K$3)</f>
        <v>#NAME?</v>
      </c>
      <c r="N19" s="9" t="e">
        <f t="shared" ca="1" si="5"/>
        <v>#NAME?</v>
      </c>
      <c r="O19" s="9" t="e">
        <f t="shared" ca="1" si="6"/>
        <v>#NAME?</v>
      </c>
      <c r="P19" s="9" t="e">
        <f t="shared" ca="1" si="7"/>
        <v>#NAME?</v>
      </c>
      <c r="Q19" s="9" t="e">
        <f t="shared" ca="1" si="8"/>
        <v>#NAME?</v>
      </c>
      <c r="R19" s="9" t="e">
        <f t="shared" ca="1" si="9"/>
        <v>#NAME?</v>
      </c>
    </row>
    <row r="20" spans="1:18" x14ac:dyDescent="0.25">
      <c r="A20" s="18"/>
      <c r="B20" s="41" t="s">
        <v>2352</v>
      </c>
      <c r="C20" s="43" t="s">
        <v>343</v>
      </c>
      <c r="D20" s="7" t="e">
        <f ca="1">_xll.xlqPrice(C20)</f>
        <v>#NAME?</v>
      </c>
      <c r="E20" s="9" t="e">
        <f t="shared" ca="1" si="0"/>
        <v>#NAME?</v>
      </c>
      <c r="F20" s="9" t="e">
        <f t="shared" ca="1" si="1"/>
        <v>#NAME?</v>
      </c>
      <c r="G20" s="8" t="e">
        <f t="shared" ca="1" si="2"/>
        <v>#NAME?</v>
      </c>
      <c r="H20" s="8" t="e">
        <f t="shared" ca="1" si="3"/>
        <v>#NAME?</v>
      </c>
      <c r="I20" s="8" t="e">
        <f t="shared" ca="1" si="4"/>
        <v>#NAME?</v>
      </c>
      <c r="J20" s="6" t="e">
        <f ca="1">_xll.xlqxhSMA($C20,$L$4,$J$7,$K$3)</f>
        <v>#NAME?</v>
      </c>
      <c r="K20" s="7" t="e">
        <f ca="1">_xll.xlqhClose($C20,K$8,$K$3)</f>
        <v>#NAME?</v>
      </c>
      <c r="L20" s="7" t="e">
        <f ca="1">_xll.xlqhClose($C20,L$8,$K$3)</f>
        <v>#NAME?</v>
      </c>
      <c r="N20" s="9" t="e">
        <f t="shared" ca="1" si="5"/>
        <v>#NAME?</v>
      </c>
      <c r="O20" s="9" t="e">
        <f t="shared" ca="1" si="6"/>
        <v>#NAME?</v>
      </c>
      <c r="P20" s="9" t="e">
        <f t="shared" ca="1" si="7"/>
        <v>#NAME?</v>
      </c>
      <c r="Q20" s="9" t="e">
        <f t="shared" ca="1" si="8"/>
        <v>#NAME?</v>
      </c>
      <c r="R20" s="9" t="e">
        <f t="shared" ca="1" si="9"/>
        <v>#NAME?</v>
      </c>
    </row>
    <row r="21" spans="1:18" x14ac:dyDescent="0.25">
      <c r="A21" s="18"/>
      <c r="B21" s="19" t="s">
        <v>38</v>
      </c>
      <c r="C21" s="43" t="s">
        <v>9</v>
      </c>
      <c r="D21" s="7" t="e">
        <f ca="1">_xll.xlqPrice(C21)</f>
        <v>#NAME?</v>
      </c>
      <c r="E21" s="9" t="e">
        <f t="shared" ca="1" si="0"/>
        <v>#NAME?</v>
      </c>
      <c r="F21" s="9" t="e">
        <f t="shared" ca="1" si="1"/>
        <v>#NAME?</v>
      </c>
      <c r="G21" s="8" t="e">
        <f t="shared" ca="1" si="2"/>
        <v>#NAME?</v>
      </c>
      <c r="H21" s="8" t="e">
        <f t="shared" ca="1" si="3"/>
        <v>#NAME?</v>
      </c>
      <c r="I21" s="8" t="e">
        <f t="shared" ca="1" si="4"/>
        <v>#NAME?</v>
      </c>
      <c r="J21" s="6" t="e">
        <f ca="1">_xll.xlqxhSMA($C21,$L$4,$J$7,$K$3)</f>
        <v>#NAME?</v>
      </c>
      <c r="K21" s="7" t="e">
        <f ca="1">_xll.xlqhClose($C21,K$8,$K$3)</f>
        <v>#NAME?</v>
      </c>
      <c r="L21" s="7" t="e">
        <f ca="1">_xll.xlqhClose($C21,L$8,$K$3)</f>
        <v>#NAME?</v>
      </c>
      <c r="N21" s="9" t="e">
        <f t="shared" ca="1" si="5"/>
        <v>#NAME?</v>
      </c>
      <c r="O21" s="9" t="e">
        <f t="shared" ca="1" si="6"/>
        <v>#NAME?</v>
      </c>
      <c r="P21" s="9" t="e">
        <f t="shared" ca="1" si="7"/>
        <v>#NAME?</v>
      </c>
      <c r="Q21" s="9" t="e">
        <f t="shared" ca="1" si="8"/>
        <v>#NAME?</v>
      </c>
      <c r="R21" s="9" t="e">
        <f t="shared" ca="1" si="9"/>
        <v>#NAME?</v>
      </c>
    </row>
    <row r="22" spans="1:18" x14ac:dyDescent="0.25">
      <c r="A22" s="18"/>
      <c r="B22" s="41" t="s">
        <v>2357</v>
      </c>
      <c r="C22" s="43" t="s">
        <v>159</v>
      </c>
      <c r="D22" s="7" t="e">
        <f ca="1">_xll.xlqPrice(C22)</f>
        <v>#NAME?</v>
      </c>
      <c r="E22" s="9" t="e">
        <f t="shared" ca="1" si="0"/>
        <v>#NAME?</v>
      </c>
      <c r="F22" s="9" t="e">
        <f t="shared" ca="1" si="1"/>
        <v>#NAME?</v>
      </c>
      <c r="G22" s="8" t="e">
        <f t="shared" ca="1" si="2"/>
        <v>#NAME?</v>
      </c>
      <c r="H22" s="8" t="e">
        <f t="shared" ca="1" si="3"/>
        <v>#NAME?</v>
      </c>
      <c r="I22" s="8" t="e">
        <f t="shared" ca="1" si="4"/>
        <v>#NAME?</v>
      </c>
      <c r="J22" s="6" t="e">
        <f ca="1">_xll.xlqxhSMA($C22,$L$4,$J$7,$K$3)</f>
        <v>#NAME?</v>
      </c>
      <c r="K22" s="7" t="e">
        <f ca="1">_xll.xlqhClose($C22,K$8,$K$3)</f>
        <v>#NAME?</v>
      </c>
      <c r="L22" s="7" t="e">
        <f ca="1">_xll.xlqhClose($C22,L$8,$K$3)</f>
        <v>#NAME?</v>
      </c>
      <c r="N22" s="9" t="e">
        <f t="shared" ca="1" si="5"/>
        <v>#NAME?</v>
      </c>
      <c r="O22" s="9" t="e">
        <f t="shared" ca="1" si="6"/>
        <v>#NAME?</v>
      </c>
      <c r="P22" s="9" t="e">
        <f t="shared" ca="1" si="7"/>
        <v>#NAME?</v>
      </c>
      <c r="Q22" s="9" t="e">
        <f t="shared" ca="1" si="8"/>
        <v>#NAME?</v>
      </c>
      <c r="R22" s="9" t="e">
        <f t="shared" ca="1" si="9"/>
        <v>#NAME?</v>
      </c>
    </row>
    <row r="23" spans="1:18" x14ac:dyDescent="0.25">
      <c r="A23" s="18"/>
      <c r="B23" s="41" t="s">
        <v>2355</v>
      </c>
      <c r="C23" s="43" t="s">
        <v>445</v>
      </c>
      <c r="D23" s="7" t="e">
        <f ca="1">_xll.xlqPrice(C23)</f>
        <v>#NAME?</v>
      </c>
      <c r="E23" s="10" t="e">
        <f t="shared" ca="1" si="0"/>
        <v>#NAME?</v>
      </c>
      <c r="F23" s="9" t="e">
        <f t="shared" ca="1" si="1"/>
        <v>#NAME?</v>
      </c>
      <c r="G23" s="8" t="e">
        <f t="shared" ca="1" si="2"/>
        <v>#NAME?</v>
      </c>
      <c r="H23" s="8" t="e">
        <f t="shared" ca="1" si="3"/>
        <v>#NAME?</v>
      </c>
      <c r="I23" s="8" t="e">
        <f t="shared" ca="1" si="4"/>
        <v>#NAME?</v>
      </c>
      <c r="J23" s="6" t="e">
        <f ca="1">_xll.xlqxhSMA($C23,$L$4,$J$7,$K$3)</f>
        <v>#NAME?</v>
      </c>
      <c r="K23" s="7" t="e">
        <f ca="1">_xll.xlqhClose($C23,K$8,$K$3)</f>
        <v>#NAME?</v>
      </c>
      <c r="L23" s="7" t="e">
        <f ca="1">_xll.xlqhClose($C23,L$8,$K$3)</f>
        <v>#NAME?</v>
      </c>
      <c r="N23" s="9" t="e">
        <f t="shared" ca="1" si="5"/>
        <v>#NAME?</v>
      </c>
      <c r="O23" s="9" t="e">
        <f t="shared" ca="1" si="6"/>
        <v>#NAME?</v>
      </c>
      <c r="P23" s="9" t="e">
        <f t="shared" ca="1" si="7"/>
        <v>#NAME?</v>
      </c>
      <c r="Q23" s="9" t="e">
        <f t="shared" ca="1" si="8"/>
        <v>#NAME?</v>
      </c>
      <c r="R23" s="9" t="e">
        <f t="shared" ca="1" si="9"/>
        <v>#NAME?</v>
      </c>
    </row>
    <row r="24" spans="1:18" x14ac:dyDescent="0.25">
      <c r="A24" s="17"/>
      <c r="B24" s="19" t="s">
        <v>43</v>
      </c>
      <c r="C24" s="43" t="s">
        <v>22</v>
      </c>
      <c r="D24" s="7" t="e">
        <f ca="1">_xll.xlqPrice(C24)</f>
        <v>#NAME?</v>
      </c>
      <c r="E24" s="10" t="e">
        <f t="shared" ca="1" si="0"/>
        <v>#NAME?</v>
      </c>
      <c r="F24" s="9" t="e">
        <f t="shared" ca="1" si="1"/>
        <v>#NAME?</v>
      </c>
      <c r="G24" s="8" t="e">
        <f t="shared" ca="1" si="2"/>
        <v>#NAME?</v>
      </c>
      <c r="H24" s="8" t="e">
        <f t="shared" ca="1" si="3"/>
        <v>#NAME?</v>
      </c>
      <c r="I24" s="8" t="e">
        <f t="shared" ca="1" si="4"/>
        <v>#NAME?</v>
      </c>
      <c r="J24" s="6" t="e">
        <f ca="1">_xll.xlqxhSMA($C24,$L$4,$J$7,$K$3)</f>
        <v>#NAME?</v>
      </c>
      <c r="K24" s="7" t="e">
        <f ca="1">_xll.xlqhClose($C24,K$8,$K$3)</f>
        <v>#NAME?</v>
      </c>
      <c r="L24" s="7" t="e">
        <f ca="1">_xll.xlqhClose($C24,L$8,$K$3)</f>
        <v>#NAME?</v>
      </c>
      <c r="N24" s="9" t="e">
        <f t="shared" ca="1" si="5"/>
        <v>#NAME?</v>
      </c>
      <c r="O24" s="9" t="e">
        <f t="shared" ca="1" si="6"/>
        <v>#NAME?</v>
      </c>
      <c r="P24" s="9" t="e">
        <f t="shared" ca="1" si="7"/>
        <v>#NAME?</v>
      </c>
      <c r="Q24" s="9" t="e">
        <f t="shared" ca="1" si="8"/>
        <v>#NAME?</v>
      </c>
      <c r="R24" s="9" t="e">
        <f t="shared" ca="1" si="9"/>
        <v>#NAME?</v>
      </c>
    </row>
    <row r="25" spans="1:18" x14ac:dyDescent="0.25">
      <c r="B25" s="42" t="s">
        <v>67</v>
      </c>
      <c r="C25" s="43" t="s">
        <v>68</v>
      </c>
      <c r="D25" s="7" t="e">
        <f ca="1">_xll.xlqPrice(C25)</f>
        <v>#NAME?</v>
      </c>
      <c r="E25" s="10" t="e">
        <f t="shared" ca="1" si="0"/>
        <v>#NAME?</v>
      </c>
      <c r="F25" s="9" t="e">
        <f t="shared" ca="1" si="1"/>
        <v>#NAME?</v>
      </c>
      <c r="G25" s="8" t="e">
        <f t="shared" ca="1" si="2"/>
        <v>#NAME?</v>
      </c>
      <c r="H25" s="8" t="e">
        <f t="shared" ca="1" si="3"/>
        <v>#NAME?</v>
      </c>
      <c r="I25" s="8" t="e">
        <f t="shared" ca="1" si="4"/>
        <v>#NAME?</v>
      </c>
      <c r="J25" s="6" t="e">
        <f ca="1">_xll.xlqxhSMA($C25,$L$4,$J$7,$K$3)</f>
        <v>#NAME?</v>
      </c>
      <c r="K25" s="7" t="e">
        <f ca="1">_xll.xlqhClose($C25,K$8,$K$3)</f>
        <v>#NAME?</v>
      </c>
      <c r="L25" s="7" t="e">
        <f ca="1">_xll.xlqhClose($C25,L$8,$K$3)</f>
        <v>#NAME?</v>
      </c>
      <c r="N25" s="9" t="e">
        <f t="shared" ca="1" si="5"/>
        <v>#NAME?</v>
      </c>
      <c r="O25" s="9" t="e">
        <f t="shared" ca="1" si="6"/>
        <v>#NAME?</v>
      </c>
      <c r="P25" s="9" t="e">
        <f t="shared" ca="1" si="7"/>
        <v>#NAME?</v>
      </c>
      <c r="Q25" s="9" t="e">
        <f t="shared" ca="1" si="8"/>
        <v>#NAME?</v>
      </c>
      <c r="R25" s="9" t="e">
        <f t="shared" ca="1" si="9"/>
        <v>#NAME?</v>
      </c>
    </row>
    <row r="26" spans="1:18" x14ac:dyDescent="0.25">
      <c r="B26" s="19" t="s">
        <v>40</v>
      </c>
      <c r="C26" s="43" t="s">
        <v>16</v>
      </c>
      <c r="D26" s="7" t="e">
        <f ca="1">_xll.xlqPrice(C26)</f>
        <v>#NAME?</v>
      </c>
      <c r="E26" s="10" t="e">
        <f t="shared" ca="1" si="0"/>
        <v>#NAME?</v>
      </c>
      <c r="F26" s="9" t="e">
        <f t="shared" ca="1" si="1"/>
        <v>#NAME?</v>
      </c>
      <c r="G26" s="8" t="e">
        <f t="shared" ca="1" si="2"/>
        <v>#NAME?</v>
      </c>
      <c r="H26" s="8" t="e">
        <f t="shared" ca="1" si="3"/>
        <v>#NAME?</v>
      </c>
      <c r="I26" s="8" t="e">
        <f t="shared" ca="1" si="4"/>
        <v>#NAME?</v>
      </c>
      <c r="J26" s="6" t="e">
        <f ca="1">_xll.xlqxhSMA($C26,$L$4,$J$7,$K$3)</f>
        <v>#NAME?</v>
      </c>
      <c r="K26" s="7" t="e">
        <f ca="1">_xll.xlqhClose($C26,K$8,$K$3)</f>
        <v>#NAME?</v>
      </c>
      <c r="L26" s="7" t="e">
        <f ca="1">_xll.xlqhClose($C26,L$8,$K$3)</f>
        <v>#NAME?</v>
      </c>
      <c r="N26" s="9" t="e">
        <f t="shared" ca="1" si="5"/>
        <v>#NAME?</v>
      </c>
      <c r="O26" s="9" t="e">
        <f t="shared" ca="1" si="6"/>
        <v>#NAME?</v>
      </c>
      <c r="P26" s="9" t="e">
        <f t="shared" ca="1" si="7"/>
        <v>#NAME?</v>
      </c>
      <c r="Q26" s="9" t="e">
        <f t="shared" ca="1" si="8"/>
        <v>#NAME?</v>
      </c>
      <c r="R26" s="9" t="e">
        <f t="shared" ca="1" si="9"/>
        <v>#NAME?</v>
      </c>
    </row>
    <row r="27" spans="1:18" x14ac:dyDescent="0.25">
      <c r="B27" s="42" t="s">
        <v>65</v>
      </c>
      <c r="C27" s="43" t="s">
        <v>66</v>
      </c>
      <c r="D27" s="7" t="e">
        <f ca="1">_xll.xlqPrice(C27)</f>
        <v>#NAME?</v>
      </c>
      <c r="E27" s="10" t="e">
        <f t="shared" ca="1" si="0"/>
        <v>#NAME?</v>
      </c>
      <c r="F27" s="9" t="e">
        <f t="shared" ca="1" si="1"/>
        <v>#NAME?</v>
      </c>
      <c r="G27" s="8" t="e">
        <f t="shared" ca="1" si="2"/>
        <v>#NAME?</v>
      </c>
      <c r="H27" s="8" t="e">
        <f t="shared" ca="1" si="3"/>
        <v>#NAME?</v>
      </c>
      <c r="I27" s="8" t="e">
        <f t="shared" ca="1" si="4"/>
        <v>#NAME?</v>
      </c>
      <c r="J27" s="6" t="e">
        <f ca="1">_xll.xlqxhSMA($C27,$L$4,$J$7,$K$3)</f>
        <v>#NAME?</v>
      </c>
      <c r="K27" s="7" t="e">
        <f ca="1">_xll.xlqhClose($C27,K$8,$K$3)</f>
        <v>#NAME?</v>
      </c>
      <c r="L27" s="7" t="e">
        <f ca="1">_xll.xlqhClose($C27,L$8,$K$3)</f>
        <v>#NAME?</v>
      </c>
      <c r="N27" s="9" t="e">
        <f t="shared" ca="1" si="5"/>
        <v>#NAME?</v>
      </c>
      <c r="O27" s="9" t="e">
        <f t="shared" ca="1" si="6"/>
        <v>#NAME?</v>
      </c>
      <c r="P27" s="9" t="e">
        <f t="shared" ca="1" si="7"/>
        <v>#NAME?</v>
      </c>
      <c r="Q27" s="9" t="e">
        <f t="shared" ca="1" si="8"/>
        <v>#NAME?</v>
      </c>
      <c r="R27" s="9" t="e">
        <f t="shared" ca="1" si="9"/>
        <v>#NAME?</v>
      </c>
    </row>
    <row r="28" spans="1:18" x14ac:dyDescent="0.25">
      <c r="B28" s="19" t="s">
        <v>47</v>
      </c>
      <c r="C28" s="43" t="s">
        <v>15</v>
      </c>
      <c r="D28" s="7" t="e">
        <f ca="1">_xll.xlqPrice(C28)</f>
        <v>#NAME?</v>
      </c>
      <c r="E28" s="10" t="e">
        <f t="shared" ca="1" si="0"/>
        <v>#NAME?</v>
      </c>
      <c r="F28" s="9" t="e">
        <f t="shared" ca="1" si="1"/>
        <v>#NAME?</v>
      </c>
      <c r="G28" s="8" t="e">
        <f t="shared" ca="1" si="2"/>
        <v>#NAME?</v>
      </c>
      <c r="H28" s="8" t="e">
        <f t="shared" ca="1" si="3"/>
        <v>#NAME?</v>
      </c>
      <c r="I28" s="8" t="e">
        <f t="shared" ca="1" si="4"/>
        <v>#NAME?</v>
      </c>
      <c r="J28" s="6" t="e">
        <f ca="1">_xll.xlqxhSMA($C28,$L$4,$J$7,$K$3)</f>
        <v>#NAME?</v>
      </c>
      <c r="K28" s="7" t="e">
        <f ca="1">_xll.xlqhClose($C28,K$8,$K$3)</f>
        <v>#NAME?</v>
      </c>
      <c r="L28" s="7" t="e">
        <f ca="1">_xll.xlqhClose($C28,L$8,$K$3)</f>
        <v>#NAME?</v>
      </c>
      <c r="N28" s="9" t="e">
        <f t="shared" ca="1" si="5"/>
        <v>#NAME?</v>
      </c>
      <c r="O28" s="9" t="e">
        <f t="shared" ca="1" si="6"/>
        <v>#NAME?</v>
      </c>
      <c r="P28" s="9" t="e">
        <f t="shared" ca="1" si="7"/>
        <v>#NAME?</v>
      </c>
      <c r="Q28" s="9" t="e">
        <f t="shared" ca="1" si="8"/>
        <v>#NAME?</v>
      </c>
      <c r="R28" s="9" t="e">
        <f t="shared" ca="1" si="9"/>
        <v>#NAME?</v>
      </c>
    </row>
    <row r="29" spans="1:18" x14ac:dyDescent="0.25">
      <c r="B29" s="19" t="s">
        <v>55</v>
      </c>
      <c r="C29" s="43" t="s">
        <v>56</v>
      </c>
      <c r="D29" s="7" t="e">
        <f ca="1">_xll.xlqPrice(C29)</f>
        <v>#NAME?</v>
      </c>
      <c r="E29" s="10" t="e">
        <f t="shared" ca="1" si="0"/>
        <v>#NAME?</v>
      </c>
      <c r="F29" s="9" t="e">
        <f t="shared" ca="1" si="1"/>
        <v>#NAME?</v>
      </c>
      <c r="G29" s="8" t="e">
        <f t="shared" ca="1" si="2"/>
        <v>#NAME?</v>
      </c>
      <c r="H29" s="8" t="e">
        <f t="shared" ca="1" si="3"/>
        <v>#NAME?</v>
      </c>
      <c r="I29" s="8" t="e">
        <f t="shared" ca="1" si="4"/>
        <v>#NAME?</v>
      </c>
      <c r="J29" s="6" t="e">
        <f ca="1">_xll.xlqxhSMA($C29,$L$4,$J$7,$K$3)</f>
        <v>#NAME?</v>
      </c>
      <c r="K29" s="7" t="e">
        <f ca="1">_xll.xlqhClose($C29,K$8,$K$3)</f>
        <v>#NAME?</v>
      </c>
      <c r="L29" s="7" t="e">
        <f ca="1">_xll.xlqhClose($C29,L$8,$K$3)</f>
        <v>#NAME?</v>
      </c>
      <c r="N29" s="9" t="e">
        <f t="shared" ca="1" si="5"/>
        <v>#NAME?</v>
      </c>
      <c r="O29" s="9" t="e">
        <f t="shared" ca="1" si="6"/>
        <v>#NAME?</v>
      </c>
      <c r="P29" s="9" t="e">
        <f t="shared" ca="1" si="7"/>
        <v>#NAME?</v>
      </c>
      <c r="Q29" s="9" t="e">
        <f t="shared" ca="1" si="8"/>
        <v>#NAME?</v>
      </c>
      <c r="R29" s="9" t="e">
        <f t="shared" ca="1" si="9"/>
        <v>#NAME?</v>
      </c>
    </row>
    <row r="30" spans="1:18" x14ac:dyDescent="0.25">
      <c r="B30" s="19" t="s">
        <v>63</v>
      </c>
      <c r="C30" s="43" t="s">
        <v>64</v>
      </c>
      <c r="D30" s="7" t="e">
        <f ca="1">_xll.xlqPrice(C30)</f>
        <v>#NAME?</v>
      </c>
      <c r="E30" s="10" t="e">
        <f t="shared" ca="1" si="0"/>
        <v>#NAME?</v>
      </c>
      <c r="F30" s="9" t="e">
        <f t="shared" ca="1" si="1"/>
        <v>#NAME?</v>
      </c>
      <c r="G30" s="8" t="e">
        <f t="shared" ca="1" si="2"/>
        <v>#NAME?</v>
      </c>
      <c r="H30" s="8" t="e">
        <f t="shared" ca="1" si="3"/>
        <v>#NAME?</v>
      </c>
      <c r="I30" s="8" t="e">
        <f t="shared" ca="1" si="4"/>
        <v>#NAME?</v>
      </c>
      <c r="J30" s="6" t="e">
        <f ca="1">_xll.xlqxhSMA($C30,$L$4,$J$7,$K$3)</f>
        <v>#NAME?</v>
      </c>
      <c r="K30" s="7" t="e">
        <f ca="1">_xll.xlqhClose($C30,K$8,$K$3)</f>
        <v>#NAME?</v>
      </c>
      <c r="L30" s="7" t="e">
        <f ca="1">_xll.xlqhClose($C30,L$8,$K$3)</f>
        <v>#NAME?</v>
      </c>
      <c r="N30" s="9" t="e">
        <f t="shared" ca="1" si="5"/>
        <v>#NAME?</v>
      </c>
      <c r="O30" s="9" t="e">
        <f t="shared" ca="1" si="6"/>
        <v>#NAME?</v>
      </c>
      <c r="P30" s="9" t="e">
        <f t="shared" ca="1" si="7"/>
        <v>#NAME?</v>
      </c>
      <c r="Q30" s="9" t="e">
        <f t="shared" ca="1" si="8"/>
        <v>#NAME?</v>
      </c>
      <c r="R30" s="9" t="e">
        <f t="shared" ca="1" si="9"/>
        <v>#NAME?</v>
      </c>
    </row>
    <row r="31" spans="1:18" x14ac:dyDescent="0.25">
      <c r="B31" s="19" t="s">
        <v>49</v>
      </c>
      <c r="C31" s="43" t="s">
        <v>50</v>
      </c>
      <c r="D31" s="7" t="e">
        <f ca="1">_xll.xlqPrice(C31)</f>
        <v>#NAME?</v>
      </c>
      <c r="E31" s="10" t="e">
        <f t="shared" ca="1" si="0"/>
        <v>#NAME?</v>
      </c>
      <c r="F31" s="9" t="e">
        <f t="shared" ca="1" si="1"/>
        <v>#NAME?</v>
      </c>
      <c r="G31" s="8" t="e">
        <f t="shared" ca="1" si="2"/>
        <v>#NAME?</v>
      </c>
      <c r="H31" s="8" t="e">
        <f t="shared" ca="1" si="3"/>
        <v>#NAME?</v>
      </c>
      <c r="I31" s="8" t="e">
        <f t="shared" ca="1" si="4"/>
        <v>#NAME?</v>
      </c>
      <c r="J31" s="6" t="e">
        <f ca="1">_xll.xlqxhSMA($C31,$L$4,$J$7,$K$3)</f>
        <v>#NAME?</v>
      </c>
      <c r="K31" s="7" t="e">
        <f ca="1">_xll.xlqhClose($C31,K$8,$K$3)</f>
        <v>#NAME?</v>
      </c>
      <c r="L31" s="7" t="e">
        <f ca="1">_xll.xlqhClose($C31,L$8,$K$3)</f>
        <v>#NAME?</v>
      </c>
      <c r="N31" s="9" t="e">
        <f t="shared" ca="1" si="5"/>
        <v>#NAME?</v>
      </c>
      <c r="O31" s="9" t="e">
        <f t="shared" ca="1" si="6"/>
        <v>#NAME?</v>
      </c>
      <c r="P31" s="9" t="e">
        <f t="shared" ca="1" si="7"/>
        <v>#NAME?</v>
      </c>
      <c r="Q31" s="9" t="e">
        <f t="shared" ca="1" si="8"/>
        <v>#NAME?</v>
      </c>
      <c r="R31" s="9" t="e">
        <f t="shared" ca="1" si="9"/>
        <v>#NAME?</v>
      </c>
    </row>
    <row r="32" spans="1:18" x14ac:dyDescent="0.25">
      <c r="B32" s="19" t="s">
        <v>45</v>
      </c>
      <c r="C32" s="43" t="s">
        <v>20</v>
      </c>
      <c r="D32" s="7" t="e">
        <f ca="1">_xll.xlqPrice(C32)</f>
        <v>#NAME?</v>
      </c>
      <c r="E32" s="10" t="e">
        <f t="shared" ca="1" si="0"/>
        <v>#NAME?</v>
      </c>
      <c r="F32" s="9" t="e">
        <f t="shared" ca="1" si="1"/>
        <v>#NAME?</v>
      </c>
      <c r="G32" s="8" t="e">
        <f t="shared" ca="1" si="2"/>
        <v>#NAME?</v>
      </c>
      <c r="H32" s="8" t="e">
        <f t="shared" ca="1" si="3"/>
        <v>#NAME?</v>
      </c>
      <c r="I32" s="8" t="e">
        <f t="shared" ca="1" si="4"/>
        <v>#NAME?</v>
      </c>
      <c r="J32" s="6" t="e">
        <f ca="1">_xll.xlqxhSMA($C32,$L$4,$J$7,$K$3)</f>
        <v>#NAME?</v>
      </c>
      <c r="K32" s="7" t="e">
        <f ca="1">_xll.xlqhClose($C32,K$8,$K$3)</f>
        <v>#NAME?</v>
      </c>
      <c r="L32" s="7" t="e">
        <f ca="1">_xll.xlqhClose($C32,L$8,$K$3)</f>
        <v>#NAME?</v>
      </c>
      <c r="N32" s="9" t="e">
        <f t="shared" ca="1" si="5"/>
        <v>#NAME?</v>
      </c>
      <c r="O32" s="9" t="e">
        <f t="shared" ca="1" si="6"/>
        <v>#NAME?</v>
      </c>
      <c r="P32" s="9" t="e">
        <f t="shared" ca="1" si="7"/>
        <v>#NAME?</v>
      </c>
      <c r="Q32" s="9" t="e">
        <f t="shared" ca="1" si="8"/>
        <v>#NAME?</v>
      </c>
      <c r="R32" s="9" t="e">
        <f t="shared" ca="1" si="9"/>
        <v>#NAME?</v>
      </c>
    </row>
    <row r="33" spans="2:18" x14ac:dyDescent="0.25">
      <c r="B33" s="19" t="s">
        <v>51</v>
      </c>
      <c r="C33" s="43" t="s">
        <v>52</v>
      </c>
      <c r="D33" s="7" t="e">
        <f ca="1">_xll.xlqPrice(C33)</f>
        <v>#NAME?</v>
      </c>
      <c r="E33" s="10" t="e">
        <f t="shared" ca="1" si="0"/>
        <v>#NAME?</v>
      </c>
      <c r="F33" s="9" t="e">
        <f t="shared" ca="1" si="1"/>
        <v>#NAME?</v>
      </c>
      <c r="G33" s="8" t="e">
        <f t="shared" ca="1" si="2"/>
        <v>#NAME?</v>
      </c>
      <c r="H33" s="8" t="e">
        <f t="shared" ca="1" si="3"/>
        <v>#NAME?</v>
      </c>
      <c r="I33" s="8" t="e">
        <f t="shared" ca="1" si="4"/>
        <v>#NAME?</v>
      </c>
      <c r="J33" s="6" t="e">
        <f ca="1">_xll.xlqxhSMA($C33,$L$4,$J$7,$K$3)</f>
        <v>#NAME?</v>
      </c>
      <c r="K33" s="7" t="e">
        <f ca="1">_xll.xlqhClose($C33,K$8,$K$3)</f>
        <v>#NAME?</v>
      </c>
      <c r="L33" s="7" t="e">
        <f ca="1">_xll.xlqhClose($C33,L$8,$K$3)</f>
        <v>#NAME?</v>
      </c>
      <c r="N33" s="9" t="e">
        <f t="shared" ca="1" si="5"/>
        <v>#NAME?</v>
      </c>
      <c r="O33" s="9" t="e">
        <f t="shared" ca="1" si="6"/>
        <v>#NAME?</v>
      </c>
      <c r="P33" s="9" t="e">
        <f t="shared" ca="1" si="7"/>
        <v>#NAME?</v>
      </c>
      <c r="Q33" s="9" t="e">
        <f t="shared" ca="1" si="8"/>
        <v>#NAME?</v>
      </c>
      <c r="R33" s="9" t="e">
        <f t="shared" ca="1" si="9"/>
        <v>#NAME?</v>
      </c>
    </row>
    <row r="34" spans="2:18" x14ac:dyDescent="0.25">
      <c r="B34" s="42" t="s">
        <v>2351</v>
      </c>
      <c r="C34" s="43" t="s">
        <v>399</v>
      </c>
      <c r="D34" s="7" t="e">
        <f ca="1">_xll.xlqPrice(C34)</f>
        <v>#NAME?</v>
      </c>
      <c r="E34" s="10" t="e">
        <f t="shared" ca="1" si="0"/>
        <v>#NAME?</v>
      </c>
      <c r="F34" s="9" t="e">
        <f t="shared" ca="1" si="1"/>
        <v>#NAME?</v>
      </c>
      <c r="G34" s="8" t="e">
        <f t="shared" ca="1" si="2"/>
        <v>#NAME?</v>
      </c>
      <c r="H34" s="8" t="e">
        <f t="shared" ca="1" si="3"/>
        <v>#NAME?</v>
      </c>
      <c r="I34" s="8" t="e">
        <f t="shared" ca="1" si="4"/>
        <v>#NAME?</v>
      </c>
      <c r="J34" s="6" t="e">
        <f ca="1">_xll.xlqxhSMA($C34,$L$4,$J$7,$K$3)</f>
        <v>#NAME?</v>
      </c>
      <c r="K34" s="7" t="e">
        <f ca="1">_xll.xlqhClose($C34,K$8,$K$3)</f>
        <v>#NAME?</v>
      </c>
      <c r="L34" s="7" t="e">
        <f ca="1">_xll.xlqhClose($C34,L$8,$K$3)</f>
        <v>#NAME?</v>
      </c>
      <c r="N34" s="9" t="e">
        <f t="shared" ca="1" si="5"/>
        <v>#NAME?</v>
      </c>
      <c r="O34" s="9" t="e">
        <f t="shared" ca="1" si="6"/>
        <v>#NAME?</v>
      </c>
      <c r="P34" s="9" t="e">
        <f t="shared" ca="1" si="7"/>
        <v>#NAME?</v>
      </c>
      <c r="Q34" s="9" t="e">
        <f t="shared" ca="1" si="8"/>
        <v>#NAME?</v>
      </c>
      <c r="R34" s="9" t="e">
        <f t="shared" ca="1" si="9"/>
        <v>#NAME?</v>
      </c>
    </row>
    <row r="35" spans="2:18" x14ac:dyDescent="0.25">
      <c r="B35" s="19" t="s">
        <v>42</v>
      </c>
      <c r="C35" s="43" t="s">
        <v>19</v>
      </c>
      <c r="D35" s="7" t="e">
        <f ca="1">_xll.xlqPrice(C35)</f>
        <v>#NAME?</v>
      </c>
      <c r="E35" s="10" t="e">
        <f t="shared" ca="1" si="0"/>
        <v>#NAME?</v>
      </c>
      <c r="F35" s="9" t="e">
        <f t="shared" ca="1" si="1"/>
        <v>#NAME?</v>
      </c>
      <c r="G35" s="8" t="e">
        <f t="shared" ca="1" si="2"/>
        <v>#NAME?</v>
      </c>
      <c r="H35" s="8" t="e">
        <f t="shared" ca="1" si="3"/>
        <v>#NAME?</v>
      </c>
      <c r="I35" s="8" t="e">
        <f t="shared" ca="1" si="4"/>
        <v>#NAME?</v>
      </c>
      <c r="J35" s="6" t="e">
        <f ca="1">_xll.xlqxhSMA($C35,$L$4,$J$7,$K$3)</f>
        <v>#NAME?</v>
      </c>
      <c r="K35" s="7" t="e">
        <f ca="1">_xll.xlqhClose($C35,K$8,$K$3)</f>
        <v>#NAME?</v>
      </c>
      <c r="L35" s="7" t="e">
        <f ca="1">_xll.xlqhClose($C35,L$8,$K$3)</f>
        <v>#NAME?</v>
      </c>
      <c r="N35" s="9" t="e">
        <f t="shared" ca="1" si="5"/>
        <v>#NAME?</v>
      </c>
      <c r="O35" s="9" t="e">
        <f t="shared" ca="1" si="6"/>
        <v>#NAME?</v>
      </c>
      <c r="P35" s="9" t="e">
        <f t="shared" ca="1" si="7"/>
        <v>#NAME?</v>
      </c>
      <c r="Q35" s="9" t="e">
        <f t="shared" ca="1" si="8"/>
        <v>#NAME?</v>
      </c>
      <c r="R35" s="9" t="e">
        <f t="shared" ca="1" si="9"/>
        <v>#NAME?</v>
      </c>
    </row>
    <row r="36" spans="2:18" x14ac:dyDescent="0.25">
      <c r="B36" s="19" t="s">
        <v>44</v>
      </c>
      <c r="C36" s="43" t="s">
        <v>21</v>
      </c>
      <c r="D36" s="7" t="e">
        <f ca="1">_xll.xlqPrice(C36)</f>
        <v>#NAME?</v>
      </c>
      <c r="E36" s="10" t="e">
        <f t="shared" ca="1" si="0"/>
        <v>#NAME?</v>
      </c>
      <c r="F36" s="9" t="e">
        <f t="shared" ca="1" si="1"/>
        <v>#NAME?</v>
      </c>
      <c r="G36" s="8" t="e">
        <f t="shared" ca="1" si="2"/>
        <v>#NAME?</v>
      </c>
      <c r="H36" s="8" t="e">
        <f t="shared" ca="1" si="3"/>
        <v>#NAME?</v>
      </c>
      <c r="I36" s="8" t="e">
        <f t="shared" ca="1" si="4"/>
        <v>#NAME?</v>
      </c>
      <c r="J36" s="6" t="e">
        <f ca="1">_xll.xlqxhSMA($C36,$L$4,$J$7,$K$3)</f>
        <v>#NAME?</v>
      </c>
      <c r="K36" s="7" t="e">
        <f ca="1">_xll.xlqhClose($C36,K$8,$K$3)</f>
        <v>#NAME?</v>
      </c>
      <c r="L36" s="7" t="e">
        <f ca="1">_xll.xlqhClose($C36,L$8,$K$3)</f>
        <v>#NAME?</v>
      </c>
      <c r="N36" s="9" t="e">
        <f t="shared" ca="1" si="5"/>
        <v>#NAME?</v>
      </c>
      <c r="O36" s="9" t="e">
        <f t="shared" ca="1" si="6"/>
        <v>#NAME?</v>
      </c>
      <c r="P36" s="9" t="e">
        <f t="shared" ca="1" si="7"/>
        <v>#NAME?</v>
      </c>
      <c r="Q36" s="9" t="e">
        <f t="shared" ca="1" si="8"/>
        <v>#NAME?</v>
      </c>
      <c r="R36" s="9" t="e">
        <f t="shared" ca="1" si="9"/>
        <v>#NAME?</v>
      </c>
    </row>
    <row r="37" spans="2:18" x14ac:dyDescent="0.25">
      <c r="B37" s="7" t="s">
        <v>41</v>
      </c>
      <c r="C37" s="43" t="s">
        <v>18</v>
      </c>
      <c r="D37" s="7" t="e">
        <f ca="1">_xll.xlqPrice(C37)</f>
        <v>#NAME?</v>
      </c>
      <c r="E37" s="10" t="e">
        <f t="shared" ca="1" si="0"/>
        <v>#NAME?</v>
      </c>
      <c r="F37" s="9" t="e">
        <f t="shared" ca="1" si="1"/>
        <v>#NAME?</v>
      </c>
      <c r="G37" s="8" t="e">
        <f t="shared" ca="1" si="2"/>
        <v>#NAME?</v>
      </c>
      <c r="H37" s="8" t="e">
        <f t="shared" ca="1" si="3"/>
        <v>#NAME?</v>
      </c>
      <c r="I37" s="8" t="e">
        <f t="shared" ca="1" si="4"/>
        <v>#NAME?</v>
      </c>
      <c r="J37" s="6" t="e">
        <f ca="1">_xll.xlqxhSMA($C37,$L$4,$J$7,$K$3)</f>
        <v>#NAME?</v>
      </c>
      <c r="K37" s="7" t="e">
        <f ca="1">_xll.xlqhClose($C37,K$8,$K$3)</f>
        <v>#NAME?</v>
      </c>
      <c r="L37" s="7" t="e">
        <f ca="1">_xll.xlqhClose($C37,L$8,$K$3)</f>
        <v>#NAME?</v>
      </c>
      <c r="N37" s="9" t="e">
        <f t="shared" ca="1" si="5"/>
        <v>#NAME?</v>
      </c>
      <c r="O37" s="9" t="e">
        <f t="shared" ca="1" si="6"/>
        <v>#NAME?</v>
      </c>
      <c r="P37" s="9" t="e">
        <f t="shared" ca="1" si="7"/>
        <v>#NAME?</v>
      </c>
      <c r="Q37" s="9" t="e">
        <f t="shared" ca="1" si="8"/>
        <v>#NAME?</v>
      </c>
      <c r="R37" s="9" t="e">
        <f t="shared" ca="1" si="9"/>
        <v>#NAME?</v>
      </c>
    </row>
    <row r="38" spans="2:18" x14ac:dyDescent="0.25">
      <c r="B38" s="7" t="s">
        <v>69</v>
      </c>
      <c r="C38" s="43" t="s">
        <v>70</v>
      </c>
      <c r="D38" s="7" t="e">
        <f ca="1">_xll.xlqPrice(C38)</f>
        <v>#NAME?</v>
      </c>
      <c r="E38" s="10" t="e">
        <f t="shared" ca="1" si="0"/>
        <v>#NAME?</v>
      </c>
      <c r="F38" s="9" t="e">
        <f t="shared" ca="1" si="1"/>
        <v>#NAME?</v>
      </c>
      <c r="G38" s="8" t="e">
        <f t="shared" ca="1" si="2"/>
        <v>#NAME?</v>
      </c>
      <c r="H38" s="8" t="e">
        <f t="shared" ca="1" si="3"/>
        <v>#NAME?</v>
      </c>
      <c r="I38" s="8" t="e">
        <f t="shared" ca="1" si="4"/>
        <v>#NAME?</v>
      </c>
      <c r="J38" s="6" t="e">
        <f ca="1">_xll.xlqxhSMA($C38,$L$4,$J$7,$K$3)</f>
        <v>#NAME?</v>
      </c>
      <c r="K38" s="7" t="e">
        <f ca="1">_xll.xlqhClose($C38,K$8,$K$3)</f>
        <v>#NAME?</v>
      </c>
      <c r="L38" s="7" t="e">
        <f ca="1">_xll.xlqhClose($C38,L$8,$K$3)</f>
        <v>#NAME?</v>
      </c>
      <c r="N38" s="9" t="e">
        <f t="shared" ca="1" si="5"/>
        <v>#NAME?</v>
      </c>
      <c r="O38" s="9" t="e">
        <f t="shared" ca="1" si="6"/>
        <v>#NAME?</v>
      </c>
      <c r="P38" s="9" t="e">
        <f t="shared" ca="1" si="7"/>
        <v>#NAME?</v>
      </c>
      <c r="Q38" s="9" t="e">
        <f t="shared" ca="1" si="8"/>
        <v>#NAME?</v>
      </c>
      <c r="R38" s="9" t="e">
        <f t="shared" ca="1" si="9"/>
        <v>#NAME?</v>
      </c>
    </row>
    <row r="39" spans="2:18" x14ac:dyDescent="0.25">
      <c r="B39" s="7" t="s">
        <v>59</v>
      </c>
      <c r="C39" s="43" t="s">
        <v>60</v>
      </c>
      <c r="D39" s="7" t="e">
        <f ca="1">_xll.xlqPrice(C39)</f>
        <v>#NAME?</v>
      </c>
      <c r="E39" s="10" t="e">
        <f t="shared" ca="1" si="0"/>
        <v>#NAME?</v>
      </c>
      <c r="F39" s="9" t="e">
        <f t="shared" ca="1" si="1"/>
        <v>#NAME?</v>
      </c>
      <c r="G39" s="8" t="e">
        <f t="shared" ca="1" si="2"/>
        <v>#NAME?</v>
      </c>
      <c r="H39" s="8" t="e">
        <f t="shared" ca="1" si="3"/>
        <v>#NAME?</v>
      </c>
      <c r="I39" s="8" t="e">
        <f t="shared" ca="1" si="4"/>
        <v>#NAME?</v>
      </c>
      <c r="J39" s="6" t="e">
        <f ca="1">_xll.xlqxhSMA($C39,$L$4,$J$7,$K$3)</f>
        <v>#NAME?</v>
      </c>
      <c r="K39" s="7" t="e">
        <f ca="1">_xll.xlqhClose($C39,K$8,$K$3)</f>
        <v>#NAME?</v>
      </c>
      <c r="L39" s="7" t="e">
        <f ca="1">_xll.xlqhClose($C39,L$8,$K$3)</f>
        <v>#NAME?</v>
      </c>
      <c r="N39" s="9" t="e">
        <f t="shared" ca="1" si="5"/>
        <v>#NAME?</v>
      </c>
      <c r="O39" s="9" t="e">
        <f t="shared" ca="1" si="6"/>
        <v>#NAME?</v>
      </c>
      <c r="P39" s="9" t="e">
        <f t="shared" ca="1" si="7"/>
        <v>#NAME?</v>
      </c>
      <c r="Q39" s="9" t="e">
        <f t="shared" ca="1" si="8"/>
        <v>#NAME?</v>
      </c>
      <c r="R39" s="9" t="e">
        <f t="shared" ca="1" si="9"/>
        <v>#NAME?</v>
      </c>
    </row>
    <row r="40" spans="2:18" x14ac:dyDescent="0.25">
      <c r="B40" s="7" t="s">
        <v>57</v>
      </c>
      <c r="C40" s="43" t="s">
        <v>58</v>
      </c>
      <c r="D40" s="7" t="e">
        <f ca="1">_xll.xlqPrice(C40)</f>
        <v>#NAME?</v>
      </c>
      <c r="E40" s="10" t="e">
        <f t="shared" ca="1" si="0"/>
        <v>#NAME?</v>
      </c>
      <c r="F40" s="9" t="e">
        <f t="shared" ca="1" si="1"/>
        <v>#NAME?</v>
      </c>
      <c r="G40" s="8" t="e">
        <f t="shared" ca="1" si="2"/>
        <v>#NAME?</v>
      </c>
      <c r="H40" s="8" t="e">
        <f t="shared" ca="1" si="3"/>
        <v>#NAME?</v>
      </c>
      <c r="I40" s="8" t="e">
        <f t="shared" ca="1" si="4"/>
        <v>#NAME?</v>
      </c>
      <c r="J40" s="6" t="e">
        <f ca="1">_xll.xlqxhSMA($C40,$L$4,$J$7,$K$3)</f>
        <v>#NAME?</v>
      </c>
      <c r="K40" s="7" t="e">
        <f ca="1">_xll.xlqhClose($C40,K$8,$K$3)</f>
        <v>#NAME?</v>
      </c>
      <c r="L40" s="7" t="e">
        <f ca="1">_xll.xlqhClose($C40,L$8,$K$3)</f>
        <v>#NAME?</v>
      </c>
      <c r="N40" s="9" t="e">
        <f t="shared" ca="1" si="5"/>
        <v>#NAME?</v>
      </c>
      <c r="O40" s="9" t="e">
        <f t="shared" ca="1" si="6"/>
        <v>#NAME?</v>
      </c>
      <c r="P40" s="9" t="e">
        <f t="shared" ca="1" si="7"/>
        <v>#NAME?</v>
      </c>
      <c r="Q40" s="9" t="e">
        <f t="shared" ca="1" si="8"/>
        <v>#NAME?</v>
      </c>
      <c r="R40" s="9" t="e">
        <f t="shared" ca="1" si="9"/>
        <v>#NAME?</v>
      </c>
    </row>
    <row r="41" spans="2:18" x14ac:dyDescent="0.25">
      <c r="B41" s="7" t="s">
        <v>46</v>
      </c>
      <c r="C41" s="43" t="s">
        <v>25</v>
      </c>
      <c r="D41" s="7" t="e">
        <f ca="1">_xll.xlqPrice(C41)</f>
        <v>#NAME?</v>
      </c>
      <c r="E41" s="10" t="e">
        <f t="shared" ca="1" si="0"/>
        <v>#NAME?</v>
      </c>
      <c r="F41" s="9" t="e">
        <f t="shared" ca="1" si="1"/>
        <v>#NAME?</v>
      </c>
      <c r="G41" s="8" t="e">
        <f t="shared" ca="1" si="2"/>
        <v>#NAME?</v>
      </c>
      <c r="H41" s="8" t="e">
        <f t="shared" ca="1" si="3"/>
        <v>#NAME?</v>
      </c>
      <c r="I41" s="8" t="e">
        <f t="shared" ca="1" si="4"/>
        <v>#NAME?</v>
      </c>
      <c r="J41" s="6" t="e">
        <f ca="1">_xll.xlqxhSMA($C41,$L$4,$J$7,$K$3)</f>
        <v>#NAME?</v>
      </c>
      <c r="K41" s="7" t="e">
        <f ca="1">_xll.xlqhClose($C41,K$8,$K$3)</f>
        <v>#NAME?</v>
      </c>
      <c r="L41" s="7" t="e">
        <f ca="1">_xll.xlqhClose($C41,L$8,$K$3)</f>
        <v>#NAME?</v>
      </c>
      <c r="N41" s="9" t="e">
        <f t="shared" ca="1" si="5"/>
        <v>#NAME?</v>
      </c>
      <c r="O41" s="9" t="e">
        <f t="shared" ca="1" si="6"/>
        <v>#NAME?</v>
      </c>
      <c r="P41" s="9" t="e">
        <f t="shared" ca="1" si="7"/>
        <v>#NAME?</v>
      </c>
      <c r="Q41" s="9" t="e">
        <f t="shared" ca="1" si="8"/>
        <v>#NAME?</v>
      </c>
      <c r="R41" s="9" t="e">
        <f t="shared" ca="1" si="9"/>
        <v>#NAME?</v>
      </c>
    </row>
    <row r="42" spans="2:18" x14ac:dyDescent="0.25">
      <c r="B42" s="7" t="s">
        <v>53</v>
      </c>
      <c r="C42" s="43" t="s">
        <v>54</v>
      </c>
      <c r="D42" s="7" t="e">
        <f ca="1">_xll.xlqPrice(C42)</f>
        <v>#NAME?</v>
      </c>
      <c r="E42" s="10" t="e">
        <f t="shared" ca="1" si="0"/>
        <v>#NAME?</v>
      </c>
      <c r="F42" s="9" t="e">
        <f t="shared" ca="1" si="1"/>
        <v>#NAME?</v>
      </c>
      <c r="G42" s="8" t="e">
        <f t="shared" ca="1" si="2"/>
        <v>#NAME?</v>
      </c>
      <c r="H42" s="8" t="e">
        <f t="shared" ca="1" si="3"/>
        <v>#NAME?</v>
      </c>
      <c r="I42" s="8" t="e">
        <f t="shared" ca="1" si="4"/>
        <v>#NAME?</v>
      </c>
      <c r="J42" s="6" t="e">
        <f ca="1">_xll.xlqxhSMA($C42,$L$4,$J$7,$K$3)</f>
        <v>#NAME?</v>
      </c>
      <c r="K42" s="7" t="e">
        <f ca="1">_xll.xlqhClose($C42,K$8,$K$3)</f>
        <v>#NAME?</v>
      </c>
      <c r="L42" s="7" t="e">
        <f ca="1">_xll.xlqhClose($C42,L$8,$K$3)</f>
        <v>#NAME?</v>
      </c>
      <c r="N42" s="9" t="e">
        <f t="shared" ca="1" si="5"/>
        <v>#NAME?</v>
      </c>
      <c r="O42" s="9" t="e">
        <f t="shared" ca="1" si="6"/>
        <v>#NAME?</v>
      </c>
      <c r="P42" s="9" t="e">
        <f t="shared" ca="1" si="7"/>
        <v>#NAME?</v>
      </c>
      <c r="Q42" s="9" t="e">
        <f t="shared" ca="1" si="8"/>
        <v>#NAME?</v>
      </c>
      <c r="R42" s="9" t="e">
        <f t="shared" ca="1" si="9"/>
        <v>#NAME?</v>
      </c>
    </row>
  </sheetData>
  <autoFilter ref="B10:R36">
    <sortState ref="B11:R42">
      <sortCondition ref="F10:F36"/>
    </sortState>
  </autoFilter>
  <mergeCells count="4">
    <mergeCell ref="J6:L6"/>
    <mergeCell ref="G9:I9"/>
    <mergeCell ref="J9:L9"/>
    <mergeCell ref="N9:R9"/>
  </mergeCells>
  <conditionalFormatting sqref="E11:E42">
    <cfRule type="containsText" dxfId="23" priority="3" operator="containsText" text="Cash">
      <formula>NOT(ISERROR(SEARCH("Cash",E11)))</formula>
    </cfRule>
    <cfRule type="containsText" dxfId="22" priority="4" operator="containsText" text="Buy">
      <formula>NOT(ISERROR(SEARCH("Buy",E11)))</formula>
    </cfRule>
  </conditionalFormatting>
  <conditionalFormatting sqref="G11:I42">
    <cfRule type="cellIs" dxfId="21" priority="1" operator="greaterThan">
      <formula>0</formula>
    </cfRule>
    <cfRule type="cellIs" dxfId="20" priority="2" operator="lessThan">
      <formula>0</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0"/>
  <sheetViews>
    <sheetView topLeftCell="A4" workbookViewId="0">
      <selection activeCell="B8" sqref="B8"/>
    </sheetView>
  </sheetViews>
  <sheetFormatPr defaultRowHeight="15" x14ac:dyDescent="0.25"/>
  <cols>
    <col min="2" max="2" width="35.5703125" customWidth="1"/>
    <col min="3" max="5" width="12.42578125" customWidth="1"/>
    <col min="6" max="6" width="8.85546875" customWidth="1"/>
    <col min="7" max="12" width="12.42578125" customWidth="1"/>
    <col min="13" max="13" width="3.85546875" customWidth="1"/>
  </cols>
  <sheetData>
    <row r="1" spans="1:18" x14ac:dyDescent="0.25">
      <c r="F1" s="7" t="s">
        <v>136</v>
      </c>
      <c r="G1" s="25" t="e">
        <f ca="1">MAX(G$11:G$40)</f>
        <v>#NAME?</v>
      </c>
      <c r="H1" s="25" t="e">
        <f ca="1">MAX(H$11:H$40)</f>
        <v>#NAME?</v>
      </c>
      <c r="I1" s="25" t="e">
        <f ca="1">MAX(I$11:I$40)</f>
        <v>#NAME?</v>
      </c>
    </row>
    <row r="2" spans="1:18" x14ac:dyDescent="0.25">
      <c r="F2" s="26" t="s">
        <v>137</v>
      </c>
      <c r="G2" s="25" t="e">
        <f ca="1">G3+G6</f>
        <v>#NAME?</v>
      </c>
      <c r="H2" s="25" t="e">
        <f ca="1">H3+H6</f>
        <v>#NAME?</v>
      </c>
      <c r="I2" s="25" t="e">
        <f ca="1">I3+I6</f>
        <v>#NAME?</v>
      </c>
      <c r="K2" s="2" t="s">
        <v>13</v>
      </c>
    </row>
    <row r="3" spans="1:18" x14ac:dyDescent="0.25">
      <c r="F3" s="7" t="s">
        <v>138</v>
      </c>
      <c r="G3" s="25" t="e">
        <f ca="1">AVERAGE(G$11:G$40)</f>
        <v>#NAME?</v>
      </c>
      <c r="H3" s="25" t="e">
        <f ca="1">AVERAGE(H$11:H$40)</f>
        <v>#NAME?</v>
      </c>
      <c r="I3" s="25" t="e">
        <f ca="1">AVERAGE(I$11:I$40)</f>
        <v>#NAME?</v>
      </c>
      <c r="K3" s="4" t="s">
        <v>12</v>
      </c>
    </row>
    <row r="4" spans="1:18" x14ac:dyDescent="0.25">
      <c r="F4" s="7" t="s">
        <v>139</v>
      </c>
      <c r="G4" s="25" t="e">
        <f ca="1">G3-G6</f>
        <v>#NAME?</v>
      </c>
      <c r="H4" s="25" t="e">
        <f ca="1">H3-H6</f>
        <v>#NAME?</v>
      </c>
      <c r="I4" s="25" t="e">
        <f ca="1">I3-I6</f>
        <v>#NAME?</v>
      </c>
      <c r="K4" s="2" t="s">
        <v>10</v>
      </c>
      <c r="L4">
        <v>0</v>
      </c>
    </row>
    <row r="5" spans="1:18" x14ac:dyDescent="0.25">
      <c r="F5" s="7" t="s">
        <v>140</v>
      </c>
      <c r="G5" s="25" t="e">
        <f ca="1">MIN(G$11:G$40)</f>
        <v>#NAME?</v>
      </c>
      <c r="H5" s="25" t="e">
        <f ca="1">MIN(H$11:H$40)</f>
        <v>#NAME?</v>
      </c>
      <c r="I5" s="25" t="e">
        <f ca="1">MIN(I$11:I$40)</f>
        <v>#NAME?</v>
      </c>
      <c r="K5" s="3">
        <f ca="1">TODAY()</f>
        <v>41738</v>
      </c>
    </row>
    <row r="6" spans="1:18" x14ac:dyDescent="0.25">
      <c r="F6" s="7" t="s">
        <v>141</v>
      </c>
      <c r="G6" s="25" t="e">
        <f ca="1">STDEV(G$11:G$40)</f>
        <v>#NAME?</v>
      </c>
      <c r="H6" s="25" t="e">
        <f ca="1">STDEV(H$11:H$40)</f>
        <v>#NAME?</v>
      </c>
      <c r="I6" s="25" t="e">
        <f ca="1">STDEV(I$11:I$40)</f>
        <v>#NAME?</v>
      </c>
      <c r="J6" s="54" t="s">
        <v>11</v>
      </c>
      <c r="K6" s="50"/>
      <c r="L6" s="50"/>
    </row>
    <row r="7" spans="1:18" x14ac:dyDescent="0.25">
      <c r="J7" s="1">
        <v>44</v>
      </c>
      <c r="K7" s="1">
        <v>-66</v>
      </c>
      <c r="L7" s="1">
        <v>-132</v>
      </c>
    </row>
    <row r="8" spans="1:18" x14ac:dyDescent="0.25">
      <c r="G8" s="11">
        <v>0.7</v>
      </c>
      <c r="H8" s="11">
        <v>0.3</v>
      </c>
      <c r="J8" s="3">
        <f ca="1">$K$5-J7</f>
        <v>41694</v>
      </c>
      <c r="K8" s="3" t="e">
        <f ca="1">_xll.xlqhDate("SPY",K$7,$K$3)</f>
        <v>#NAME?</v>
      </c>
      <c r="L8" s="3" t="e">
        <f ca="1">_xll.xlqhDate("SPY",L$7,$K$3)</f>
        <v>#NAME?</v>
      </c>
    </row>
    <row r="9" spans="1:18" x14ac:dyDescent="0.25">
      <c r="C9" s="13"/>
      <c r="D9" s="13"/>
      <c r="E9" s="13"/>
      <c r="F9" s="13"/>
      <c r="G9" s="51" t="s">
        <v>33</v>
      </c>
      <c r="H9" s="51"/>
      <c r="I9" s="51"/>
      <c r="J9" s="52" t="s">
        <v>34</v>
      </c>
      <c r="K9" s="52"/>
      <c r="L9" s="52"/>
      <c r="N9" s="53" t="s">
        <v>48</v>
      </c>
      <c r="O9" s="53"/>
      <c r="P9" s="53"/>
      <c r="Q9" s="53"/>
      <c r="R9" s="53"/>
    </row>
    <row r="10" spans="1:18" ht="15.75" thickBot="1" x14ac:dyDescent="0.3">
      <c r="A10" s="17"/>
      <c r="B10" s="12" t="s">
        <v>0</v>
      </c>
      <c r="C10" s="20" t="s">
        <v>1</v>
      </c>
      <c r="D10" s="14" t="s">
        <v>2</v>
      </c>
      <c r="E10" s="14" t="s">
        <v>26</v>
      </c>
      <c r="F10" s="14" t="s">
        <v>31</v>
      </c>
      <c r="G10" s="15" t="s">
        <v>4</v>
      </c>
      <c r="H10" s="15" t="s">
        <v>3</v>
      </c>
      <c r="I10" s="15" t="s">
        <v>5</v>
      </c>
      <c r="J10" s="16" t="s">
        <v>6</v>
      </c>
      <c r="K10" s="16" t="s">
        <v>8</v>
      </c>
      <c r="L10" s="16" t="s">
        <v>7</v>
      </c>
      <c r="N10" s="22" t="s">
        <v>29</v>
      </c>
      <c r="O10" s="22" t="s">
        <v>30</v>
      </c>
      <c r="P10" s="22" t="s">
        <v>28</v>
      </c>
      <c r="Q10" s="22" t="s">
        <v>27</v>
      </c>
      <c r="R10" s="22" t="s">
        <v>32</v>
      </c>
    </row>
    <row r="11" spans="1:18" x14ac:dyDescent="0.25">
      <c r="A11" s="18"/>
      <c r="B11" s="23" t="s">
        <v>78</v>
      </c>
      <c r="C11" s="24" t="s">
        <v>79</v>
      </c>
      <c r="D11" s="7" t="e">
        <f ca="1">_xll.xlqPrice(C11)</f>
        <v>#NAME?</v>
      </c>
      <c r="E11" s="9" t="e">
        <f t="shared" ref="E11:E40" ca="1" si="0">IF(D11&gt;J11, "Buy","Cash")</f>
        <v>#NAME?</v>
      </c>
      <c r="F11" s="9" t="e">
        <f t="shared" ref="F11:F40" ca="1" si="1">RANK(I11,$I$11:$I$40,0)</f>
        <v>#NAME?</v>
      </c>
      <c r="G11" s="8" t="e">
        <f t="shared" ref="G11:G40" ca="1" si="2">($D11-K11)/K11</f>
        <v>#NAME?</v>
      </c>
      <c r="H11" s="8" t="e">
        <f t="shared" ref="H11:H40" ca="1" si="3">($D11-L11)/L11</f>
        <v>#NAME?</v>
      </c>
      <c r="I11" s="8" t="e">
        <f t="shared" ref="I11:I40" ca="1" si="4">(G11*$G$8) +(H11*$H$8)</f>
        <v>#NAME?</v>
      </c>
      <c r="J11" s="6" t="e">
        <f ca="1">_xll.xlqxhSMA($C11,$L$4,$J$7,$K$3)</f>
        <v>#NAME?</v>
      </c>
      <c r="K11" s="7" t="e">
        <f ca="1">_xll.xlqhClose($C11,K$8,$K$3)</f>
        <v>#NAME?</v>
      </c>
      <c r="L11" s="7" t="e">
        <f ca="1">_xll.xlqhClose($C11,L$8,$K$3)</f>
        <v>#NAME?</v>
      </c>
      <c r="N11" s="9" t="e">
        <f t="shared" ref="N11:N40" ca="1" si="5">RANK($G11,G$11:G$40,0)</f>
        <v>#NAME?</v>
      </c>
      <c r="O11" s="9" t="e">
        <f t="shared" ref="O11:O40" ca="1" si="6">RANK($H11,H$11:H$40,0)</f>
        <v>#NAME?</v>
      </c>
      <c r="P11" s="9" t="e">
        <f t="shared" ref="P11:P40" ca="1" si="7">(N11*$G$8)+(O11*$H$8)</f>
        <v>#NAME?</v>
      </c>
      <c r="Q11" s="9" t="e">
        <f t="shared" ref="Q11:Q40" ca="1" si="8">RANK($P11,P$11:P$40,1)</f>
        <v>#NAME?</v>
      </c>
      <c r="R11" s="9" t="e">
        <f t="shared" ref="R11:R40" ca="1" si="9">F11-Q11</f>
        <v>#NAME?</v>
      </c>
    </row>
    <row r="12" spans="1:18" x14ac:dyDescent="0.25">
      <c r="A12" s="18"/>
      <c r="B12" s="19" t="s">
        <v>94</v>
      </c>
      <c r="C12" s="5" t="s">
        <v>95</v>
      </c>
      <c r="D12" s="7" t="e">
        <f ca="1">_xll.xlqPrice(C12)</f>
        <v>#NAME?</v>
      </c>
      <c r="E12" s="9" t="e">
        <f t="shared" ca="1" si="0"/>
        <v>#NAME?</v>
      </c>
      <c r="F12" s="9" t="e">
        <f t="shared" ca="1" si="1"/>
        <v>#NAME?</v>
      </c>
      <c r="G12" s="8" t="e">
        <f t="shared" ca="1" si="2"/>
        <v>#NAME?</v>
      </c>
      <c r="H12" s="8" t="e">
        <f t="shared" ca="1" si="3"/>
        <v>#NAME?</v>
      </c>
      <c r="I12" s="8" t="e">
        <f t="shared" ca="1" si="4"/>
        <v>#NAME?</v>
      </c>
      <c r="J12" s="6" t="e">
        <f ca="1">_xll.xlqxhSMA($C12,$L$4,$J$7,$K$3)</f>
        <v>#NAME?</v>
      </c>
      <c r="K12" s="7" t="e">
        <f ca="1">_xll.xlqhClose($C12,K$8,$K$3)</f>
        <v>#NAME?</v>
      </c>
      <c r="L12" s="7" t="e">
        <f ca="1">_xll.xlqhClose($C12,L$8,$K$3)</f>
        <v>#NAME?</v>
      </c>
      <c r="N12" s="9" t="e">
        <f t="shared" ca="1" si="5"/>
        <v>#NAME?</v>
      </c>
      <c r="O12" s="9" t="e">
        <f t="shared" ca="1" si="6"/>
        <v>#NAME?</v>
      </c>
      <c r="P12" s="9" t="e">
        <f t="shared" ca="1" si="7"/>
        <v>#NAME?</v>
      </c>
      <c r="Q12" s="9" t="e">
        <f t="shared" ca="1" si="8"/>
        <v>#NAME?</v>
      </c>
      <c r="R12" s="9" t="e">
        <f t="shared" ca="1" si="9"/>
        <v>#NAME?</v>
      </c>
    </row>
    <row r="13" spans="1:18" x14ac:dyDescent="0.25">
      <c r="A13" s="18"/>
      <c r="B13" s="19" t="s">
        <v>100</v>
      </c>
      <c r="C13" s="5" t="s">
        <v>101</v>
      </c>
      <c r="D13" s="7" t="e">
        <f ca="1">_xll.xlqPrice(C13)</f>
        <v>#NAME?</v>
      </c>
      <c r="E13" s="9" t="e">
        <f t="shared" ca="1" si="0"/>
        <v>#NAME?</v>
      </c>
      <c r="F13" s="9" t="e">
        <f t="shared" ca="1" si="1"/>
        <v>#NAME?</v>
      </c>
      <c r="G13" s="8" t="e">
        <f t="shared" ca="1" si="2"/>
        <v>#NAME?</v>
      </c>
      <c r="H13" s="8" t="e">
        <f t="shared" ca="1" si="3"/>
        <v>#NAME?</v>
      </c>
      <c r="I13" s="8" t="e">
        <f t="shared" ca="1" si="4"/>
        <v>#NAME?</v>
      </c>
      <c r="J13" s="6" t="e">
        <f ca="1">_xll.xlqxhSMA($C13,$L$4,$J$7,$K$3)</f>
        <v>#NAME?</v>
      </c>
      <c r="K13" s="7" t="e">
        <f ca="1">_xll.xlqhClose($C13,K$8,$K$3)</f>
        <v>#NAME?</v>
      </c>
      <c r="L13" s="7" t="e">
        <f ca="1">_xll.xlqhClose($C13,L$8,$K$3)</f>
        <v>#NAME?</v>
      </c>
      <c r="N13" s="9" t="e">
        <f t="shared" ca="1" si="5"/>
        <v>#NAME?</v>
      </c>
      <c r="O13" s="9" t="e">
        <f t="shared" ca="1" si="6"/>
        <v>#NAME?</v>
      </c>
      <c r="P13" s="9" t="e">
        <f t="shared" ca="1" si="7"/>
        <v>#NAME?</v>
      </c>
      <c r="Q13" s="9" t="e">
        <f t="shared" ca="1" si="8"/>
        <v>#NAME?</v>
      </c>
      <c r="R13" s="9" t="e">
        <f t="shared" ca="1" si="9"/>
        <v>#NAME?</v>
      </c>
    </row>
    <row r="14" spans="1:18" x14ac:dyDescent="0.25">
      <c r="A14" s="18"/>
      <c r="B14" s="19" t="s">
        <v>116</v>
      </c>
      <c r="C14" s="5" t="s">
        <v>117</v>
      </c>
      <c r="D14" s="7" t="e">
        <f ca="1">_xll.xlqPrice(C14)</f>
        <v>#NAME?</v>
      </c>
      <c r="E14" s="9" t="e">
        <f t="shared" ca="1" si="0"/>
        <v>#NAME?</v>
      </c>
      <c r="F14" s="9" t="e">
        <f t="shared" ca="1" si="1"/>
        <v>#NAME?</v>
      </c>
      <c r="G14" s="8" t="e">
        <f t="shared" ca="1" si="2"/>
        <v>#NAME?</v>
      </c>
      <c r="H14" s="8" t="e">
        <f t="shared" ca="1" si="3"/>
        <v>#NAME?</v>
      </c>
      <c r="I14" s="8" t="e">
        <f t="shared" ca="1" si="4"/>
        <v>#NAME?</v>
      </c>
      <c r="J14" s="6" t="e">
        <f ca="1">_xll.xlqxhSMA($C14,$L$4,$J$7,$K$3)</f>
        <v>#NAME?</v>
      </c>
      <c r="K14" s="7" t="e">
        <f ca="1">_xll.xlqhClose($C14,K$8,$K$3)</f>
        <v>#NAME?</v>
      </c>
      <c r="L14" s="7" t="e">
        <f ca="1">_xll.xlqhClose($C14,L$8,$K$3)</f>
        <v>#NAME?</v>
      </c>
      <c r="N14" s="9" t="e">
        <f t="shared" ca="1" si="5"/>
        <v>#NAME?</v>
      </c>
      <c r="O14" s="9" t="e">
        <f t="shared" ca="1" si="6"/>
        <v>#NAME?</v>
      </c>
      <c r="P14" s="9" t="e">
        <f t="shared" ca="1" si="7"/>
        <v>#NAME?</v>
      </c>
      <c r="Q14" s="9" t="e">
        <f t="shared" ca="1" si="8"/>
        <v>#NAME?</v>
      </c>
      <c r="R14" s="9" t="e">
        <f t="shared" ca="1" si="9"/>
        <v>#NAME?</v>
      </c>
    </row>
    <row r="15" spans="1:18" x14ac:dyDescent="0.25">
      <c r="A15" s="18"/>
      <c r="B15" s="19" t="s">
        <v>86</v>
      </c>
      <c r="C15" s="5" t="s">
        <v>87</v>
      </c>
      <c r="D15" s="7" t="e">
        <f ca="1">_xll.xlqPrice(C15)</f>
        <v>#NAME?</v>
      </c>
      <c r="E15" s="9" t="e">
        <f t="shared" ca="1" si="0"/>
        <v>#NAME?</v>
      </c>
      <c r="F15" s="9" t="e">
        <f t="shared" ca="1" si="1"/>
        <v>#NAME?</v>
      </c>
      <c r="G15" s="8" t="e">
        <f t="shared" ca="1" si="2"/>
        <v>#NAME?</v>
      </c>
      <c r="H15" s="8" t="e">
        <f t="shared" ca="1" si="3"/>
        <v>#NAME?</v>
      </c>
      <c r="I15" s="8" t="e">
        <f t="shared" ca="1" si="4"/>
        <v>#NAME?</v>
      </c>
      <c r="J15" s="6" t="e">
        <f ca="1">_xll.xlqxhSMA($C15,$L$4,$J$7,$K$3)</f>
        <v>#NAME?</v>
      </c>
      <c r="K15" s="7" t="e">
        <f ca="1">_xll.xlqhClose($C15,K$8,$K$3)</f>
        <v>#NAME?</v>
      </c>
      <c r="L15" s="7" t="e">
        <f ca="1">_xll.xlqhClose($C15,L$8,$K$3)</f>
        <v>#NAME?</v>
      </c>
      <c r="N15" s="9" t="e">
        <f t="shared" ca="1" si="5"/>
        <v>#NAME?</v>
      </c>
      <c r="O15" s="9" t="e">
        <f t="shared" ca="1" si="6"/>
        <v>#NAME?</v>
      </c>
      <c r="P15" s="9" t="e">
        <f t="shared" ca="1" si="7"/>
        <v>#NAME?</v>
      </c>
      <c r="Q15" s="9" t="e">
        <f t="shared" ca="1" si="8"/>
        <v>#NAME?</v>
      </c>
      <c r="R15" s="9" t="e">
        <f t="shared" ca="1" si="9"/>
        <v>#NAME?</v>
      </c>
    </row>
    <row r="16" spans="1:18" x14ac:dyDescent="0.25">
      <c r="A16" s="18"/>
      <c r="B16" s="19" t="s">
        <v>80</v>
      </c>
      <c r="C16" s="5" t="s">
        <v>81</v>
      </c>
      <c r="D16" s="7" t="e">
        <f ca="1">_xll.xlqPrice(C16)</f>
        <v>#NAME?</v>
      </c>
      <c r="E16" s="9" t="e">
        <f t="shared" ca="1" si="0"/>
        <v>#NAME?</v>
      </c>
      <c r="F16" s="9" t="e">
        <f t="shared" ca="1" si="1"/>
        <v>#NAME?</v>
      </c>
      <c r="G16" s="8" t="e">
        <f t="shared" ca="1" si="2"/>
        <v>#NAME?</v>
      </c>
      <c r="H16" s="8" t="e">
        <f t="shared" ca="1" si="3"/>
        <v>#NAME?</v>
      </c>
      <c r="I16" s="8" t="e">
        <f t="shared" ca="1" si="4"/>
        <v>#NAME?</v>
      </c>
      <c r="J16" s="6" t="e">
        <f ca="1">_xll.xlqxhSMA($C16,$L$4,$J$7,$K$3)</f>
        <v>#NAME?</v>
      </c>
      <c r="K16" s="7" t="e">
        <f ca="1">_xll.xlqhClose($C16,K$8,$K$3)</f>
        <v>#NAME?</v>
      </c>
      <c r="L16" s="7" t="e">
        <f ca="1">_xll.xlqhClose($C16,L$8,$K$3)</f>
        <v>#NAME?</v>
      </c>
      <c r="N16" s="9" t="e">
        <f t="shared" ca="1" si="5"/>
        <v>#NAME?</v>
      </c>
      <c r="O16" s="9" t="e">
        <f t="shared" ca="1" si="6"/>
        <v>#NAME?</v>
      </c>
      <c r="P16" s="9" t="e">
        <f t="shared" ca="1" si="7"/>
        <v>#NAME?</v>
      </c>
      <c r="Q16" s="9" t="e">
        <f t="shared" ca="1" si="8"/>
        <v>#NAME?</v>
      </c>
      <c r="R16" s="9" t="e">
        <f t="shared" ca="1" si="9"/>
        <v>#NAME?</v>
      </c>
    </row>
    <row r="17" spans="1:18" x14ac:dyDescent="0.25">
      <c r="A17" s="18"/>
      <c r="B17" s="19" t="s">
        <v>84</v>
      </c>
      <c r="C17" s="5" t="s">
        <v>85</v>
      </c>
      <c r="D17" s="7" t="e">
        <f ca="1">_xll.xlqPrice(C17)</f>
        <v>#NAME?</v>
      </c>
      <c r="E17" s="9" t="e">
        <f t="shared" ca="1" si="0"/>
        <v>#NAME?</v>
      </c>
      <c r="F17" s="9" t="e">
        <f t="shared" ca="1" si="1"/>
        <v>#NAME?</v>
      </c>
      <c r="G17" s="8" t="e">
        <f t="shared" ca="1" si="2"/>
        <v>#NAME?</v>
      </c>
      <c r="H17" s="8" t="e">
        <f t="shared" ca="1" si="3"/>
        <v>#NAME?</v>
      </c>
      <c r="I17" s="8" t="e">
        <f t="shared" ca="1" si="4"/>
        <v>#NAME?</v>
      </c>
      <c r="J17" s="6" t="e">
        <f ca="1">_xll.xlqxhSMA($C17,$L$4,$J$7,$K$3)</f>
        <v>#NAME?</v>
      </c>
      <c r="K17" s="7" t="e">
        <f ca="1">_xll.xlqhClose($C17,K$8,$K$3)</f>
        <v>#NAME?</v>
      </c>
      <c r="L17" s="7" t="e">
        <f ca="1">_xll.xlqhClose($C17,L$8,$K$3)</f>
        <v>#NAME?</v>
      </c>
      <c r="N17" s="9" t="e">
        <f t="shared" ca="1" si="5"/>
        <v>#NAME?</v>
      </c>
      <c r="O17" s="9" t="e">
        <f t="shared" ca="1" si="6"/>
        <v>#NAME?</v>
      </c>
      <c r="P17" s="9" t="e">
        <f t="shared" ca="1" si="7"/>
        <v>#NAME?</v>
      </c>
      <c r="Q17" s="9" t="e">
        <f t="shared" ca="1" si="8"/>
        <v>#NAME?</v>
      </c>
      <c r="R17" s="9" t="e">
        <f t="shared" ca="1" si="9"/>
        <v>#NAME?</v>
      </c>
    </row>
    <row r="18" spans="1:18" x14ac:dyDescent="0.25">
      <c r="A18" s="18"/>
      <c r="B18" s="19" t="s">
        <v>128</v>
      </c>
      <c r="C18" s="5" t="s">
        <v>129</v>
      </c>
      <c r="D18" s="7" t="e">
        <f ca="1">_xll.xlqPrice(C18)</f>
        <v>#NAME?</v>
      </c>
      <c r="E18" s="9" t="e">
        <f t="shared" ca="1" si="0"/>
        <v>#NAME?</v>
      </c>
      <c r="F18" s="9" t="e">
        <f t="shared" ca="1" si="1"/>
        <v>#NAME?</v>
      </c>
      <c r="G18" s="8" t="e">
        <f t="shared" ca="1" si="2"/>
        <v>#NAME?</v>
      </c>
      <c r="H18" s="8" t="e">
        <f t="shared" ca="1" si="3"/>
        <v>#NAME?</v>
      </c>
      <c r="I18" s="8" t="e">
        <f t="shared" ca="1" si="4"/>
        <v>#NAME?</v>
      </c>
      <c r="J18" s="6" t="e">
        <f ca="1">_xll.xlqxhSMA($C18,$L$4,$J$7,$K$3)</f>
        <v>#NAME?</v>
      </c>
      <c r="K18" s="7" t="e">
        <f ca="1">_xll.xlqhClose($C18,K$8,$K$3)</f>
        <v>#NAME?</v>
      </c>
      <c r="L18" s="7" t="e">
        <f ca="1">_xll.xlqhClose($C18,L$8,$K$3)</f>
        <v>#NAME?</v>
      </c>
      <c r="N18" s="9" t="e">
        <f t="shared" ca="1" si="5"/>
        <v>#NAME?</v>
      </c>
      <c r="O18" s="9" t="e">
        <f t="shared" ca="1" si="6"/>
        <v>#NAME?</v>
      </c>
      <c r="P18" s="9" t="e">
        <f t="shared" ca="1" si="7"/>
        <v>#NAME?</v>
      </c>
      <c r="Q18" s="9" t="e">
        <f t="shared" ca="1" si="8"/>
        <v>#NAME?</v>
      </c>
      <c r="R18" s="9" t="e">
        <f t="shared" ca="1" si="9"/>
        <v>#NAME?</v>
      </c>
    </row>
    <row r="19" spans="1:18" x14ac:dyDescent="0.25">
      <c r="A19" s="18"/>
      <c r="B19" s="19" t="s">
        <v>92</v>
      </c>
      <c r="C19" s="5" t="s">
        <v>93</v>
      </c>
      <c r="D19" s="7" t="e">
        <f ca="1">_xll.xlqPrice(C19)</f>
        <v>#NAME?</v>
      </c>
      <c r="E19" s="9" t="e">
        <f t="shared" ca="1" si="0"/>
        <v>#NAME?</v>
      </c>
      <c r="F19" s="9" t="e">
        <f t="shared" ca="1" si="1"/>
        <v>#NAME?</v>
      </c>
      <c r="G19" s="8" t="e">
        <f t="shared" ca="1" si="2"/>
        <v>#NAME?</v>
      </c>
      <c r="H19" s="8" t="e">
        <f t="shared" ca="1" si="3"/>
        <v>#NAME?</v>
      </c>
      <c r="I19" s="8" t="e">
        <f t="shared" ca="1" si="4"/>
        <v>#NAME?</v>
      </c>
      <c r="J19" s="6" t="e">
        <f ca="1">_xll.xlqxhSMA($C19,$L$4,$J$7,$K$3)</f>
        <v>#NAME?</v>
      </c>
      <c r="K19" s="7" t="e">
        <f ca="1">_xll.xlqhClose($C19,K$8,$K$3)</f>
        <v>#NAME?</v>
      </c>
      <c r="L19" s="7" t="e">
        <f ca="1">_xll.xlqhClose($C19,L$8,$K$3)</f>
        <v>#NAME?</v>
      </c>
      <c r="N19" s="9" t="e">
        <f t="shared" ca="1" si="5"/>
        <v>#NAME?</v>
      </c>
      <c r="O19" s="9" t="e">
        <f t="shared" ca="1" si="6"/>
        <v>#NAME?</v>
      </c>
      <c r="P19" s="9" t="e">
        <f t="shared" ca="1" si="7"/>
        <v>#NAME?</v>
      </c>
      <c r="Q19" s="9" t="e">
        <f t="shared" ca="1" si="8"/>
        <v>#NAME?</v>
      </c>
      <c r="R19" s="9" t="e">
        <f t="shared" ca="1" si="9"/>
        <v>#NAME?</v>
      </c>
    </row>
    <row r="20" spans="1:18" x14ac:dyDescent="0.25">
      <c r="A20" s="18"/>
      <c r="B20" s="19" t="s">
        <v>118</v>
      </c>
      <c r="C20" s="5" t="s">
        <v>119</v>
      </c>
      <c r="D20" s="7" t="e">
        <f ca="1">_xll.xlqPrice(C20)</f>
        <v>#NAME?</v>
      </c>
      <c r="E20" s="9" t="e">
        <f t="shared" ca="1" si="0"/>
        <v>#NAME?</v>
      </c>
      <c r="F20" s="9" t="e">
        <f t="shared" ca="1" si="1"/>
        <v>#NAME?</v>
      </c>
      <c r="G20" s="8" t="e">
        <f t="shared" ca="1" si="2"/>
        <v>#NAME?</v>
      </c>
      <c r="H20" s="8" t="e">
        <f t="shared" ca="1" si="3"/>
        <v>#NAME?</v>
      </c>
      <c r="I20" s="8" t="e">
        <f t="shared" ca="1" si="4"/>
        <v>#NAME?</v>
      </c>
      <c r="J20" s="6" t="e">
        <f ca="1">_xll.xlqxhSMA($C20,$L$4,$J$7,$K$3)</f>
        <v>#NAME?</v>
      </c>
      <c r="K20" s="7" t="e">
        <f ca="1">_xll.xlqhClose($C20,K$8,$K$3)</f>
        <v>#NAME?</v>
      </c>
      <c r="L20" s="7" t="e">
        <f ca="1">_xll.xlqhClose($C20,L$8,$K$3)</f>
        <v>#NAME?</v>
      </c>
      <c r="N20" s="9" t="e">
        <f t="shared" ca="1" si="5"/>
        <v>#NAME?</v>
      </c>
      <c r="O20" s="9" t="e">
        <f t="shared" ca="1" si="6"/>
        <v>#NAME?</v>
      </c>
      <c r="P20" s="9" t="e">
        <f t="shared" ca="1" si="7"/>
        <v>#NAME?</v>
      </c>
      <c r="Q20" s="9" t="e">
        <f t="shared" ca="1" si="8"/>
        <v>#NAME?</v>
      </c>
      <c r="R20" s="9" t="e">
        <f t="shared" ca="1" si="9"/>
        <v>#NAME?</v>
      </c>
    </row>
    <row r="21" spans="1:18" x14ac:dyDescent="0.25">
      <c r="A21" s="18"/>
      <c r="B21" s="19" t="s">
        <v>114</v>
      </c>
      <c r="C21" s="5" t="s">
        <v>115</v>
      </c>
      <c r="D21" s="7" t="e">
        <f ca="1">_xll.xlqPrice(C21)</f>
        <v>#NAME?</v>
      </c>
      <c r="E21" s="9" t="e">
        <f t="shared" ca="1" si="0"/>
        <v>#NAME?</v>
      </c>
      <c r="F21" s="9" t="e">
        <f t="shared" ca="1" si="1"/>
        <v>#NAME?</v>
      </c>
      <c r="G21" s="8" t="e">
        <f t="shared" ca="1" si="2"/>
        <v>#NAME?</v>
      </c>
      <c r="H21" s="8" t="e">
        <f t="shared" ca="1" si="3"/>
        <v>#NAME?</v>
      </c>
      <c r="I21" s="8" t="e">
        <f t="shared" ca="1" si="4"/>
        <v>#NAME?</v>
      </c>
      <c r="J21" s="6" t="e">
        <f ca="1">_xll.xlqxhSMA($C21,$L$4,$J$7,$K$3)</f>
        <v>#NAME?</v>
      </c>
      <c r="K21" s="7" t="e">
        <f ca="1">_xll.xlqhClose($C21,K$8,$K$3)</f>
        <v>#NAME?</v>
      </c>
      <c r="L21" s="7" t="e">
        <f ca="1">_xll.xlqhClose($C21,L$8,$K$3)</f>
        <v>#NAME?</v>
      </c>
      <c r="N21" s="9" t="e">
        <f t="shared" ca="1" si="5"/>
        <v>#NAME?</v>
      </c>
      <c r="O21" s="9" t="e">
        <f t="shared" ca="1" si="6"/>
        <v>#NAME?</v>
      </c>
      <c r="P21" s="9" t="e">
        <f t="shared" ca="1" si="7"/>
        <v>#NAME?</v>
      </c>
      <c r="Q21" s="9" t="e">
        <f t="shared" ca="1" si="8"/>
        <v>#NAME?</v>
      </c>
      <c r="R21" s="9" t="e">
        <f t="shared" ca="1" si="9"/>
        <v>#NAME?</v>
      </c>
    </row>
    <row r="22" spans="1:18" x14ac:dyDescent="0.25">
      <c r="A22" s="18"/>
      <c r="B22" s="19" t="s">
        <v>513</v>
      </c>
      <c r="C22" s="5" t="s">
        <v>512</v>
      </c>
      <c r="D22" s="7" t="e">
        <f ca="1">_xll.xlqPrice(C22)</f>
        <v>#NAME?</v>
      </c>
      <c r="E22" s="9" t="e">
        <f t="shared" ca="1" si="0"/>
        <v>#NAME?</v>
      </c>
      <c r="F22" s="9" t="e">
        <f t="shared" ca="1" si="1"/>
        <v>#NAME?</v>
      </c>
      <c r="G22" s="8" t="e">
        <f t="shared" ca="1" si="2"/>
        <v>#NAME?</v>
      </c>
      <c r="H22" s="8" t="e">
        <f t="shared" ca="1" si="3"/>
        <v>#NAME?</v>
      </c>
      <c r="I22" s="8" t="e">
        <f t="shared" ca="1" si="4"/>
        <v>#NAME?</v>
      </c>
      <c r="J22" s="6" t="e">
        <f ca="1">_xll.xlqxhSMA($C22,$L$4,$J$7,$K$3)</f>
        <v>#NAME?</v>
      </c>
      <c r="K22" s="7" t="e">
        <f ca="1">_xll.xlqhClose($C22,K$8,$K$3)</f>
        <v>#NAME?</v>
      </c>
      <c r="L22" s="7" t="e">
        <f ca="1">_xll.xlqhClose($C22,L$8,$K$3)</f>
        <v>#NAME?</v>
      </c>
      <c r="N22" s="9" t="e">
        <f t="shared" ca="1" si="5"/>
        <v>#NAME?</v>
      </c>
      <c r="O22" s="9" t="e">
        <f t="shared" ca="1" si="6"/>
        <v>#NAME?</v>
      </c>
      <c r="P22" s="9" t="e">
        <f t="shared" ca="1" si="7"/>
        <v>#NAME?</v>
      </c>
      <c r="Q22" s="9" t="e">
        <f t="shared" ca="1" si="8"/>
        <v>#NAME?</v>
      </c>
      <c r="R22" s="9" t="e">
        <f t="shared" ca="1" si="9"/>
        <v>#NAME?</v>
      </c>
    </row>
    <row r="23" spans="1:18" x14ac:dyDescent="0.25">
      <c r="A23" s="18"/>
      <c r="B23" s="19" t="s">
        <v>108</v>
      </c>
      <c r="C23" s="5" t="s">
        <v>109</v>
      </c>
      <c r="D23" s="7" t="e">
        <f ca="1">_xll.xlqPrice(C23)</f>
        <v>#NAME?</v>
      </c>
      <c r="E23" s="10" t="e">
        <f t="shared" ca="1" si="0"/>
        <v>#NAME?</v>
      </c>
      <c r="F23" s="9" t="e">
        <f t="shared" ca="1" si="1"/>
        <v>#NAME?</v>
      </c>
      <c r="G23" s="8" t="e">
        <f t="shared" ca="1" si="2"/>
        <v>#NAME?</v>
      </c>
      <c r="H23" s="8" t="e">
        <f t="shared" ca="1" si="3"/>
        <v>#NAME?</v>
      </c>
      <c r="I23" s="8" t="e">
        <f t="shared" ca="1" si="4"/>
        <v>#NAME?</v>
      </c>
      <c r="J23" s="6" t="e">
        <f ca="1">_xll.xlqxhSMA($C23,$L$4,$J$7,$K$3)</f>
        <v>#NAME?</v>
      </c>
      <c r="K23" s="7" t="e">
        <f ca="1">_xll.xlqhClose($C23,K$8,$K$3)</f>
        <v>#NAME?</v>
      </c>
      <c r="L23" s="7" t="e">
        <f ca="1">_xll.xlqhClose($C23,L$8,$K$3)</f>
        <v>#NAME?</v>
      </c>
      <c r="N23" s="9" t="e">
        <f t="shared" ca="1" si="5"/>
        <v>#NAME?</v>
      </c>
      <c r="O23" s="9" t="e">
        <f t="shared" ca="1" si="6"/>
        <v>#NAME?</v>
      </c>
      <c r="P23" s="9" t="e">
        <f t="shared" ca="1" si="7"/>
        <v>#NAME?</v>
      </c>
      <c r="Q23" s="9" t="e">
        <f t="shared" ca="1" si="8"/>
        <v>#NAME?</v>
      </c>
      <c r="R23" s="9" t="e">
        <f t="shared" ca="1" si="9"/>
        <v>#NAME?</v>
      </c>
    </row>
    <row r="24" spans="1:18" x14ac:dyDescent="0.25">
      <c r="A24" s="17"/>
      <c r="B24" s="19" t="s">
        <v>134</v>
      </c>
      <c r="C24" s="5" t="s">
        <v>135</v>
      </c>
      <c r="D24" s="7" t="e">
        <f ca="1">_xll.xlqPrice(C24)</f>
        <v>#NAME?</v>
      </c>
      <c r="E24" s="10" t="e">
        <f t="shared" ca="1" si="0"/>
        <v>#NAME?</v>
      </c>
      <c r="F24" s="9" t="e">
        <f t="shared" ca="1" si="1"/>
        <v>#NAME?</v>
      </c>
      <c r="G24" s="8" t="e">
        <f t="shared" ca="1" si="2"/>
        <v>#NAME?</v>
      </c>
      <c r="H24" s="8" t="e">
        <f t="shared" ca="1" si="3"/>
        <v>#NAME?</v>
      </c>
      <c r="I24" s="8" t="e">
        <f t="shared" ca="1" si="4"/>
        <v>#NAME?</v>
      </c>
      <c r="J24" s="6" t="e">
        <f ca="1">_xll.xlqxhSMA($C24,$L$4,$J$7,$K$3)</f>
        <v>#NAME?</v>
      </c>
      <c r="K24" s="7" t="e">
        <f ca="1">_xll.xlqhClose($C24,K$8,$K$3)</f>
        <v>#NAME?</v>
      </c>
      <c r="L24" s="7" t="e">
        <f ca="1">_xll.xlqhClose($C24,L$8,$K$3)</f>
        <v>#NAME?</v>
      </c>
      <c r="N24" s="9" t="e">
        <f t="shared" ca="1" si="5"/>
        <v>#NAME?</v>
      </c>
      <c r="O24" s="9" t="e">
        <f t="shared" ca="1" si="6"/>
        <v>#NAME?</v>
      </c>
      <c r="P24" s="9" t="e">
        <f t="shared" ca="1" si="7"/>
        <v>#NAME?</v>
      </c>
      <c r="Q24" s="9" t="e">
        <f t="shared" ca="1" si="8"/>
        <v>#NAME?</v>
      </c>
      <c r="R24" s="9" t="e">
        <f t="shared" ca="1" si="9"/>
        <v>#NAME?</v>
      </c>
    </row>
    <row r="25" spans="1:18" x14ac:dyDescent="0.25">
      <c r="B25" s="19" t="s">
        <v>104</v>
      </c>
      <c r="C25" s="5" t="s">
        <v>105</v>
      </c>
      <c r="D25" s="7" t="e">
        <f ca="1">_xll.xlqPrice(C25)</f>
        <v>#NAME?</v>
      </c>
      <c r="E25" s="10" t="e">
        <f t="shared" ca="1" si="0"/>
        <v>#NAME?</v>
      </c>
      <c r="F25" s="9" t="e">
        <f t="shared" ca="1" si="1"/>
        <v>#NAME?</v>
      </c>
      <c r="G25" s="8" t="e">
        <f t="shared" ca="1" si="2"/>
        <v>#NAME?</v>
      </c>
      <c r="H25" s="8" t="e">
        <f t="shared" ca="1" si="3"/>
        <v>#NAME?</v>
      </c>
      <c r="I25" s="8" t="e">
        <f t="shared" ca="1" si="4"/>
        <v>#NAME?</v>
      </c>
      <c r="J25" s="6" t="e">
        <f ca="1">_xll.xlqxhSMA($C25,$L$4,$J$7,$K$3)</f>
        <v>#NAME?</v>
      </c>
      <c r="K25" s="7" t="e">
        <f ca="1">_xll.xlqhClose($C25,K$8,$K$3)</f>
        <v>#NAME?</v>
      </c>
      <c r="L25" s="7" t="e">
        <f ca="1">_xll.xlqhClose($C25,L$8,$K$3)</f>
        <v>#NAME?</v>
      </c>
      <c r="N25" s="9" t="e">
        <f t="shared" ca="1" si="5"/>
        <v>#NAME?</v>
      </c>
      <c r="O25" s="9" t="e">
        <f t="shared" ca="1" si="6"/>
        <v>#NAME?</v>
      </c>
      <c r="P25" s="9" t="e">
        <f t="shared" ca="1" si="7"/>
        <v>#NAME?</v>
      </c>
      <c r="Q25" s="9" t="e">
        <f t="shared" ca="1" si="8"/>
        <v>#NAME?</v>
      </c>
      <c r="R25" s="9" t="e">
        <f t="shared" ca="1" si="9"/>
        <v>#NAME?</v>
      </c>
    </row>
    <row r="26" spans="1:18" x14ac:dyDescent="0.25">
      <c r="B26" s="19" t="s">
        <v>120</v>
      </c>
      <c r="C26" s="5" t="s">
        <v>121</v>
      </c>
      <c r="D26" s="7" t="e">
        <f ca="1">_xll.xlqPrice(C26)</f>
        <v>#NAME?</v>
      </c>
      <c r="E26" s="10" t="e">
        <f t="shared" ca="1" si="0"/>
        <v>#NAME?</v>
      </c>
      <c r="F26" s="9" t="e">
        <f t="shared" ca="1" si="1"/>
        <v>#NAME?</v>
      </c>
      <c r="G26" s="8" t="e">
        <f t="shared" ca="1" si="2"/>
        <v>#NAME?</v>
      </c>
      <c r="H26" s="8" t="e">
        <f t="shared" ca="1" si="3"/>
        <v>#NAME?</v>
      </c>
      <c r="I26" s="8" t="e">
        <f t="shared" ca="1" si="4"/>
        <v>#NAME?</v>
      </c>
      <c r="J26" s="6" t="e">
        <f ca="1">_xll.xlqxhSMA($C26,$L$4,$J$7,$K$3)</f>
        <v>#NAME?</v>
      </c>
      <c r="K26" s="7" t="e">
        <f ca="1">_xll.xlqhClose($C26,K$8,$K$3)</f>
        <v>#NAME?</v>
      </c>
      <c r="L26" s="7" t="e">
        <f ca="1">_xll.xlqhClose($C26,L$8,$K$3)</f>
        <v>#NAME?</v>
      </c>
      <c r="N26" s="9" t="e">
        <f t="shared" ca="1" si="5"/>
        <v>#NAME?</v>
      </c>
      <c r="O26" s="9" t="e">
        <f t="shared" ca="1" si="6"/>
        <v>#NAME?</v>
      </c>
      <c r="P26" s="9" t="e">
        <f t="shared" ca="1" si="7"/>
        <v>#NAME?</v>
      </c>
      <c r="Q26" s="9" t="e">
        <f t="shared" ca="1" si="8"/>
        <v>#NAME?</v>
      </c>
      <c r="R26" s="9" t="e">
        <f t="shared" ca="1" si="9"/>
        <v>#NAME?</v>
      </c>
    </row>
    <row r="27" spans="1:18" x14ac:dyDescent="0.25">
      <c r="B27" s="19" t="s">
        <v>98</v>
      </c>
      <c r="C27" s="5" t="s">
        <v>99</v>
      </c>
      <c r="D27" s="7" t="e">
        <f ca="1">_xll.xlqPrice(C27)</f>
        <v>#NAME?</v>
      </c>
      <c r="E27" s="10" t="e">
        <f t="shared" ca="1" si="0"/>
        <v>#NAME?</v>
      </c>
      <c r="F27" s="9" t="e">
        <f t="shared" ca="1" si="1"/>
        <v>#NAME?</v>
      </c>
      <c r="G27" s="8" t="e">
        <f t="shared" ca="1" si="2"/>
        <v>#NAME?</v>
      </c>
      <c r="H27" s="8" t="e">
        <f t="shared" ca="1" si="3"/>
        <v>#NAME?</v>
      </c>
      <c r="I27" s="8" t="e">
        <f t="shared" ca="1" si="4"/>
        <v>#NAME?</v>
      </c>
      <c r="J27" s="6" t="e">
        <f ca="1">_xll.xlqxhSMA($C27,$L$4,$J$7,$K$3)</f>
        <v>#NAME?</v>
      </c>
      <c r="K27" s="7" t="e">
        <f ca="1">_xll.xlqhClose($C27,K$8,$K$3)</f>
        <v>#NAME?</v>
      </c>
      <c r="L27" s="7" t="e">
        <f ca="1">_xll.xlqhClose($C27,L$8,$K$3)</f>
        <v>#NAME?</v>
      </c>
      <c r="N27" s="9" t="e">
        <f t="shared" ca="1" si="5"/>
        <v>#NAME?</v>
      </c>
      <c r="O27" s="9" t="e">
        <f t="shared" ca="1" si="6"/>
        <v>#NAME?</v>
      </c>
      <c r="P27" s="9" t="e">
        <f t="shared" ca="1" si="7"/>
        <v>#NAME?</v>
      </c>
      <c r="Q27" s="9" t="e">
        <f t="shared" ca="1" si="8"/>
        <v>#NAME?</v>
      </c>
      <c r="R27" s="9" t="e">
        <f t="shared" ca="1" si="9"/>
        <v>#NAME?</v>
      </c>
    </row>
    <row r="28" spans="1:18" x14ac:dyDescent="0.25">
      <c r="B28" s="19" t="s">
        <v>82</v>
      </c>
      <c r="C28" s="5" t="s">
        <v>83</v>
      </c>
      <c r="D28" s="7" t="e">
        <f ca="1">_xll.xlqPrice(C28)</f>
        <v>#NAME?</v>
      </c>
      <c r="E28" s="10" t="e">
        <f t="shared" ca="1" si="0"/>
        <v>#NAME?</v>
      </c>
      <c r="F28" s="9" t="e">
        <f t="shared" ca="1" si="1"/>
        <v>#NAME?</v>
      </c>
      <c r="G28" s="8" t="e">
        <f t="shared" ca="1" si="2"/>
        <v>#NAME?</v>
      </c>
      <c r="H28" s="8" t="e">
        <f t="shared" ca="1" si="3"/>
        <v>#NAME?</v>
      </c>
      <c r="I28" s="8" t="e">
        <f t="shared" ca="1" si="4"/>
        <v>#NAME?</v>
      </c>
      <c r="J28" s="6" t="e">
        <f ca="1">_xll.xlqxhSMA($C28,$L$4,$J$7,$K$3)</f>
        <v>#NAME?</v>
      </c>
      <c r="K28" s="7" t="e">
        <f ca="1">_xll.xlqhClose($C28,K$8,$K$3)</f>
        <v>#NAME?</v>
      </c>
      <c r="L28" s="7" t="e">
        <f ca="1">_xll.xlqhClose($C28,L$8,$K$3)</f>
        <v>#NAME?</v>
      </c>
      <c r="N28" s="9" t="e">
        <f t="shared" ca="1" si="5"/>
        <v>#NAME?</v>
      </c>
      <c r="O28" s="9" t="e">
        <f t="shared" ca="1" si="6"/>
        <v>#NAME?</v>
      </c>
      <c r="P28" s="9" t="e">
        <f t="shared" ca="1" si="7"/>
        <v>#NAME?</v>
      </c>
      <c r="Q28" s="9" t="e">
        <f t="shared" ca="1" si="8"/>
        <v>#NAME?</v>
      </c>
      <c r="R28" s="9" t="e">
        <f t="shared" ca="1" si="9"/>
        <v>#NAME?</v>
      </c>
    </row>
    <row r="29" spans="1:18" x14ac:dyDescent="0.25">
      <c r="B29" s="19" t="s">
        <v>112</v>
      </c>
      <c r="C29" s="5" t="s">
        <v>113</v>
      </c>
      <c r="D29" s="7" t="e">
        <f ca="1">_xll.xlqPrice(C29)</f>
        <v>#NAME?</v>
      </c>
      <c r="E29" s="10" t="e">
        <f t="shared" ca="1" si="0"/>
        <v>#NAME?</v>
      </c>
      <c r="F29" s="9" t="e">
        <f t="shared" ca="1" si="1"/>
        <v>#NAME?</v>
      </c>
      <c r="G29" s="8" t="e">
        <f t="shared" ca="1" si="2"/>
        <v>#NAME?</v>
      </c>
      <c r="H29" s="8" t="e">
        <f t="shared" ca="1" si="3"/>
        <v>#NAME?</v>
      </c>
      <c r="I29" s="8" t="e">
        <f t="shared" ca="1" si="4"/>
        <v>#NAME?</v>
      </c>
      <c r="J29" s="6" t="e">
        <f ca="1">_xll.xlqxhSMA($C29,$L$4,$J$7,$K$3)</f>
        <v>#NAME?</v>
      </c>
      <c r="K29" s="7" t="e">
        <f ca="1">_xll.xlqhClose($C29,K$8,$K$3)</f>
        <v>#NAME?</v>
      </c>
      <c r="L29" s="7" t="e">
        <f ca="1">_xll.xlqhClose($C29,L$8,$K$3)</f>
        <v>#NAME?</v>
      </c>
      <c r="N29" s="9" t="e">
        <f t="shared" ca="1" si="5"/>
        <v>#NAME?</v>
      </c>
      <c r="O29" s="9" t="e">
        <f t="shared" ca="1" si="6"/>
        <v>#NAME?</v>
      </c>
      <c r="P29" s="9" t="e">
        <f t="shared" ca="1" si="7"/>
        <v>#NAME?</v>
      </c>
      <c r="Q29" s="9" t="e">
        <f t="shared" ca="1" si="8"/>
        <v>#NAME?</v>
      </c>
      <c r="R29" s="9" t="e">
        <f t="shared" ca="1" si="9"/>
        <v>#NAME?</v>
      </c>
    </row>
    <row r="30" spans="1:18" x14ac:dyDescent="0.25">
      <c r="B30" s="19" t="s">
        <v>102</v>
      </c>
      <c r="C30" s="5" t="s">
        <v>103</v>
      </c>
      <c r="D30" s="7" t="e">
        <f ca="1">_xll.xlqPrice(C30)</f>
        <v>#NAME?</v>
      </c>
      <c r="E30" s="10" t="e">
        <f t="shared" ca="1" si="0"/>
        <v>#NAME?</v>
      </c>
      <c r="F30" s="9" t="e">
        <f t="shared" ca="1" si="1"/>
        <v>#NAME?</v>
      </c>
      <c r="G30" s="8" t="e">
        <f t="shared" ca="1" si="2"/>
        <v>#NAME?</v>
      </c>
      <c r="H30" s="8" t="e">
        <f t="shared" ca="1" si="3"/>
        <v>#NAME?</v>
      </c>
      <c r="I30" s="8" t="e">
        <f t="shared" ca="1" si="4"/>
        <v>#NAME?</v>
      </c>
      <c r="J30" s="6" t="e">
        <f ca="1">_xll.xlqxhSMA($C30,$L$4,$J$7,$K$3)</f>
        <v>#NAME?</v>
      </c>
      <c r="K30" s="7" t="e">
        <f ca="1">_xll.xlqhClose($C30,K$8,$K$3)</f>
        <v>#NAME?</v>
      </c>
      <c r="L30" s="7" t="e">
        <f ca="1">_xll.xlqhClose($C30,L$8,$K$3)</f>
        <v>#NAME?</v>
      </c>
      <c r="N30" s="9" t="e">
        <f t="shared" ca="1" si="5"/>
        <v>#NAME?</v>
      </c>
      <c r="O30" s="9" t="e">
        <f t="shared" ca="1" si="6"/>
        <v>#NAME?</v>
      </c>
      <c r="P30" s="9" t="e">
        <f t="shared" ca="1" si="7"/>
        <v>#NAME?</v>
      </c>
      <c r="Q30" s="9" t="e">
        <f t="shared" ca="1" si="8"/>
        <v>#NAME?</v>
      </c>
      <c r="R30" s="9" t="e">
        <f t="shared" ca="1" si="9"/>
        <v>#NAME?</v>
      </c>
    </row>
    <row r="31" spans="1:18" x14ac:dyDescent="0.25">
      <c r="B31" s="19" t="s">
        <v>88</v>
      </c>
      <c r="C31" s="5" t="s">
        <v>89</v>
      </c>
      <c r="D31" s="7" t="e">
        <f ca="1">_xll.xlqPrice(C31)</f>
        <v>#NAME?</v>
      </c>
      <c r="E31" s="10" t="e">
        <f t="shared" ca="1" si="0"/>
        <v>#NAME?</v>
      </c>
      <c r="F31" s="9" t="e">
        <f t="shared" ca="1" si="1"/>
        <v>#NAME?</v>
      </c>
      <c r="G31" s="8" t="e">
        <f t="shared" ca="1" si="2"/>
        <v>#NAME?</v>
      </c>
      <c r="H31" s="8" t="e">
        <f t="shared" ca="1" si="3"/>
        <v>#NAME?</v>
      </c>
      <c r="I31" s="8" t="e">
        <f t="shared" ca="1" si="4"/>
        <v>#NAME?</v>
      </c>
      <c r="J31" s="6" t="e">
        <f ca="1">_xll.xlqxhSMA($C31,$L$4,$J$7,$K$3)</f>
        <v>#NAME?</v>
      </c>
      <c r="K31" s="7" t="e">
        <f ca="1">_xll.xlqhClose($C31,K$8,$K$3)</f>
        <v>#NAME?</v>
      </c>
      <c r="L31" s="7" t="e">
        <f ca="1">_xll.xlqhClose($C31,L$8,$K$3)</f>
        <v>#NAME?</v>
      </c>
      <c r="N31" s="9" t="e">
        <f t="shared" ca="1" si="5"/>
        <v>#NAME?</v>
      </c>
      <c r="O31" s="9" t="e">
        <f t="shared" ca="1" si="6"/>
        <v>#NAME?</v>
      </c>
      <c r="P31" s="9" t="e">
        <f t="shared" ca="1" si="7"/>
        <v>#NAME?</v>
      </c>
      <c r="Q31" s="9" t="e">
        <f t="shared" ca="1" si="8"/>
        <v>#NAME?</v>
      </c>
      <c r="R31" s="9" t="e">
        <f t="shared" ca="1" si="9"/>
        <v>#NAME?</v>
      </c>
    </row>
    <row r="32" spans="1:18" x14ac:dyDescent="0.25">
      <c r="B32" s="19" t="s">
        <v>106</v>
      </c>
      <c r="C32" s="5" t="s">
        <v>107</v>
      </c>
      <c r="D32" s="7" t="e">
        <f ca="1">_xll.xlqPrice(C32)</f>
        <v>#NAME?</v>
      </c>
      <c r="E32" s="10" t="e">
        <f t="shared" ca="1" si="0"/>
        <v>#NAME?</v>
      </c>
      <c r="F32" s="9" t="e">
        <f t="shared" ca="1" si="1"/>
        <v>#NAME?</v>
      </c>
      <c r="G32" s="8" t="e">
        <f t="shared" ca="1" si="2"/>
        <v>#NAME?</v>
      </c>
      <c r="H32" s="8" t="e">
        <f t="shared" ca="1" si="3"/>
        <v>#NAME?</v>
      </c>
      <c r="I32" s="8" t="e">
        <f t="shared" ca="1" si="4"/>
        <v>#NAME?</v>
      </c>
      <c r="J32" s="6" t="e">
        <f ca="1">_xll.xlqxhSMA($C32,$L$4,$J$7,$K$3)</f>
        <v>#NAME?</v>
      </c>
      <c r="K32" s="7" t="e">
        <f ca="1">_xll.xlqhClose($C32,K$8,$K$3)</f>
        <v>#NAME?</v>
      </c>
      <c r="L32" s="7" t="e">
        <f ca="1">_xll.xlqhClose($C32,L$8,$K$3)</f>
        <v>#NAME?</v>
      </c>
      <c r="N32" s="9" t="e">
        <f t="shared" ca="1" si="5"/>
        <v>#NAME?</v>
      </c>
      <c r="O32" s="9" t="e">
        <f t="shared" ca="1" si="6"/>
        <v>#NAME?</v>
      </c>
      <c r="P32" s="9" t="e">
        <f t="shared" ca="1" si="7"/>
        <v>#NAME?</v>
      </c>
      <c r="Q32" s="9" t="e">
        <f t="shared" ca="1" si="8"/>
        <v>#NAME?</v>
      </c>
      <c r="R32" s="9" t="e">
        <f t="shared" ca="1" si="9"/>
        <v>#NAME?</v>
      </c>
    </row>
    <row r="33" spans="2:18" x14ac:dyDescent="0.25">
      <c r="B33" s="19" t="s">
        <v>96</v>
      </c>
      <c r="C33" s="5" t="s">
        <v>97</v>
      </c>
      <c r="D33" s="7" t="e">
        <f ca="1">_xll.xlqPrice(C33)</f>
        <v>#NAME?</v>
      </c>
      <c r="E33" s="10" t="e">
        <f t="shared" ca="1" si="0"/>
        <v>#NAME?</v>
      </c>
      <c r="F33" s="9" t="e">
        <f t="shared" ca="1" si="1"/>
        <v>#NAME?</v>
      </c>
      <c r="G33" s="8" t="e">
        <f t="shared" ca="1" si="2"/>
        <v>#NAME?</v>
      </c>
      <c r="H33" s="8" t="e">
        <f t="shared" ca="1" si="3"/>
        <v>#NAME?</v>
      </c>
      <c r="I33" s="8" t="e">
        <f t="shared" ca="1" si="4"/>
        <v>#NAME?</v>
      </c>
      <c r="J33" s="6" t="e">
        <f ca="1">_xll.xlqxhSMA($C33,$L$4,$J$7,$K$3)</f>
        <v>#NAME?</v>
      </c>
      <c r="K33" s="7" t="e">
        <f ca="1">_xll.xlqhClose($C33,K$8,$K$3)</f>
        <v>#NAME?</v>
      </c>
      <c r="L33" s="7" t="e">
        <f ca="1">_xll.xlqhClose($C33,L$8,$K$3)</f>
        <v>#NAME?</v>
      </c>
      <c r="N33" s="9" t="e">
        <f t="shared" ca="1" si="5"/>
        <v>#NAME?</v>
      </c>
      <c r="O33" s="9" t="e">
        <f t="shared" ca="1" si="6"/>
        <v>#NAME?</v>
      </c>
      <c r="P33" s="9" t="e">
        <f t="shared" ca="1" si="7"/>
        <v>#NAME?</v>
      </c>
      <c r="Q33" s="9" t="e">
        <f t="shared" ca="1" si="8"/>
        <v>#NAME?</v>
      </c>
      <c r="R33" s="9" t="e">
        <f t="shared" ca="1" si="9"/>
        <v>#NAME?</v>
      </c>
    </row>
    <row r="34" spans="2:18" x14ac:dyDescent="0.25">
      <c r="B34" s="19" t="s">
        <v>126</v>
      </c>
      <c r="C34" s="5" t="s">
        <v>127</v>
      </c>
      <c r="D34" s="7" t="e">
        <f ca="1">_xll.xlqPrice(C34)</f>
        <v>#NAME?</v>
      </c>
      <c r="E34" s="10" t="e">
        <f t="shared" ca="1" si="0"/>
        <v>#NAME?</v>
      </c>
      <c r="F34" s="9" t="e">
        <f t="shared" ca="1" si="1"/>
        <v>#NAME?</v>
      </c>
      <c r="G34" s="8" t="e">
        <f t="shared" ca="1" si="2"/>
        <v>#NAME?</v>
      </c>
      <c r="H34" s="8" t="e">
        <f t="shared" ca="1" si="3"/>
        <v>#NAME?</v>
      </c>
      <c r="I34" s="8" t="e">
        <f t="shared" ca="1" si="4"/>
        <v>#NAME?</v>
      </c>
      <c r="J34" s="6" t="e">
        <f ca="1">_xll.xlqxhSMA($C34,$L$4,$J$7,$K$3)</f>
        <v>#NAME?</v>
      </c>
      <c r="K34" s="7" t="e">
        <f ca="1">_xll.xlqhClose($C34,K$8,$K$3)</f>
        <v>#NAME?</v>
      </c>
      <c r="L34" s="7" t="e">
        <f ca="1">_xll.xlqhClose($C34,L$8,$K$3)</f>
        <v>#NAME?</v>
      </c>
      <c r="N34" s="9" t="e">
        <f t="shared" ca="1" si="5"/>
        <v>#NAME?</v>
      </c>
      <c r="O34" s="9" t="e">
        <f t="shared" ca="1" si="6"/>
        <v>#NAME?</v>
      </c>
      <c r="P34" s="9" t="e">
        <f t="shared" ca="1" si="7"/>
        <v>#NAME?</v>
      </c>
      <c r="Q34" s="9" t="e">
        <f t="shared" ca="1" si="8"/>
        <v>#NAME?</v>
      </c>
      <c r="R34" s="9" t="e">
        <f t="shared" ca="1" si="9"/>
        <v>#NAME?</v>
      </c>
    </row>
    <row r="35" spans="2:18" x14ac:dyDescent="0.25">
      <c r="B35" s="19" t="s">
        <v>90</v>
      </c>
      <c r="C35" s="5" t="s">
        <v>91</v>
      </c>
      <c r="D35" s="7" t="e">
        <f ca="1">_xll.xlqPrice(C35)</f>
        <v>#NAME?</v>
      </c>
      <c r="E35" s="10" t="e">
        <f t="shared" ca="1" si="0"/>
        <v>#NAME?</v>
      </c>
      <c r="F35" s="9" t="e">
        <f t="shared" ca="1" si="1"/>
        <v>#NAME?</v>
      </c>
      <c r="G35" s="8" t="e">
        <f t="shared" ca="1" si="2"/>
        <v>#NAME?</v>
      </c>
      <c r="H35" s="8" t="e">
        <f t="shared" ca="1" si="3"/>
        <v>#NAME?</v>
      </c>
      <c r="I35" s="8" t="e">
        <f t="shared" ca="1" si="4"/>
        <v>#NAME?</v>
      </c>
      <c r="J35" s="6" t="e">
        <f ca="1">_xll.xlqxhSMA($C35,$L$4,$J$7,$K$3)</f>
        <v>#NAME?</v>
      </c>
      <c r="K35" s="7" t="e">
        <f ca="1">_xll.xlqhClose($C35,K$8,$K$3)</f>
        <v>#NAME?</v>
      </c>
      <c r="L35" s="7" t="e">
        <f ca="1">_xll.xlqhClose($C35,L$8,$K$3)</f>
        <v>#NAME?</v>
      </c>
      <c r="N35" s="9" t="e">
        <f t="shared" ca="1" si="5"/>
        <v>#NAME?</v>
      </c>
      <c r="O35" s="9" t="e">
        <f t="shared" ca="1" si="6"/>
        <v>#NAME?</v>
      </c>
      <c r="P35" s="9" t="e">
        <f t="shared" ca="1" si="7"/>
        <v>#NAME?</v>
      </c>
      <c r="Q35" s="9" t="e">
        <f t="shared" ca="1" si="8"/>
        <v>#NAME?</v>
      </c>
      <c r="R35" s="9" t="e">
        <f t="shared" ca="1" si="9"/>
        <v>#NAME?</v>
      </c>
    </row>
    <row r="36" spans="2:18" x14ac:dyDescent="0.25">
      <c r="B36" s="19" t="s">
        <v>110</v>
      </c>
      <c r="C36" s="5" t="s">
        <v>111</v>
      </c>
      <c r="D36" s="7" t="e">
        <f ca="1">_xll.xlqPrice(C36)</f>
        <v>#NAME?</v>
      </c>
      <c r="E36" s="10" t="e">
        <f t="shared" ca="1" si="0"/>
        <v>#NAME?</v>
      </c>
      <c r="F36" s="9" t="e">
        <f t="shared" ca="1" si="1"/>
        <v>#NAME?</v>
      </c>
      <c r="G36" s="8" t="e">
        <f t="shared" ca="1" si="2"/>
        <v>#NAME?</v>
      </c>
      <c r="H36" s="8" t="e">
        <f t="shared" ca="1" si="3"/>
        <v>#NAME?</v>
      </c>
      <c r="I36" s="8" t="e">
        <f t="shared" ca="1" si="4"/>
        <v>#NAME?</v>
      </c>
      <c r="J36" s="6" t="e">
        <f ca="1">_xll.xlqxhSMA($C36,$L$4,$J$7,$K$3)</f>
        <v>#NAME?</v>
      </c>
      <c r="K36" s="7" t="e">
        <f ca="1">_xll.xlqhClose($C36,K$8,$K$3)</f>
        <v>#NAME?</v>
      </c>
      <c r="L36" s="7" t="e">
        <f ca="1">_xll.xlqhClose($C36,L$8,$K$3)</f>
        <v>#NAME?</v>
      </c>
      <c r="N36" s="9" t="e">
        <f t="shared" ca="1" si="5"/>
        <v>#NAME?</v>
      </c>
      <c r="O36" s="9" t="e">
        <f t="shared" ca="1" si="6"/>
        <v>#NAME?</v>
      </c>
      <c r="P36" s="9" t="e">
        <f t="shared" ca="1" si="7"/>
        <v>#NAME?</v>
      </c>
      <c r="Q36" s="9" t="e">
        <f t="shared" ca="1" si="8"/>
        <v>#NAME?</v>
      </c>
      <c r="R36" s="9" t="e">
        <f t="shared" ca="1" si="9"/>
        <v>#NAME?</v>
      </c>
    </row>
    <row r="37" spans="2:18" x14ac:dyDescent="0.25">
      <c r="B37" s="19" t="s">
        <v>132</v>
      </c>
      <c r="C37" s="5" t="s">
        <v>133</v>
      </c>
      <c r="D37" s="7" t="e">
        <f ca="1">_xll.xlqPrice(C37)</f>
        <v>#NAME?</v>
      </c>
      <c r="E37" s="10" t="e">
        <f t="shared" ca="1" si="0"/>
        <v>#NAME?</v>
      </c>
      <c r="F37" s="9" t="e">
        <f t="shared" ca="1" si="1"/>
        <v>#NAME?</v>
      </c>
      <c r="G37" s="8" t="e">
        <f t="shared" ca="1" si="2"/>
        <v>#NAME?</v>
      </c>
      <c r="H37" s="8" t="e">
        <f t="shared" ca="1" si="3"/>
        <v>#NAME?</v>
      </c>
      <c r="I37" s="8" t="e">
        <f t="shared" ca="1" si="4"/>
        <v>#NAME?</v>
      </c>
      <c r="J37" s="6" t="e">
        <f ca="1">_xll.xlqxhSMA($C37,$L$4,$J$7,$K$3)</f>
        <v>#NAME?</v>
      </c>
      <c r="K37" s="7" t="e">
        <f ca="1">_xll.xlqhClose($C37,K$8,$K$3)</f>
        <v>#NAME?</v>
      </c>
      <c r="L37" s="7" t="e">
        <f ca="1">_xll.xlqhClose($C37,L$8,$K$3)</f>
        <v>#NAME?</v>
      </c>
      <c r="N37" s="9" t="e">
        <f t="shared" ca="1" si="5"/>
        <v>#NAME?</v>
      </c>
      <c r="O37" s="9" t="e">
        <f t="shared" ca="1" si="6"/>
        <v>#NAME?</v>
      </c>
      <c r="P37" s="9" t="e">
        <f t="shared" ca="1" si="7"/>
        <v>#NAME?</v>
      </c>
      <c r="Q37" s="9" t="e">
        <f t="shared" ca="1" si="8"/>
        <v>#NAME?</v>
      </c>
      <c r="R37" s="9" t="e">
        <f t="shared" ca="1" si="9"/>
        <v>#NAME?</v>
      </c>
    </row>
    <row r="38" spans="2:18" x14ac:dyDescent="0.25">
      <c r="B38" s="19" t="s">
        <v>122</v>
      </c>
      <c r="C38" s="5" t="s">
        <v>123</v>
      </c>
      <c r="D38" s="7" t="e">
        <f ca="1">_xll.xlqPrice(C38)</f>
        <v>#NAME?</v>
      </c>
      <c r="E38" s="10" t="e">
        <f t="shared" ca="1" si="0"/>
        <v>#NAME?</v>
      </c>
      <c r="F38" s="9" t="e">
        <f t="shared" ca="1" si="1"/>
        <v>#NAME?</v>
      </c>
      <c r="G38" s="8" t="e">
        <f t="shared" ca="1" si="2"/>
        <v>#NAME?</v>
      </c>
      <c r="H38" s="8" t="e">
        <f t="shared" ca="1" si="3"/>
        <v>#NAME?</v>
      </c>
      <c r="I38" s="8" t="e">
        <f t="shared" ca="1" si="4"/>
        <v>#NAME?</v>
      </c>
      <c r="J38" s="6" t="e">
        <f ca="1">_xll.xlqxhSMA($C38,$L$4,$J$7,$K$3)</f>
        <v>#NAME?</v>
      </c>
      <c r="K38" s="7" t="e">
        <f ca="1">_xll.xlqhClose($C38,K$8,$K$3)</f>
        <v>#NAME?</v>
      </c>
      <c r="L38" s="7" t="e">
        <f ca="1">_xll.xlqhClose($C38,L$8,$K$3)</f>
        <v>#NAME?</v>
      </c>
      <c r="N38" s="9" t="e">
        <f t="shared" ca="1" si="5"/>
        <v>#NAME?</v>
      </c>
      <c r="O38" s="9" t="e">
        <f t="shared" ca="1" si="6"/>
        <v>#NAME?</v>
      </c>
      <c r="P38" s="9" t="e">
        <f t="shared" ca="1" si="7"/>
        <v>#NAME?</v>
      </c>
      <c r="Q38" s="9" t="e">
        <f t="shared" ca="1" si="8"/>
        <v>#NAME?</v>
      </c>
      <c r="R38" s="9" t="e">
        <f t="shared" ca="1" si="9"/>
        <v>#NAME?</v>
      </c>
    </row>
    <row r="39" spans="2:18" x14ac:dyDescent="0.25">
      <c r="B39" s="19" t="s">
        <v>130</v>
      </c>
      <c r="C39" s="5" t="s">
        <v>131</v>
      </c>
      <c r="D39" s="7" t="e">
        <f ca="1">_xll.xlqPrice(C39)</f>
        <v>#NAME?</v>
      </c>
      <c r="E39" s="10" t="e">
        <f t="shared" ca="1" si="0"/>
        <v>#NAME?</v>
      </c>
      <c r="F39" s="9" t="e">
        <f t="shared" ca="1" si="1"/>
        <v>#NAME?</v>
      </c>
      <c r="G39" s="8" t="e">
        <f t="shared" ca="1" si="2"/>
        <v>#NAME?</v>
      </c>
      <c r="H39" s="8" t="e">
        <f t="shared" ca="1" si="3"/>
        <v>#NAME?</v>
      </c>
      <c r="I39" s="8" t="e">
        <f t="shared" ca="1" si="4"/>
        <v>#NAME?</v>
      </c>
      <c r="J39" s="6" t="e">
        <f ca="1">_xll.xlqxhSMA($C39,$L$4,$J$7,$K$3)</f>
        <v>#NAME?</v>
      </c>
      <c r="K39" s="7" t="e">
        <f ca="1">_xll.xlqhClose($C39,K$8,$K$3)</f>
        <v>#NAME?</v>
      </c>
      <c r="L39" s="7" t="e">
        <f ca="1">_xll.xlqhClose($C39,L$8,$K$3)</f>
        <v>#NAME?</v>
      </c>
      <c r="N39" s="9" t="e">
        <f t="shared" ca="1" si="5"/>
        <v>#NAME?</v>
      </c>
      <c r="O39" s="9" t="e">
        <f t="shared" ca="1" si="6"/>
        <v>#NAME?</v>
      </c>
      <c r="P39" s="9" t="e">
        <f t="shared" ca="1" si="7"/>
        <v>#NAME?</v>
      </c>
      <c r="Q39" s="9" t="e">
        <f t="shared" ca="1" si="8"/>
        <v>#NAME?</v>
      </c>
      <c r="R39" s="9" t="e">
        <f t="shared" ca="1" si="9"/>
        <v>#NAME?</v>
      </c>
    </row>
    <row r="40" spans="2:18" x14ac:dyDescent="0.25">
      <c r="B40" s="19" t="s">
        <v>124</v>
      </c>
      <c r="C40" s="5" t="s">
        <v>125</v>
      </c>
      <c r="D40" s="7" t="e">
        <f ca="1">_xll.xlqPrice(C40)</f>
        <v>#NAME?</v>
      </c>
      <c r="E40" s="10" t="e">
        <f t="shared" ca="1" si="0"/>
        <v>#NAME?</v>
      </c>
      <c r="F40" s="9" t="e">
        <f t="shared" ca="1" si="1"/>
        <v>#NAME?</v>
      </c>
      <c r="G40" s="8" t="e">
        <f t="shared" ca="1" si="2"/>
        <v>#NAME?</v>
      </c>
      <c r="H40" s="8" t="e">
        <f t="shared" ca="1" si="3"/>
        <v>#NAME?</v>
      </c>
      <c r="I40" s="8" t="e">
        <f t="shared" ca="1" si="4"/>
        <v>#NAME?</v>
      </c>
      <c r="J40" s="6" t="e">
        <f ca="1">_xll.xlqxhSMA($C40,$L$4,$J$7,$K$3)</f>
        <v>#NAME?</v>
      </c>
      <c r="K40" s="7" t="e">
        <f ca="1">_xll.xlqhClose($C40,K$8,$K$3)</f>
        <v>#NAME?</v>
      </c>
      <c r="L40" s="7" t="e">
        <f ca="1">_xll.xlqhClose($C40,L$8,$K$3)</f>
        <v>#NAME?</v>
      </c>
      <c r="N40" s="9" t="e">
        <f t="shared" ca="1" si="5"/>
        <v>#NAME?</v>
      </c>
      <c r="O40" s="9" t="e">
        <f t="shared" ca="1" si="6"/>
        <v>#NAME?</v>
      </c>
      <c r="P40" s="9" t="e">
        <f t="shared" ca="1" si="7"/>
        <v>#NAME?</v>
      </c>
      <c r="Q40" s="9" t="e">
        <f t="shared" ca="1" si="8"/>
        <v>#NAME?</v>
      </c>
      <c r="R40" s="9" t="e">
        <f t="shared" ca="1" si="9"/>
        <v>#NAME?</v>
      </c>
    </row>
  </sheetData>
  <autoFilter ref="B10:R40">
    <sortState ref="B11:R40">
      <sortCondition ref="F10:F40"/>
    </sortState>
  </autoFilter>
  <mergeCells count="4">
    <mergeCell ref="J6:L6"/>
    <mergeCell ref="G9:I9"/>
    <mergeCell ref="J9:L9"/>
    <mergeCell ref="N9:R9"/>
  </mergeCells>
  <conditionalFormatting sqref="E11:E40">
    <cfRule type="containsText" dxfId="19" priority="6" operator="containsText" text="Cash">
      <formula>NOT(ISERROR(SEARCH("Cash",E11)))</formula>
    </cfRule>
    <cfRule type="containsText" dxfId="18" priority="7" operator="containsText" text="Buy">
      <formula>NOT(ISERROR(SEARCH("Buy",E11)))</formula>
    </cfRule>
  </conditionalFormatting>
  <conditionalFormatting sqref="G11:I40">
    <cfRule type="cellIs" dxfId="17" priority="1" operator="greaterThan">
      <formula>0</formula>
    </cfRule>
    <cfRule type="cellIs" dxfId="16"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R15"/>
  <sheetViews>
    <sheetView workbookViewId="0">
      <selection activeCell="G14" sqref="G14"/>
    </sheetView>
  </sheetViews>
  <sheetFormatPr defaultRowHeight="15" x14ac:dyDescent="0.25"/>
  <cols>
    <col min="2" max="2" width="17.5703125" customWidth="1"/>
    <col min="3" max="12" width="12.42578125" customWidth="1"/>
  </cols>
  <sheetData>
    <row r="2" spans="1:18" x14ac:dyDescent="0.25">
      <c r="K2" s="2" t="s">
        <v>13</v>
      </c>
    </row>
    <row r="3" spans="1:18" x14ac:dyDescent="0.25">
      <c r="K3" s="4" t="s">
        <v>12</v>
      </c>
    </row>
    <row r="4" spans="1:18" x14ac:dyDescent="0.25">
      <c r="K4" s="2" t="s">
        <v>10</v>
      </c>
      <c r="L4">
        <v>0</v>
      </c>
    </row>
    <row r="5" spans="1:18" x14ac:dyDescent="0.25">
      <c r="K5" s="3">
        <f ca="1">TODAY()</f>
        <v>41738</v>
      </c>
    </row>
    <row r="6" spans="1:18" x14ac:dyDescent="0.25">
      <c r="J6" s="50" t="s">
        <v>11</v>
      </c>
      <c r="K6" s="50"/>
      <c r="L6" s="50"/>
    </row>
    <row r="7" spans="1:18" x14ac:dyDescent="0.25">
      <c r="J7" s="1">
        <v>88</v>
      </c>
      <c r="K7" s="1">
        <v>-66</v>
      </c>
      <c r="L7" s="1">
        <v>-132</v>
      </c>
    </row>
    <row r="8" spans="1:18" x14ac:dyDescent="0.25">
      <c r="G8" s="11">
        <v>0.7</v>
      </c>
      <c r="H8" s="11">
        <v>0.3</v>
      </c>
      <c r="J8" s="3">
        <f ca="1">$K$5-J7</f>
        <v>41650</v>
      </c>
      <c r="K8" s="3" t="e">
        <f ca="1">_xll.xlqhDate("SPY",K$7,$K$3)</f>
        <v>#NAME?</v>
      </c>
      <c r="L8" s="3" t="e">
        <f ca="1">_xll.xlqhDate("SPY",L$7,$K$3)</f>
        <v>#NAME?</v>
      </c>
    </row>
    <row r="9" spans="1:18" x14ac:dyDescent="0.25">
      <c r="C9" s="13"/>
      <c r="D9" s="13"/>
      <c r="E9" s="13"/>
      <c r="F9" s="13"/>
      <c r="G9" s="51" t="s">
        <v>33</v>
      </c>
      <c r="H9" s="51"/>
      <c r="I9" s="51"/>
      <c r="J9" s="52" t="s">
        <v>34</v>
      </c>
      <c r="K9" s="52"/>
      <c r="L9" s="52"/>
      <c r="N9" s="53" t="s">
        <v>48</v>
      </c>
      <c r="O9" s="53"/>
      <c r="P9" s="53"/>
      <c r="Q9" s="53"/>
      <c r="R9" s="53"/>
    </row>
    <row r="10" spans="1:18" x14ac:dyDescent="0.25">
      <c r="A10" s="17"/>
      <c r="B10" s="12" t="s">
        <v>0</v>
      </c>
      <c r="C10" s="20" t="s">
        <v>1</v>
      </c>
      <c r="D10" s="14" t="s">
        <v>2</v>
      </c>
      <c r="E10" s="14" t="s">
        <v>26</v>
      </c>
      <c r="F10" s="14" t="s">
        <v>31</v>
      </c>
      <c r="G10" s="15" t="s">
        <v>4</v>
      </c>
      <c r="H10" s="15" t="s">
        <v>3</v>
      </c>
      <c r="I10" s="15" t="s">
        <v>5</v>
      </c>
      <c r="J10" s="16" t="s">
        <v>6</v>
      </c>
      <c r="K10" s="16" t="s">
        <v>8</v>
      </c>
      <c r="L10" s="16" t="s">
        <v>7</v>
      </c>
      <c r="N10" s="22" t="s">
        <v>29</v>
      </c>
      <c r="O10" s="22" t="s">
        <v>30</v>
      </c>
      <c r="P10" s="22" t="s">
        <v>28</v>
      </c>
      <c r="Q10" s="22" t="s">
        <v>27</v>
      </c>
      <c r="R10" s="22" t="s">
        <v>32</v>
      </c>
    </row>
    <row r="11" spans="1:18" x14ac:dyDescent="0.25">
      <c r="A11" s="18"/>
      <c r="B11" s="7" t="s">
        <v>75</v>
      </c>
      <c r="C11" s="21" t="s">
        <v>9</v>
      </c>
      <c r="D11" s="7" t="e">
        <f ca="1">_xll.xlqPrice(C11)</f>
        <v>#NAME?</v>
      </c>
      <c r="E11" s="9" t="e">
        <f ca="1">IF(D11&gt;J11, "Buy","Cash")</f>
        <v>#NAME?</v>
      </c>
      <c r="F11" s="9" t="e">
        <f ca="1">RANK(I11,$I$11:$I$14,0)</f>
        <v>#NAME?</v>
      </c>
      <c r="G11" s="8" t="e">
        <f t="shared" ref="G11:H14" ca="1" si="0">($D11-K11)/K11</f>
        <v>#NAME?</v>
      </c>
      <c r="H11" s="8" t="e">
        <f t="shared" ca="1" si="0"/>
        <v>#NAME?</v>
      </c>
      <c r="I11" s="8" t="e">
        <f ca="1">(G11*$G$8) +(H11*$H$8)</f>
        <v>#NAME?</v>
      </c>
      <c r="J11" s="6" t="e">
        <f ca="1">_xll.xlqxhSMA($C11,$L$4,$J$7,$K$3)</f>
        <v>#NAME?</v>
      </c>
      <c r="K11" s="7" t="e">
        <f ca="1">_xll.xlqhClose($C11,K$8,$K$3)</f>
        <v>#NAME?</v>
      </c>
      <c r="L11" s="7" t="e">
        <f ca="1">_xll.xlqhClose($C11,L$8,$K$3)</f>
        <v>#NAME?</v>
      </c>
      <c r="N11" s="9" t="e">
        <f ca="1">RANK($G11,G$11:G$14,0)</f>
        <v>#NAME?</v>
      </c>
      <c r="O11" s="9" t="e">
        <f ca="1">RANK($H11,H$11:H$14,0)</f>
        <v>#NAME?</v>
      </c>
      <c r="P11" s="9" t="e">
        <f ca="1">(N11*$G$8)+(O11*$H$8)</f>
        <v>#NAME?</v>
      </c>
      <c r="Q11" s="9" t="e">
        <f ca="1">RANK($P11,P$11:P$14,1)</f>
        <v>#NAME?</v>
      </c>
      <c r="R11" s="9" t="e">
        <f ca="1">F11-Q11</f>
        <v>#NAME?</v>
      </c>
    </row>
    <row r="12" spans="1:18" x14ac:dyDescent="0.25">
      <c r="A12" s="18"/>
      <c r="B12" s="7" t="s">
        <v>508</v>
      </c>
      <c r="C12" s="21" t="s">
        <v>15</v>
      </c>
      <c r="D12" s="7" t="e">
        <f ca="1">_xll.xlqPrice(C12)</f>
        <v>#NAME?</v>
      </c>
      <c r="E12" s="9" t="e">
        <f ca="1">IF(D12&gt;J12, "Buy","Cash")</f>
        <v>#NAME?</v>
      </c>
      <c r="F12" s="9" t="e">
        <f ca="1">RANK(I12,$I$11:$I$14,0)</f>
        <v>#NAME?</v>
      </c>
      <c r="G12" s="8" t="e">
        <f t="shared" ca="1" si="0"/>
        <v>#NAME?</v>
      </c>
      <c r="H12" s="8" t="e">
        <f t="shared" ca="1" si="0"/>
        <v>#NAME?</v>
      </c>
      <c r="I12" s="8" t="e">
        <f ca="1">(G12*$G$8) +(H12*$H$8)</f>
        <v>#NAME?</v>
      </c>
      <c r="J12" s="6" t="e">
        <f ca="1">_xll.xlqxhSMA($C12,$L$4,$J$7,$K$3)</f>
        <v>#NAME?</v>
      </c>
      <c r="K12" s="7" t="e">
        <f ca="1">_xll.xlqhClose($C12,K$8,$K$3)</f>
        <v>#NAME?</v>
      </c>
      <c r="L12" s="7" t="e">
        <f ca="1">_xll.xlqhClose($C12,L$8,$K$3)</f>
        <v>#NAME?</v>
      </c>
      <c r="N12" s="9" t="e">
        <f ca="1">RANK($G12,G$11:G$14,0)</f>
        <v>#NAME?</v>
      </c>
      <c r="O12" s="9" t="e">
        <f ca="1">RANK($H12,H$11:H$14,0)</f>
        <v>#NAME?</v>
      </c>
      <c r="P12" s="9" t="e">
        <f ca="1">(N12*$G$8)+(O12*$H$8)</f>
        <v>#NAME?</v>
      </c>
      <c r="Q12" s="9" t="e">
        <f ca="1">RANK($P12,P$11:P$14,1)</f>
        <v>#NAME?</v>
      </c>
      <c r="R12" s="9" t="e">
        <f ca="1">F12-Q12</f>
        <v>#NAME?</v>
      </c>
    </row>
    <row r="13" spans="1:18" x14ac:dyDescent="0.25">
      <c r="A13" s="18"/>
      <c r="B13" s="7" t="s">
        <v>76</v>
      </c>
      <c r="C13" s="21" t="s">
        <v>56</v>
      </c>
      <c r="D13" s="7" t="e">
        <f ca="1">_xll.xlqPrice(C13)</f>
        <v>#NAME?</v>
      </c>
      <c r="E13" s="9" t="e">
        <f ca="1">IF(D13&gt;J13, "Buy","Cash")</f>
        <v>#NAME?</v>
      </c>
      <c r="F13" s="9" t="e">
        <f ca="1">RANK(I13,$I$11:$I$14,0)</f>
        <v>#NAME?</v>
      </c>
      <c r="G13" s="8" t="e">
        <f t="shared" ca="1" si="0"/>
        <v>#NAME?</v>
      </c>
      <c r="H13" s="8" t="e">
        <f t="shared" ca="1" si="0"/>
        <v>#NAME?</v>
      </c>
      <c r="I13" s="8" t="e">
        <f ca="1">(G13*$G$8) +(H13*$H$8)</f>
        <v>#NAME?</v>
      </c>
      <c r="J13" s="6" t="e">
        <f ca="1">_xll.xlqxhSMA($C13,$L$4,$J$7,$K$3)</f>
        <v>#NAME?</v>
      </c>
      <c r="K13" s="7" t="e">
        <f ca="1">_xll.xlqhClose($C13,K$8,$K$3)</f>
        <v>#NAME?</v>
      </c>
      <c r="L13" s="7" t="e">
        <f ca="1">_xll.xlqhClose($C13,L$8,$K$3)</f>
        <v>#NAME?</v>
      </c>
      <c r="N13" s="9" t="e">
        <f ca="1">RANK($G13,G$11:G$14,0)</f>
        <v>#NAME?</v>
      </c>
      <c r="O13" s="9" t="e">
        <f ca="1">RANK($H13,H$11:H$14,0)</f>
        <v>#NAME?</v>
      </c>
      <c r="P13" s="9" t="e">
        <f ca="1">(N13*$G$8)+(O13*$H$8)</f>
        <v>#NAME?</v>
      </c>
      <c r="Q13" s="9" t="e">
        <f ca="1">RANK($P13,P$11:P$14,1)</f>
        <v>#NAME?</v>
      </c>
      <c r="R13" s="9" t="e">
        <f ca="1">F13-Q13</f>
        <v>#NAME?</v>
      </c>
    </row>
    <row r="14" spans="1:18" x14ac:dyDescent="0.25">
      <c r="A14" s="18"/>
      <c r="B14" s="7" t="s">
        <v>77</v>
      </c>
      <c r="C14" s="21" t="s">
        <v>52</v>
      </c>
      <c r="D14" s="7" t="e">
        <f ca="1">_xll.xlqPrice(C14)</f>
        <v>#NAME?</v>
      </c>
      <c r="E14" s="9" t="e">
        <f ca="1">IF(D14&gt;J14, "Buy","Cash")</f>
        <v>#NAME?</v>
      </c>
      <c r="F14" s="9" t="e">
        <f ca="1">RANK(I14,$I$11:$I$14,0)</f>
        <v>#NAME?</v>
      </c>
      <c r="G14" s="8" t="e">
        <f t="shared" ca="1" si="0"/>
        <v>#NAME?</v>
      </c>
      <c r="H14" s="8" t="e">
        <f t="shared" ca="1" si="0"/>
        <v>#NAME?</v>
      </c>
      <c r="I14" s="8" t="e">
        <f ca="1">(G14*$G$8) +(H14*$H$8)</f>
        <v>#NAME?</v>
      </c>
      <c r="J14" s="6" t="e">
        <f ca="1">_xll.xlqxhSMA($C14,$L$4,$J$7,$K$3)</f>
        <v>#NAME?</v>
      </c>
      <c r="K14" s="7" t="e">
        <f ca="1">_xll.xlqhClose($C14,K$8,$K$3)</f>
        <v>#NAME?</v>
      </c>
      <c r="L14" s="7" t="e">
        <f ca="1">_xll.xlqhClose($C14,L$8,$K$3)</f>
        <v>#NAME?</v>
      </c>
      <c r="N14" s="9" t="e">
        <f ca="1">RANK($G14,G$11:G$14,0)</f>
        <v>#NAME?</v>
      </c>
      <c r="O14" s="9" t="e">
        <f ca="1">RANK($H14,H$11:H$14,0)</f>
        <v>#NAME?</v>
      </c>
      <c r="P14" s="9" t="e">
        <f ca="1">(N14*$G$8)+(O14*$H$8)</f>
        <v>#NAME?</v>
      </c>
      <c r="Q14" s="9" t="e">
        <f ca="1">RANK($P14,P$11:P$14,1)</f>
        <v>#NAME?</v>
      </c>
      <c r="R14" s="9" t="e">
        <f ca="1">F14-Q14</f>
        <v>#NAME?</v>
      </c>
    </row>
    <row r="15" spans="1:18" x14ac:dyDescent="0.25">
      <c r="A15" s="17"/>
    </row>
  </sheetData>
  <autoFilter ref="B10:R14">
    <sortState ref="B11:R14">
      <sortCondition ref="F10:F14"/>
    </sortState>
  </autoFilter>
  <mergeCells count="4">
    <mergeCell ref="J6:L6"/>
    <mergeCell ref="G9:I9"/>
    <mergeCell ref="J9:L9"/>
    <mergeCell ref="N9:R9"/>
  </mergeCells>
  <conditionalFormatting sqref="E11:E14">
    <cfRule type="containsText" dxfId="15" priority="3" operator="containsText" text="Cash">
      <formula>NOT(ISERROR(SEARCH("Cash",E11)))</formula>
    </cfRule>
    <cfRule type="containsText" dxfId="14" priority="4" operator="containsText" text="Buy">
      <formula>NOT(ISERROR(SEARCH("Buy",E11)))</formula>
    </cfRule>
  </conditionalFormatting>
  <conditionalFormatting sqref="G11:I14">
    <cfRule type="cellIs" dxfId="13" priority="1" operator="greaterThan">
      <formula>0</formula>
    </cfRule>
    <cfRule type="cellIs" dxfId="12"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215"/>
  <sheetViews>
    <sheetView workbookViewId="0">
      <selection activeCell="D7" sqref="D7"/>
    </sheetView>
  </sheetViews>
  <sheetFormatPr defaultRowHeight="15" x14ac:dyDescent="0.25"/>
  <cols>
    <col min="2" max="2" width="41" bestFit="1" customWidth="1"/>
    <col min="3" max="5" width="12.42578125" customWidth="1"/>
    <col min="6" max="6" width="8.85546875" customWidth="1"/>
    <col min="7" max="12" width="12.42578125" customWidth="1"/>
    <col min="13" max="13" width="3.85546875" customWidth="1"/>
  </cols>
  <sheetData>
    <row r="1" spans="1:18" x14ac:dyDescent="0.25">
      <c r="F1" s="7" t="s">
        <v>136</v>
      </c>
      <c r="G1" s="25" t="e">
        <f ca="1">MAX(G$11:G$215)</f>
        <v>#NAME?</v>
      </c>
      <c r="H1" s="25" t="e">
        <f ca="1">MAX(H$11:H$215)</f>
        <v>#NAME?</v>
      </c>
      <c r="I1" s="25" t="e">
        <f ca="1">MAX(I$11:I$215)</f>
        <v>#NAME?</v>
      </c>
    </row>
    <row r="2" spans="1:18" x14ac:dyDescent="0.25">
      <c r="F2" s="26" t="s">
        <v>137</v>
      </c>
      <c r="G2" s="25" t="e">
        <f ca="1">G3+G6</f>
        <v>#NAME?</v>
      </c>
      <c r="H2" s="25" t="e">
        <f ca="1">H3+H6</f>
        <v>#NAME?</v>
      </c>
      <c r="I2" s="25" t="e">
        <f ca="1">I3+I6</f>
        <v>#NAME?</v>
      </c>
      <c r="K2" s="2" t="s">
        <v>13</v>
      </c>
    </row>
    <row r="3" spans="1:18" x14ac:dyDescent="0.25">
      <c r="F3" s="7" t="s">
        <v>138</v>
      </c>
      <c r="G3" s="25" t="e">
        <f ca="1">AVERAGE(G$11:G$215)</f>
        <v>#NAME?</v>
      </c>
      <c r="H3" s="25" t="e">
        <f ca="1">AVERAGE(H$11:H$215)</f>
        <v>#NAME?</v>
      </c>
      <c r="I3" s="25" t="e">
        <f ca="1">AVERAGE(I$11:I$215)</f>
        <v>#NAME?</v>
      </c>
      <c r="K3" s="4" t="s">
        <v>12</v>
      </c>
    </row>
    <row r="4" spans="1:18" x14ac:dyDescent="0.25">
      <c r="F4" s="7" t="s">
        <v>139</v>
      </c>
      <c r="G4" s="25" t="e">
        <f ca="1">G3-G6</f>
        <v>#NAME?</v>
      </c>
      <c r="H4" s="25" t="e">
        <f ca="1">H3-H6</f>
        <v>#NAME?</v>
      </c>
      <c r="I4" s="25" t="e">
        <f ca="1">I3-I6</f>
        <v>#NAME?</v>
      </c>
      <c r="K4" s="2" t="s">
        <v>10</v>
      </c>
      <c r="L4">
        <v>0</v>
      </c>
    </row>
    <row r="5" spans="1:18" x14ac:dyDescent="0.25">
      <c r="F5" s="7" t="s">
        <v>140</v>
      </c>
      <c r="G5" s="25" t="e">
        <f ca="1">MIN(G$11:G$215)</f>
        <v>#NAME?</v>
      </c>
      <c r="H5" s="25" t="e">
        <f ca="1">MIN(H$11:H$215)</f>
        <v>#NAME?</v>
      </c>
      <c r="I5" s="25" t="e">
        <f ca="1">MIN(I$11:I$215)</f>
        <v>#NAME?</v>
      </c>
      <c r="K5" s="3">
        <f ca="1">TODAY()</f>
        <v>41738</v>
      </c>
    </row>
    <row r="6" spans="1:18" x14ac:dyDescent="0.25">
      <c r="F6" s="7" t="s">
        <v>141</v>
      </c>
      <c r="G6" s="25" t="e">
        <f ca="1">STDEV(G$11:G$215)</f>
        <v>#NAME?</v>
      </c>
      <c r="H6" s="25" t="e">
        <f ca="1">STDEV(H$11:H$215)</f>
        <v>#NAME?</v>
      </c>
      <c r="I6" s="25" t="e">
        <f ca="1">STDEV(I$11:I$215)</f>
        <v>#NAME?</v>
      </c>
      <c r="J6" s="54" t="s">
        <v>11</v>
      </c>
      <c r="K6" s="50"/>
      <c r="L6" s="50"/>
    </row>
    <row r="7" spans="1:18" x14ac:dyDescent="0.25">
      <c r="J7" s="1">
        <v>88</v>
      </c>
      <c r="K7" s="1">
        <v>-66</v>
      </c>
      <c r="L7" s="1">
        <v>-132</v>
      </c>
    </row>
    <row r="8" spans="1:18" x14ac:dyDescent="0.25">
      <c r="G8" s="11">
        <v>0.7</v>
      </c>
      <c r="H8" s="11">
        <v>0.3</v>
      </c>
      <c r="J8" s="3"/>
      <c r="K8" s="3" t="e">
        <f ca="1">_xll.xlqhDate("SPY",K$7,$K$3)</f>
        <v>#NAME?</v>
      </c>
      <c r="L8" s="3" t="e">
        <f ca="1">_xll.xlqhDate("SPY",L$7,$K$3)</f>
        <v>#NAME?</v>
      </c>
    </row>
    <row r="9" spans="1:18" x14ac:dyDescent="0.25">
      <c r="C9" s="13"/>
      <c r="D9" s="13"/>
      <c r="E9" s="13"/>
      <c r="F9" s="13"/>
      <c r="G9" s="51" t="s">
        <v>33</v>
      </c>
      <c r="H9" s="51"/>
      <c r="I9" s="51"/>
      <c r="J9" s="52" t="s">
        <v>34</v>
      </c>
      <c r="K9" s="52"/>
      <c r="L9" s="52"/>
      <c r="N9" s="53" t="s">
        <v>48</v>
      </c>
      <c r="O9" s="53"/>
      <c r="P9" s="53"/>
      <c r="Q9" s="53"/>
      <c r="R9" s="53"/>
    </row>
    <row r="10" spans="1:18" x14ac:dyDescent="0.25">
      <c r="A10" s="17"/>
      <c r="B10" s="12" t="s">
        <v>0</v>
      </c>
      <c r="C10" s="20" t="s">
        <v>1</v>
      </c>
      <c r="D10" s="14" t="s">
        <v>2</v>
      </c>
      <c r="E10" s="14" t="s">
        <v>26</v>
      </c>
      <c r="F10" s="14" t="s">
        <v>31</v>
      </c>
      <c r="G10" s="15" t="s">
        <v>4</v>
      </c>
      <c r="H10" s="15" t="s">
        <v>3</v>
      </c>
      <c r="I10" s="15" t="s">
        <v>5</v>
      </c>
      <c r="J10" s="16" t="s">
        <v>6</v>
      </c>
      <c r="K10" s="16" t="s">
        <v>8</v>
      </c>
      <c r="L10" s="16" t="s">
        <v>7</v>
      </c>
      <c r="N10" s="22" t="s">
        <v>29</v>
      </c>
      <c r="O10" s="22" t="s">
        <v>30</v>
      </c>
      <c r="P10" s="22" t="s">
        <v>28</v>
      </c>
      <c r="Q10" s="22" t="s">
        <v>27</v>
      </c>
      <c r="R10" s="22" t="s">
        <v>32</v>
      </c>
    </row>
    <row r="11" spans="1:18" x14ac:dyDescent="0.25">
      <c r="A11" s="18"/>
      <c r="B11" s="19" t="s">
        <v>506</v>
      </c>
      <c r="C11" s="5" t="s">
        <v>507</v>
      </c>
      <c r="D11" s="7" t="e">
        <f ca="1">_xll.xlqPrice(C11)</f>
        <v>#NAME?</v>
      </c>
      <c r="E11" s="9" t="e">
        <f t="shared" ref="E11:E74" ca="1" si="0">IF(D11&gt;J11, "Buy","Cash")</f>
        <v>#NAME?</v>
      </c>
      <c r="F11" s="9" t="e">
        <f t="shared" ref="F11:F74" ca="1" si="1">RANK(I11,$I$11:$I$215,0)</f>
        <v>#NAME?</v>
      </c>
      <c r="G11" s="8" t="e">
        <f t="shared" ref="G11:G74" ca="1" si="2">($D11-K11)/K11</f>
        <v>#NAME?</v>
      </c>
      <c r="H11" s="8" t="e">
        <f t="shared" ref="H11:H74" ca="1" si="3">($D11-L11)/L11</f>
        <v>#NAME?</v>
      </c>
      <c r="I11" s="8" t="e">
        <f t="shared" ref="I11:I74" ca="1" si="4">(G11*$G$8) +(H11*$H$8)</f>
        <v>#NAME?</v>
      </c>
      <c r="J11" s="6" t="e">
        <f ca="1">_xll.xlqxhSMA($C11,$L$4,$J$7,$K$3)</f>
        <v>#NAME?</v>
      </c>
      <c r="K11" s="7" t="e">
        <f ca="1">_xll.xlqhClose($C11,K$8,$K$3)</f>
        <v>#NAME?</v>
      </c>
      <c r="L11" s="7" t="e">
        <f ca="1">_xll.xlqhClose($C11,L$8,$K$3)</f>
        <v>#NAME?</v>
      </c>
      <c r="N11" s="9" t="e">
        <f t="shared" ref="N11:N74" ca="1" si="5">RANK($G11,G$11:G$215,0)</f>
        <v>#NAME?</v>
      </c>
      <c r="O11" s="9" t="e">
        <f t="shared" ref="O11:O74" ca="1" si="6">RANK($H11,H$11:H$215,0)</f>
        <v>#NAME?</v>
      </c>
      <c r="P11" s="9" t="e">
        <f t="shared" ref="P11:P74" ca="1" si="7">(N11*$G$8)+(O11*$H$8)</f>
        <v>#NAME?</v>
      </c>
      <c r="Q11" s="9" t="e">
        <f t="shared" ref="Q11:Q74" ca="1" si="8">RANK($P11,P$11:P$215,1)</f>
        <v>#NAME?</v>
      </c>
      <c r="R11" s="9" t="e">
        <f t="shared" ref="R11:R74" ca="1" si="9">F11-Q11</f>
        <v>#NAME?</v>
      </c>
    </row>
    <row r="12" spans="1:18" x14ac:dyDescent="0.25">
      <c r="A12" s="18"/>
      <c r="B12" s="19" t="s">
        <v>204</v>
      </c>
      <c r="C12" s="5" t="s">
        <v>205</v>
      </c>
      <c r="D12" s="7" t="e">
        <f ca="1">_xll.xlqPrice(C12)</f>
        <v>#NAME?</v>
      </c>
      <c r="E12" s="9" t="e">
        <f t="shared" ca="1" si="0"/>
        <v>#NAME?</v>
      </c>
      <c r="F12" s="9" t="e">
        <f t="shared" ca="1" si="1"/>
        <v>#NAME?</v>
      </c>
      <c r="G12" s="8" t="e">
        <f t="shared" ca="1" si="2"/>
        <v>#NAME?</v>
      </c>
      <c r="H12" s="8" t="e">
        <f t="shared" ca="1" si="3"/>
        <v>#NAME?</v>
      </c>
      <c r="I12" s="8" t="e">
        <f t="shared" ca="1" si="4"/>
        <v>#NAME?</v>
      </c>
      <c r="J12" s="6" t="e">
        <f ca="1">_xll.xlqxhSMA($C12,$L$4,$J$7,$K$3)</f>
        <v>#NAME?</v>
      </c>
      <c r="K12" s="7" t="e">
        <f ca="1">_xll.xlqhClose($C12,K$8,$K$3)</f>
        <v>#NAME?</v>
      </c>
      <c r="L12" s="7" t="e">
        <f ca="1">_xll.xlqhClose($C12,L$8,$K$3)</f>
        <v>#NAME?</v>
      </c>
      <c r="N12" s="9" t="e">
        <f t="shared" ca="1" si="5"/>
        <v>#NAME?</v>
      </c>
      <c r="O12" s="9" t="e">
        <f t="shared" ca="1" si="6"/>
        <v>#NAME?</v>
      </c>
      <c r="P12" s="9" t="e">
        <f t="shared" ca="1" si="7"/>
        <v>#NAME?</v>
      </c>
      <c r="Q12" s="9" t="e">
        <f t="shared" ca="1" si="8"/>
        <v>#NAME?</v>
      </c>
      <c r="R12" s="9" t="e">
        <f t="shared" ca="1" si="9"/>
        <v>#NAME?</v>
      </c>
    </row>
    <row r="13" spans="1:18" x14ac:dyDescent="0.25">
      <c r="A13" s="18"/>
      <c r="B13" s="19" t="s">
        <v>478</v>
      </c>
      <c r="C13" s="5" t="s">
        <v>479</v>
      </c>
      <c r="D13" s="7" t="e">
        <f ca="1">_xll.xlqPrice(C13)</f>
        <v>#NAME?</v>
      </c>
      <c r="E13" s="9" t="e">
        <f t="shared" ca="1" si="0"/>
        <v>#NAME?</v>
      </c>
      <c r="F13" s="9" t="e">
        <f t="shared" ca="1" si="1"/>
        <v>#NAME?</v>
      </c>
      <c r="G13" s="8" t="e">
        <f t="shared" ca="1" si="2"/>
        <v>#NAME?</v>
      </c>
      <c r="H13" s="8" t="e">
        <f t="shared" ca="1" si="3"/>
        <v>#NAME?</v>
      </c>
      <c r="I13" s="8" t="e">
        <f t="shared" ca="1" si="4"/>
        <v>#NAME?</v>
      </c>
      <c r="J13" s="6" t="e">
        <f ca="1">_xll.xlqxhSMA($C13,$L$4,$J$7,$K$3)</f>
        <v>#NAME?</v>
      </c>
      <c r="K13" s="7" t="e">
        <f ca="1">_xll.xlqhClose($C13,K$8,$K$3)</f>
        <v>#NAME?</v>
      </c>
      <c r="L13" s="7" t="e">
        <f ca="1">_xll.xlqhClose($C13,L$8,$K$3)</f>
        <v>#NAME?</v>
      </c>
      <c r="N13" s="9" t="e">
        <f t="shared" ca="1" si="5"/>
        <v>#NAME?</v>
      </c>
      <c r="O13" s="9" t="e">
        <f t="shared" ca="1" si="6"/>
        <v>#NAME?</v>
      </c>
      <c r="P13" s="9" t="e">
        <f t="shared" ca="1" si="7"/>
        <v>#NAME?</v>
      </c>
      <c r="Q13" s="9" t="e">
        <f t="shared" ca="1" si="8"/>
        <v>#NAME?</v>
      </c>
      <c r="R13" s="9" t="e">
        <f t="shared" ca="1" si="9"/>
        <v>#NAME?</v>
      </c>
    </row>
    <row r="14" spans="1:18" x14ac:dyDescent="0.25">
      <c r="A14" s="18"/>
      <c r="B14" s="19" t="s">
        <v>408</v>
      </c>
      <c r="C14" s="5" t="s">
        <v>409</v>
      </c>
      <c r="D14" s="7" t="e">
        <f ca="1">_xll.xlqPrice(C14)</f>
        <v>#NAME?</v>
      </c>
      <c r="E14" s="9" t="e">
        <f t="shared" ca="1" si="0"/>
        <v>#NAME?</v>
      </c>
      <c r="F14" s="9" t="e">
        <f t="shared" ca="1" si="1"/>
        <v>#NAME?</v>
      </c>
      <c r="G14" s="8" t="e">
        <f t="shared" ca="1" si="2"/>
        <v>#NAME?</v>
      </c>
      <c r="H14" s="8" t="e">
        <f t="shared" ca="1" si="3"/>
        <v>#NAME?</v>
      </c>
      <c r="I14" s="8" t="e">
        <f t="shared" ca="1" si="4"/>
        <v>#NAME?</v>
      </c>
      <c r="J14" s="6" t="e">
        <f ca="1">_xll.xlqxhSMA($C14,$L$4,$J$7,$K$3)</f>
        <v>#NAME?</v>
      </c>
      <c r="K14" s="7" t="e">
        <f ca="1">_xll.xlqhClose($C14,K$8,$K$3)</f>
        <v>#NAME?</v>
      </c>
      <c r="L14" s="7" t="e">
        <f ca="1">_xll.xlqhClose($C14,L$8,$K$3)</f>
        <v>#NAME?</v>
      </c>
      <c r="N14" s="9" t="e">
        <f t="shared" ca="1" si="5"/>
        <v>#NAME?</v>
      </c>
      <c r="O14" s="9" t="e">
        <f t="shared" ca="1" si="6"/>
        <v>#NAME?</v>
      </c>
      <c r="P14" s="9" t="e">
        <f t="shared" ca="1" si="7"/>
        <v>#NAME?</v>
      </c>
      <c r="Q14" s="9" t="e">
        <f t="shared" ca="1" si="8"/>
        <v>#NAME?</v>
      </c>
      <c r="R14" s="9" t="e">
        <f t="shared" ca="1" si="9"/>
        <v>#NAME?</v>
      </c>
    </row>
    <row r="15" spans="1:18" x14ac:dyDescent="0.25">
      <c r="A15" s="18"/>
      <c r="B15" s="19" t="s">
        <v>160</v>
      </c>
      <c r="C15" s="5" t="s">
        <v>161</v>
      </c>
      <c r="D15" s="7" t="e">
        <f ca="1">_xll.xlqPrice(C15)</f>
        <v>#NAME?</v>
      </c>
      <c r="E15" s="9" t="e">
        <f t="shared" ca="1" si="0"/>
        <v>#NAME?</v>
      </c>
      <c r="F15" s="9" t="e">
        <f t="shared" ca="1" si="1"/>
        <v>#NAME?</v>
      </c>
      <c r="G15" s="8" t="e">
        <f t="shared" ca="1" si="2"/>
        <v>#NAME?</v>
      </c>
      <c r="H15" s="8" t="e">
        <f t="shared" ca="1" si="3"/>
        <v>#NAME?</v>
      </c>
      <c r="I15" s="8" t="e">
        <f t="shared" ca="1" si="4"/>
        <v>#NAME?</v>
      </c>
      <c r="J15" s="6" t="e">
        <f ca="1">_xll.xlqxhSMA($C15,$L$4,$J$7,$K$3)</f>
        <v>#NAME?</v>
      </c>
      <c r="K15" s="7" t="e">
        <f ca="1">_xll.xlqhClose($C15,K$8,$K$3)</f>
        <v>#NAME?</v>
      </c>
      <c r="L15" s="7" t="e">
        <f ca="1">_xll.xlqhClose($C15,L$8,$K$3)</f>
        <v>#NAME?</v>
      </c>
      <c r="N15" s="9" t="e">
        <f t="shared" ca="1" si="5"/>
        <v>#NAME?</v>
      </c>
      <c r="O15" s="9" t="e">
        <f t="shared" ca="1" si="6"/>
        <v>#NAME?</v>
      </c>
      <c r="P15" s="9" t="e">
        <f t="shared" ca="1" si="7"/>
        <v>#NAME?</v>
      </c>
      <c r="Q15" s="9" t="e">
        <f t="shared" ca="1" si="8"/>
        <v>#NAME?</v>
      </c>
      <c r="R15" s="9" t="e">
        <f t="shared" ca="1" si="9"/>
        <v>#NAME?</v>
      </c>
    </row>
    <row r="16" spans="1:18" x14ac:dyDescent="0.25">
      <c r="A16" s="18"/>
      <c r="B16" s="19" t="s">
        <v>224</v>
      </c>
      <c r="C16" s="5" t="s">
        <v>225</v>
      </c>
      <c r="D16" s="7" t="e">
        <f ca="1">_xll.xlqPrice(C16)</f>
        <v>#NAME?</v>
      </c>
      <c r="E16" s="9" t="e">
        <f t="shared" ca="1" si="0"/>
        <v>#NAME?</v>
      </c>
      <c r="F16" s="9" t="e">
        <f t="shared" ca="1" si="1"/>
        <v>#NAME?</v>
      </c>
      <c r="G16" s="8" t="e">
        <f t="shared" ca="1" si="2"/>
        <v>#NAME?</v>
      </c>
      <c r="H16" s="8" t="e">
        <f t="shared" ca="1" si="3"/>
        <v>#NAME?</v>
      </c>
      <c r="I16" s="8" t="e">
        <f t="shared" ca="1" si="4"/>
        <v>#NAME?</v>
      </c>
      <c r="J16" s="6" t="e">
        <f ca="1">_xll.xlqxhSMA($C16,$L$4,$J$7,$K$3)</f>
        <v>#NAME?</v>
      </c>
      <c r="K16" s="7" t="e">
        <f ca="1">_xll.xlqhClose($C16,K$8,$K$3)</f>
        <v>#NAME?</v>
      </c>
      <c r="L16" s="7" t="e">
        <f ca="1">_xll.xlqhClose($C16,L$8,$K$3)</f>
        <v>#NAME?</v>
      </c>
      <c r="N16" s="9" t="e">
        <f t="shared" ca="1" si="5"/>
        <v>#NAME?</v>
      </c>
      <c r="O16" s="9" t="e">
        <f t="shared" ca="1" si="6"/>
        <v>#NAME?</v>
      </c>
      <c r="P16" s="9" t="e">
        <f t="shared" ca="1" si="7"/>
        <v>#NAME?</v>
      </c>
      <c r="Q16" s="9" t="e">
        <f t="shared" ca="1" si="8"/>
        <v>#NAME?</v>
      </c>
      <c r="R16" s="9" t="e">
        <f t="shared" ca="1" si="9"/>
        <v>#NAME?</v>
      </c>
    </row>
    <row r="17" spans="1:18" x14ac:dyDescent="0.25">
      <c r="A17" s="18"/>
      <c r="B17" s="19" t="s">
        <v>222</v>
      </c>
      <c r="C17" s="5" t="s">
        <v>223</v>
      </c>
      <c r="D17" s="7" t="e">
        <f ca="1">_xll.xlqPrice(C17)</f>
        <v>#NAME?</v>
      </c>
      <c r="E17" s="9" t="e">
        <f t="shared" ca="1" si="0"/>
        <v>#NAME?</v>
      </c>
      <c r="F17" s="9" t="e">
        <f t="shared" ca="1" si="1"/>
        <v>#NAME?</v>
      </c>
      <c r="G17" s="8" t="e">
        <f t="shared" ca="1" si="2"/>
        <v>#NAME?</v>
      </c>
      <c r="H17" s="8" t="e">
        <f t="shared" ca="1" si="3"/>
        <v>#NAME?</v>
      </c>
      <c r="I17" s="8" t="e">
        <f t="shared" ca="1" si="4"/>
        <v>#NAME?</v>
      </c>
      <c r="J17" s="6" t="e">
        <f ca="1">_xll.xlqxhSMA($C17,$L$4,$J$7,$K$3)</f>
        <v>#NAME?</v>
      </c>
      <c r="K17" s="7" t="e">
        <f ca="1">_xll.xlqhClose($C17,K$8,$K$3)</f>
        <v>#NAME?</v>
      </c>
      <c r="L17" s="7" t="e">
        <f ca="1">_xll.xlqhClose($C17,L$8,$K$3)</f>
        <v>#NAME?</v>
      </c>
      <c r="N17" s="9" t="e">
        <f t="shared" ca="1" si="5"/>
        <v>#NAME?</v>
      </c>
      <c r="O17" s="9" t="e">
        <f t="shared" ca="1" si="6"/>
        <v>#NAME?</v>
      </c>
      <c r="P17" s="9" t="e">
        <f t="shared" ca="1" si="7"/>
        <v>#NAME?</v>
      </c>
      <c r="Q17" s="9" t="e">
        <f t="shared" ca="1" si="8"/>
        <v>#NAME?</v>
      </c>
      <c r="R17" s="9" t="e">
        <f t="shared" ca="1" si="9"/>
        <v>#NAME?</v>
      </c>
    </row>
    <row r="18" spans="1:18" x14ac:dyDescent="0.25">
      <c r="A18" s="18"/>
      <c r="B18" s="19" t="s">
        <v>142</v>
      </c>
      <c r="C18" s="5" t="s">
        <v>143</v>
      </c>
      <c r="D18" s="7" t="e">
        <f ca="1">_xll.xlqPrice(C18)</f>
        <v>#NAME?</v>
      </c>
      <c r="E18" s="9" t="e">
        <f t="shared" ca="1" si="0"/>
        <v>#NAME?</v>
      </c>
      <c r="F18" s="9" t="e">
        <f t="shared" ca="1" si="1"/>
        <v>#NAME?</v>
      </c>
      <c r="G18" s="8" t="e">
        <f t="shared" ca="1" si="2"/>
        <v>#NAME?</v>
      </c>
      <c r="H18" s="8" t="e">
        <f t="shared" ca="1" si="3"/>
        <v>#NAME?</v>
      </c>
      <c r="I18" s="8" t="e">
        <f t="shared" ca="1" si="4"/>
        <v>#NAME?</v>
      </c>
      <c r="J18" s="6" t="e">
        <f ca="1">_xll.xlqxhSMA($C18,$L$4,$J$7,$K$3)</f>
        <v>#NAME?</v>
      </c>
      <c r="K18" s="7" t="e">
        <f ca="1">_xll.xlqhClose($C18,K$8,$K$3)</f>
        <v>#NAME?</v>
      </c>
      <c r="L18" s="7" t="e">
        <f ca="1">_xll.xlqhClose($C18,L$8,$K$3)</f>
        <v>#NAME?</v>
      </c>
      <c r="N18" s="9" t="e">
        <f t="shared" ca="1" si="5"/>
        <v>#NAME?</v>
      </c>
      <c r="O18" s="9" t="e">
        <f t="shared" ca="1" si="6"/>
        <v>#NAME?</v>
      </c>
      <c r="P18" s="9" t="e">
        <f t="shared" ca="1" si="7"/>
        <v>#NAME?</v>
      </c>
      <c r="Q18" s="9" t="e">
        <f t="shared" ca="1" si="8"/>
        <v>#NAME?</v>
      </c>
      <c r="R18" s="9" t="e">
        <f t="shared" ca="1" si="9"/>
        <v>#NAME?</v>
      </c>
    </row>
    <row r="19" spans="1:18" x14ac:dyDescent="0.25">
      <c r="A19" s="18"/>
      <c r="B19" s="19" t="s">
        <v>502</v>
      </c>
      <c r="C19" s="5" t="s">
        <v>503</v>
      </c>
      <c r="D19" s="7" t="e">
        <f ca="1">_xll.xlqPrice(C19)</f>
        <v>#NAME?</v>
      </c>
      <c r="E19" s="9" t="e">
        <f t="shared" ca="1" si="0"/>
        <v>#NAME?</v>
      </c>
      <c r="F19" s="9" t="e">
        <f t="shared" ca="1" si="1"/>
        <v>#NAME?</v>
      </c>
      <c r="G19" s="8" t="e">
        <f t="shared" ca="1" si="2"/>
        <v>#NAME?</v>
      </c>
      <c r="H19" s="8" t="e">
        <f t="shared" ca="1" si="3"/>
        <v>#NAME?</v>
      </c>
      <c r="I19" s="8" t="e">
        <f t="shared" ca="1" si="4"/>
        <v>#NAME?</v>
      </c>
      <c r="J19" s="6" t="e">
        <f ca="1">_xll.xlqxhSMA($C19,$L$4,$J$7,$K$3)</f>
        <v>#NAME?</v>
      </c>
      <c r="K19" s="7" t="e">
        <f ca="1">_xll.xlqhClose($C19,K$8,$K$3)</f>
        <v>#NAME?</v>
      </c>
      <c r="L19" s="7" t="e">
        <f ca="1">_xll.xlqhClose($C19,L$8,$K$3)</f>
        <v>#NAME?</v>
      </c>
      <c r="N19" s="9" t="e">
        <f t="shared" ca="1" si="5"/>
        <v>#NAME?</v>
      </c>
      <c r="O19" s="9" t="e">
        <f t="shared" ca="1" si="6"/>
        <v>#NAME?</v>
      </c>
      <c r="P19" s="9" t="e">
        <f t="shared" ca="1" si="7"/>
        <v>#NAME?</v>
      </c>
      <c r="Q19" s="9" t="e">
        <f t="shared" ca="1" si="8"/>
        <v>#NAME?</v>
      </c>
      <c r="R19" s="9" t="e">
        <f t="shared" ca="1" si="9"/>
        <v>#NAME?</v>
      </c>
    </row>
    <row r="20" spans="1:18" x14ac:dyDescent="0.25">
      <c r="A20" s="18"/>
      <c r="B20" s="19" t="s">
        <v>500</v>
      </c>
      <c r="C20" s="5" t="s">
        <v>501</v>
      </c>
      <c r="D20" s="7" t="e">
        <f ca="1">_xll.xlqPrice(C20)</f>
        <v>#NAME?</v>
      </c>
      <c r="E20" s="9" t="e">
        <f t="shared" ca="1" si="0"/>
        <v>#NAME?</v>
      </c>
      <c r="F20" s="9" t="e">
        <f t="shared" ca="1" si="1"/>
        <v>#NAME?</v>
      </c>
      <c r="G20" s="8" t="e">
        <f t="shared" ca="1" si="2"/>
        <v>#NAME?</v>
      </c>
      <c r="H20" s="8" t="e">
        <f t="shared" ca="1" si="3"/>
        <v>#NAME?</v>
      </c>
      <c r="I20" s="8" t="e">
        <f t="shared" ca="1" si="4"/>
        <v>#NAME?</v>
      </c>
      <c r="J20" s="6" t="e">
        <f ca="1">_xll.xlqxhSMA($C20,$L$4,$J$7,$K$3)</f>
        <v>#NAME?</v>
      </c>
      <c r="K20" s="7" t="e">
        <f ca="1">_xll.xlqhClose($C20,K$8,$K$3)</f>
        <v>#NAME?</v>
      </c>
      <c r="L20" s="7" t="e">
        <f ca="1">_xll.xlqhClose($C20,L$8,$K$3)</f>
        <v>#NAME?</v>
      </c>
      <c r="N20" s="9" t="e">
        <f t="shared" ca="1" si="5"/>
        <v>#NAME?</v>
      </c>
      <c r="O20" s="9" t="e">
        <f t="shared" ca="1" si="6"/>
        <v>#NAME?</v>
      </c>
      <c r="P20" s="9" t="e">
        <f t="shared" ca="1" si="7"/>
        <v>#NAME?</v>
      </c>
      <c r="Q20" s="9" t="e">
        <f t="shared" ca="1" si="8"/>
        <v>#NAME?</v>
      </c>
      <c r="R20" s="9" t="e">
        <f t="shared" ca="1" si="9"/>
        <v>#NAME?</v>
      </c>
    </row>
    <row r="21" spans="1:18" x14ac:dyDescent="0.25">
      <c r="A21" s="18"/>
      <c r="B21" s="19" t="s">
        <v>210</v>
      </c>
      <c r="C21" s="5" t="s">
        <v>211</v>
      </c>
      <c r="D21" s="7" t="e">
        <f ca="1">_xll.xlqPrice(C21)</f>
        <v>#NAME?</v>
      </c>
      <c r="E21" s="9" t="e">
        <f t="shared" ca="1" si="0"/>
        <v>#NAME?</v>
      </c>
      <c r="F21" s="9" t="e">
        <f t="shared" ca="1" si="1"/>
        <v>#NAME?</v>
      </c>
      <c r="G21" s="8" t="e">
        <f t="shared" ca="1" si="2"/>
        <v>#NAME?</v>
      </c>
      <c r="H21" s="8" t="e">
        <f t="shared" ca="1" si="3"/>
        <v>#NAME?</v>
      </c>
      <c r="I21" s="8" t="e">
        <f t="shared" ca="1" si="4"/>
        <v>#NAME?</v>
      </c>
      <c r="J21" s="6" t="e">
        <f ca="1">_xll.xlqxhSMA($C21,$L$4,$J$7,$K$3)</f>
        <v>#NAME?</v>
      </c>
      <c r="K21" s="7" t="e">
        <f ca="1">_xll.xlqhClose($C21,K$8,$K$3)</f>
        <v>#NAME?</v>
      </c>
      <c r="L21" s="7" t="e">
        <f ca="1">_xll.xlqhClose($C21,L$8,$K$3)</f>
        <v>#NAME?</v>
      </c>
      <c r="N21" s="9" t="e">
        <f t="shared" ca="1" si="5"/>
        <v>#NAME?</v>
      </c>
      <c r="O21" s="9" t="e">
        <f t="shared" ca="1" si="6"/>
        <v>#NAME?</v>
      </c>
      <c r="P21" s="9" t="e">
        <f t="shared" ca="1" si="7"/>
        <v>#NAME?</v>
      </c>
      <c r="Q21" s="9" t="e">
        <f t="shared" ca="1" si="8"/>
        <v>#NAME?</v>
      </c>
      <c r="R21" s="9" t="e">
        <f t="shared" ca="1" si="9"/>
        <v>#NAME?</v>
      </c>
    </row>
    <row r="22" spans="1:18" x14ac:dyDescent="0.25">
      <c r="A22" s="18"/>
      <c r="B22" s="19" t="s">
        <v>236</v>
      </c>
      <c r="C22" s="5" t="s">
        <v>237</v>
      </c>
      <c r="D22" s="7" t="e">
        <f ca="1">_xll.xlqPrice(C22)</f>
        <v>#NAME?</v>
      </c>
      <c r="E22" s="9" t="e">
        <f t="shared" ca="1" si="0"/>
        <v>#NAME?</v>
      </c>
      <c r="F22" s="9" t="e">
        <f t="shared" ca="1" si="1"/>
        <v>#NAME?</v>
      </c>
      <c r="G22" s="8" t="e">
        <f t="shared" ca="1" si="2"/>
        <v>#NAME?</v>
      </c>
      <c r="H22" s="8" t="e">
        <f t="shared" ca="1" si="3"/>
        <v>#NAME?</v>
      </c>
      <c r="I22" s="8" t="e">
        <f t="shared" ca="1" si="4"/>
        <v>#NAME?</v>
      </c>
      <c r="J22" s="6" t="e">
        <f ca="1">_xll.xlqxhSMA($C22,$L$4,$J$7,$K$3)</f>
        <v>#NAME?</v>
      </c>
      <c r="K22" s="7" t="e">
        <f ca="1">_xll.xlqhClose($C22,K$8,$K$3)</f>
        <v>#NAME?</v>
      </c>
      <c r="L22" s="7" t="e">
        <f ca="1">_xll.xlqhClose($C22,L$8,$K$3)</f>
        <v>#NAME?</v>
      </c>
      <c r="N22" s="9" t="e">
        <f t="shared" ca="1" si="5"/>
        <v>#NAME?</v>
      </c>
      <c r="O22" s="9" t="e">
        <f t="shared" ca="1" si="6"/>
        <v>#NAME?</v>
      </c>
      <c r="P22" s="9" t="e">
        <f t="shared" ca="1" si="7"/>
        <v>#NAME?</v>
      </c>
      <c r="Q22" s="9" t="e">
        <f t="shared" ca="1" si="8"/>
        <v>#NAME?</v>
      </c>
      <c r="R22" s="9" t="e">
        <f t="shared" ca="1" si="9"/>
        <v>#NAME?</v>
      </c>
    </row>
    <row r="23" spans="1:18" x14ac:dyDescent="0.25">
      <c r="A23" s="18"/>
      <c r="B23" s="19" t="s">
        <v>420</v>
      </c>
      <c r="C23" s="5" t="s">
        <v>421</v>
      </c>
      <c r="D23" s="7" t="e">
        <f ca="1">_xll.xlqPrice(C23)</f>
        <v>#NAME?</v>
      </c>
      <c r="E23" s="9" t="e">
        <f t="shared" ca="1" si="0"/>
        <v>#NAME?</v>
      </c>
      <c r="F23" s="9" t="e">
        <f t="shared" ca="1" si="1"/>
        <v>#NAME?</v>
      </c>
      <c r="G23" s="8" t="e">
        <f t="shared" ca="1" si="2"/>
        <v>#NAME?</v>
      </c>
      <c r="H23" s="8" t="e">
        <f t="shared" ca="1" si="3"/>
        <v>#NAME?</v>
      </c>
      <c r="I23" s="8" t="e">
        <f t="shared" ca="1" si="4"/>
        <v>#NAME?</v>
      </c>
      <c r="J23" s="6" t="e">
        <f ca="1">_xll.xlqxhSMA($C23,$L$4,$J$7,$K$3)</f>
        <v>#NAME?</v>
      </c>
      <c r="K23" s="7" t="e">
        <f ca="1">_xll.xlqhClose($C23,K$8,$K$3)</f>
        <v>#NAME?</v>
      </c>
      <c r="L23" s="7" t="e">
        <f ca="1">_xll.xlqhClose($C23,L$8,$K$3)</f>
        <v>#NAME?</v>
      </c>
      <c r="N23" s="9" t="e">
        <f t="shared" ca="1" si="5"/>
        <v>#NAME?</v>
      </c>
      <c r="O23" s="9" t="e">
        <f t="shared" ca="1" si="6"/>
        <v>#NAME?</v>
      </c>
      <c r="P23" s="9" t="e">
        <f t="shared" ca="1" si="7"/>
        <v>#NAME?</v>
      </c>
      <c r="Q23" s="9" t="e">
        <f t="shared" ca="1" si="8"/>
        <v>#NAME?</v>
      </c>
      <c r="R23" s="9" t="e">
        <f t="shared" ca="1" si="9"/>
        <v>#NAME?</v>
      </c>
    </row>
    <row r="24" spans="1:18" x14ac:dyDescent="0.25">
      <c r="A24" s="18"/>
      <c r="B24" s="19" t="s">
        <v>486</v>
      </c>
      <c r="C24" s="5" t="s">
        <v>487</v>
      </c>
      <c r="D24" s="7" t="e">
        <f ca="1">_xll.xlqPrice(C24)</f>
        <v>#NAME?</v>
      </c>
      <c r="E24" s="9" t="e">
        <f t="shared" ca="1" si="0"/>
        <v>#NAME?</v>
      </c>
      <c r="F24" s="9" t="e">
        <f t="shared" ca="1" si="1"/>
        <v>#NAME?</v>
      </c>
      <c r="G24" s="8" t="e">
        <f t="shared" ca="1" si="2"/>
        <v>#NAME?</v>
      </c>
      <c r="H24" s="8" t="e">
        <f t="shared" ca="1" si="3"/>
        <v>#NAME?</v>
      </c>
      <c r="I24" s="8" t="e">
        <f t="shared" ca="1" si="4"/>
        <v>#NAME?</v>
      </c>
      <c r="J24" s="6" t="e">
        <f ca="1">_xll.xlqxhSMA($C24,$L$4,$J$7,$K$3)</f>
        <v>#NAME?</v>
      </c>
      <c r="K24" s="7" t="e">
        <f ca="1">_xll.xlqhClose($C24,K$8,$K$3)</f>
        <v>#NAME?</v>
      </c>
      <c r="L24" s="7" t="e">
        <f ca="1">_xll.xlqhClose($C24,L$8,$K$3)</f>
        <v>#NAME?</v>
      </c>
      <c r="N24" s="9" t="e">
        <f t="shared" ca="1" si="5"/>
        <v>#NAME?</v>
      </c>
      <c r="O24" s="9" t="e">
        <f t="shared" ca="1" si="6"/>
        <v>#NAME?</v>
      </c>
      <c r="P24" s="9" t="e">
        <f t="shared" ca="1" si="7"/>
        <v>#NAME?</v>
      </c>
      <c r="Q24" s="9" t="e">
        <f t="shared" ca="1" si="8"/>
        <v>#NAME?</v>
      </c>
      <c r="R24" s="9" t="e">
        <f t="shared" ca="1" si="9"/>
        <v>#NAME?</v>
      </c>
    </row>
    <row r="25" spans="1:18" x14ac:dyDescent="0.25">
      <c r="A25" s="18"/>
      <c r="B25" s="19" t="s">
        <v>35</v>
      </c>
      <c r="C25" s="5" t="s">
        <v>14</v>
      </c>
      <c r="D25" s="7" t="e">
        <f ca="1">_xll.xlqPrice(C25)</f>
        <v>#NAME?</v>
      </c>
      <c r="E25" s="9" t="e">
        <f t="shared" ca="1" si="0"/>
        <v>#NAME?</v>
      </c>
      <c r="F25" s="9" t="e">
        <f t="shared" ca="1" si="1"/>
        <v>#NAME?</v>
      </c>
      <c r="G25" s="8" t="e">
        <f t="shared" ca="1" si="2"/>
        <v>#NAME?</v>
      </c>
      <c r="H25" s="8" t="e">
        <f t="shared" ca="1" si="3"/>
        <v>#NAME?</v>
      </c>
      <c r="I25" s="8" t="e">
        <f t="shared" ca="1" si="4"/>
        <v>#NAME?</v>
      </c>
      <c r="J25" s="6" t="e">
        <f ca="1">_xll.xlqxhSMA($C25,$L$4,$J$7,$K$3)</f>
        <v>#NAME?</v>
      </c>
      <c r="K25" s="7" t="e">
        <f ca="1">_xll.xlqhClose($C25,K$8,$K$3)</f>
        <v>#NAME?</v>
      </c>
      <c r="L25" s="7" t="e">
        <f ca="1">_xll.xlqhClose($C25,L$8,$K$3)</f>
        <v>#NAME?</v>
      </c>
      <c r="N25" s="9" t="e">
        <f t="shared" ca="1" si="5"/>
        <v>#NAME?</v>
      </c>
      <c r="O25" s="9" t="e">
        <f t="shared" ca="1" si="6"/>
        <v>#NAME?</v>
      </c>
      <c r="P25" s="9" t="e">
        <f t="shared" ca="1" si="7"/>
        <v>#NAME?</v>
      </c>
      <c r="Q25" s="9" t="e">
        <f t="shared" ca="1" si="8"/>
        <v>#NAME?</v>
      </c>
      <c r="R25" s="9" t="e">
        <f t="shared" ca="1" si="9"/>
        <v>#NAME?</v>
      </c>
    </row>
    <row r="26" spans="1:18" x14ac:dyDescent="0.25">
      <c r="A26" s="18"/>
      <c r="B26" s="19" t="s">
        <v>294</v>
      </c>
      <c r="C26" s="5" t="s">
        <v>295</v>
      </c>
      <c r="D26" s="7" t="e">
        <f ca="1">_xll.xlqPrice(C26)</f>
        <v>#NAME?</v>
      </c>
      <c r="E26" s="9" t="e">
        <f t="shared" ca="1" si="0"/>
        <v>#NAME?</v>
      </c>
      <c r="F26" s="9" t="e">
        <f t="shared" ca="1" si="1"/>
        <v>#NAME?</v>
      </c>
      <c r="G26" s="8" t="e">
        <f t="shared" ca="1" si="2"/>
        <v>#NAME?</v>
      </c>
      <c r="H26" s="8" t="e">
        <f t="shared" ca="1" si="3"/>
        <v>#NAME?</v>
      </c>
      <c r="I26" s="8" t="e">
        <f t="shared" ca="1" si="4"/>
        <v>#NAME?</v>
      </c>
      <c r="J26" s="6" t="e">
        <f ca="1">_xll.xlqxhSMA($C26,$L$4,$J$7,$K$3)</f>
        <v>#NAME?</v>
      </c>
      <c r="K26" s="7" t="e">
        <f ca="1">_xll.xlqhClose($C26,K$8,$K$3)</f>
        <v>#NAME?</v>
      </c>
      <c r="L26" s="7" t="e">
        <f ca="1">_xll.xlqhClose($C26,L$8,$K$3)</f>
        <v>#NAME?</v>
      </c>
      <c r="N26" s="9" t="e">
        <f t="shared" ca="1" si="5"/>
        <v>#NAME?</v>
      </c>
      <c r="O26" s="9" t="e">
        <f t="shared" ca="1" si="6"/>
        <v>#NAME?</v>
      </c>
      <c r="P26" s="9" t="e">
        <f t="shared" ca="1" si="7"/>
        <v>#NAME?</v>
      </c>
      <c r="Q26" s="9" t="e">
        <f t="shared" ca="1" si="8"/>
        <v>#NAME?</v>
      </c>
      <c r="R26" s="9" t="e">
        <f t="shared" ca="1" si="9"/>
        <v>#NAME?</v>
      </c>
    </row>
    <row r="27" spans="1:18" x14ac:dyDescent="0.25">
      <c r="A27" s="18"/>
      <c r="B27" s="19" t="s">
        <v>394</v>
      </c>
      <c r="C27" s="5" t="s">
        <v>395</v>
      </c>
      <c r="D27" s="7" t="e">
        <f ca="1">_xll.xlqPrice(C27)</f>
        <v>#NAME?</v>
      </c>
      <c r="E27" s="9" t="e">
        <f t="shared" ca="1" si="0"/>
        <v>#NAME?</v>
      </c>
      <c r="F27" s="9" t="e">
        <f t="shared" ca="1" si="1"/>
        <v>#NAME?</v>
      </c>
      <c r="G27" s="8" t="e">
        <f t="shared" ca="1" si="2"/>
        <v>#NAME?</v>
      </c>
      <c r="H27" s="8" t="e">
        <f t="shared" ca="1" si="3"/>
        <v>#NAME?</v>
      </c>
      <c r="I27" s="8" t="e">
        <f t="shared" ca="1" si="4"/>
        <v>#NAME?</v>
      </c>
      <c r="J27" s="6" t="e">
        <f ca="1">_xll.xlqxhSMA($C27,$L$4,$J$7,$K$3)</f>
        <v>#NAME?</v>
      </c>
      <c r="K27" s="7" t="e">
        <f ca="1">_xll.xlqhClose($C27,K$8,$K$3)</f>
        <v>#NAME?</v>
      </c>
      <c r="L27" s="7" t="e">
        <f ca="1">_xll.xlqhClose($C27,L$8,$K$3)</f>
        <v>#NAME?</v>
      </c>
      <c r="N27" s="9" t="e">
        <f t="shared" ca="1" si="5"/>
        <v>#NAME?</v>
      </c>
      <c r="O27" s="9" t="e">
        <f t="shared" ca="1" si="6"/>
        <v>#NAME?</v>
      </c>
      <c r="P27" s="9" t="e">
        <f t="shared" ca="1" si="7"/>
        <v>#NAME?</v>
      </c>
      <c r="Q27" s="9" t="e">
        <f t="shared" ca="1" si="8"/>
        <v>#NAME?</v>
      </c>
      <c r="R27" s="9" t="e">
        <f t="shared" ca="1" si="9"/>
        <v>#NAME?</v>
      </c>
    </row>
    <row r="28" spans="1:18" x14ac:dyDescent="0.25">
      <c r="A28" s="18"/>
      <c r="B28" s="19" t="s">
        <v>146</v>
      </c>
      <c r="C28" s="5" t="s">
        <v>147</v>
      </c>
      <c r="D28" s="7" t="e">
        <f ca="1">_xll.xlqPrice(C28)</f>
        <v>#NAME?</v>
      </c>
      <c r="E28" s="9" t="e">
        <f t="shared" ca="1" si="0"/>
        <v>#NAME?</v>
      </c>
      <c r="F28" s="9" t="e">
        <f t="shared" ca="1" si="1"/>
        <v>#NAME?</v>
      </c>
      <c r="G28" s="8" t="e">
        <f t="shared" ca="1" si="2"/>
        <v>#NAME?</v>
      </c>
      <c r="H28" s="8" t="e">
        <f t="shared" ca="1" si="3"/>
        <v>#NAME?</v>
      </c>
      <c r="I28" s="8" t="e">
        <f t="shared" ca="1" si="4"/>
        <v>#NAME?</v>
      </c>
      <c r="J28" s="6" t="e">
        <f ca="1">_xll.xlqxhSMA($C28,$L$4,$J$7,$K$3)</f>
        <v>#NAME?</v>
      </c>
      <c r="K28" s="7" t="e">
        <f ca="1">_xll.xlqhClose($C28,K$8,$K$3)</f>
        <v>#NAME?</v>
      </c>
      <c r="L28" s="7" t="e">
        <f ca="1">_xll.xlqhClose($C28,L$8,$K$3)</f>
        <v>#NAME?</v>
      </c>
      <c r="N28" s="9" t="e">
        <f t="shared" ca="1" si="5"/>
        <v>#NAME?</v>
      </c>
      <c r="O28" s="9" t="e">
        <f t="shared" ca="1" si="6"/>
        <v>#NAME?</v>
      </c>
      <c r="P28" s="9" t="e">
        <f t="shared" ca="1" si="7"/>
        <v>#NAME?</v>
      </c>
      <c r="Q28" s="9" t="e">
        <f t="shared" ca="1" si="8"/>
        <v>#NAME?</v>
      </c>
      <c r="R28" s="9" t="e">
        <f t="shared" ca="1" si="9"/>
        <v>#NAME?</v>
      </c>
    </row>
    <row r="29" spans="1:18" x14ac:dyDescent="0.25">
      <c r="A29" s="18"/>
      <c r="B29" s="19" t="s">
        <v>148</v>
      </c>
      <c r="C29" s="5" t="s">
        <v>149</v>
      </c>
      <c r="D29" s="7" t="e">
        <f ca="1">_xll.xlqPrice(C29)</f>
        <v>#NAME?</v>
      </c>
      <c r="E29" s="9" t="e">
        <f t="shared" ca="1" si="0"/>
        <v>#NAME?</v>
      </c>
      <c r="F29" s="9" t="e">
        <f t="shared" ca="1" si="1"/>
        <v>#NAME?</v>
      </c>
      <c r="G29" s="8" t="e">
        <f t="shared" ca="1" si="2"/>
        <v>#NAME?</v>
      </c>
      <c r="H29" s="8" t="e">
        <f t="shared" ca="1" si="3"/>
        <v>#NAME?</v>
      </c>
      <c r="I29" s="8" t="e">
        <f t="shared" ca="1" si="4"/>
        <v>#NAME?</v>
      </c>
      <c r="J29" s="6" t="e">
        <f ca="1">_xll.xlqxhSMA($C29,$L$4,$J$7,$K$3)</f>
        <v>#NAME?</v>
      </c>
      <c r="K29" s="7" t="e">
        <f ca="1">_xll.xlqhClose($C29,K$8,$K$3)</f>
        <v>#NAME?</v>
      </c>
      <c r="L29" s="7" t="e">
        <f ca="1">_xll.xlqhClose($C29,L$8,$K$3)</f>
        <v>#NAME?</v>
      </c>
      <c r="N29" s="9" t="e">
        <f t="shared" ca="1" si="5"/>
        <v>#NAME?</v>
      </c>
      <c r="O29" s="9" t="e">
        <f t="shared" ca="1" si="6"/>
        <v>#NAME?</v>
      </c>
      <c r="P29" s="9" t="e">
        <f t="shared" ca="1" si="7"/>
        <v>#NAME?</v>
      </c>
      <c r="Q29" s="9" t="e">
        <f t="shared" ca="1" si="8"/>
        <v>#NAME?</v>
      </c>
      <c r="R29" s="9" t="e">
        <f t="shared" ca="1" si="9"/>
        <v>#NAME?</v>
      </c>
    </row>
    <row r="30" spans="1:18" x14ac:dyDescent="0.25">
      <c r="A30" s="18"/>
      <c r="B30" s="19" t="s">
        <v>272</v>
      </c>
      <c r="C30" s="5" t="s">
        <v>273</v>
      </c>
      <c r="D30" s="7" t="e">
        <f ca="1">_xll.xlqPrice(C30)</f>
        <v>#NAME?</v>
      </c>
      <c r="E30" s="9" t="e">
        <f t="shared" ca="1" si="0"/>
        <v>#NAME?</v>
      </c>
      <c r="F30" s="9" t="e">
        <f t="shared" ca="1" si="1"/>
        <v>#NAME?</v>
      </c>
      <c r="G30" s="8" t="e">
        <f t="shared" ca="1" si="2"/>
        <v>#NAME?</v>
      </c>
      <c r="H30" s="8" t="e">
        <f t="shared" ca="1" si="3"/>
        <v>#NAME?</v>
      </c>
      <c r="I30" s="8" t="e">
        <f t="shared" ca="1" si="4"/>
        <v>#NAME?</v>
      </c>
      <c r="J30" s="6" t="e">
        <f ca="1">_xll.xlqxhSMA($C30,$L$4,$J$7,$K$3)</f>
        <v>#NAME?</v>
      </c>
      <c r="K30" s="7" t="e">
        <f ca="1">_xll.xlqhClose($C30,K$8,$K$3)</f>
        <v>#NAME?</v>
      </c>
      <c r="L30" s="7" t="e">
        <f ca="1">_xll.xlqhClose($C30,L$8,$K$3)</f>
        <v>#NAME?</v>
      </c>
      <c r="N30" s="9" t="e">
        <f t="shared" ca="1" si="5"/>
        <v>#NAME?</v>
      </c>
      <c r="O30" s="9" t="e">
        <f t="shared" ca="1" si="6"/>
        <v>#NAME?</v>
      </c>
      <c r="P30" s="9" t="e">
        <f t="shared" ca="1" si="7"/>
        <v>#NAME?</v>
      </c>
      <c r="Q30" s="9" t="e">
        <f t="shared" ca="1" si="8"/>
        <v>#NAME?</v>
      </c>
      <c r="R30" s="9" t="e">
        <f t="shared" ca="1" si="9"/>
        <v>#NAME?</v>
      </c>
    </row>
    <row r="31" spans="1:18" x14ac:dyDescent="0.25">
      <c r="A31" s="18"/>
      <c r="B31" s="19" t="s">
        <v>416</v>
      </c>
      <c r="C31" s="5" t="s">
        <v>417</v>
      </c>
      <c r="D31" s="7" t="e">
        <f ca="1">_xll.xlqPrice(C31)</f>
        <v>#NAME?</v>
      </c>
      <c r="E31" s="9" t="e">
        <f t="shared" ca="1" si="0"/>
        <v>#NAME?</v>
      </c>
      <c r="F31" s="9" t="e">
        <f t="shared" ca="1" si="1"/>
        <v>#NAME?</v>
      </c>
      <c r="G31" s="8" t="e">
        <f t="shared" ca="1" si="2"/>
        <v>#NAME?</v>
      </c>
      <c r="H31" s="8" t="e">
        <f t="shared" ca="1" si="3"/>
        <v>#NAME?</v>
      </c>
      <c r="I31" s="8" t="e">
        <f t="shared" ca="1" si="4"/>
        <v>#NAME?</v>
      </c>
      <c r="J31" s="6" t="e">
        <f ca="1">_xll.xlqxhSMA($C31,$L$4,$J$7,$K$3)</f>
        <v>#NAME?</v>
      </c>
      <c r="K31" s="7" t="e">
        <f ca="1">_xll.xlqhClose($C31,K$8,$K$3)</f>
        <v>#NAME?</v>
      </c>
      <c r="L31" s="7" t="e">
        <f ca="1">_xll.xlqhClose($C31,L$8,$K$3)</f>
        <v>#NAME?</v>
      </c>
      <c r="N31" s="9" t="e">
        <f t="shared" ca="1" si="5"/>
        <v>#NAME?</v>
      </c>
      <c r="O31" s="9" t="e">
        <f t="shared" ca="1" si="6"/>
        <v>#NAME?</v>
      </c>
      <c r="P31" s="9" t="e">
        <f t="shared" ca="1" si="7"/>
        <v>#NAME?</v>
      </c>
      <c r="Q31" s="9" t="e">
        <f t="shared" ca="1" si="8"/>
        <v>#NAME?</v>
      </c>
      <c r="R31" s="9" t="e">
        <f t="shared" ca="1" si="9"/>
        <v>#NAME?</v>
      </c>
    </row>
    <row r="32" spans="1:18" x14ac:dyDescent="0.25">
      <c r="A32" s="18"/>
      <c r="B32" s="19" t="s">
        <v>218</v>
      </c>
      <c r="C32" s="5" t="s">
        <v>219</v>
      </c>
      <c r="D32" s="7" t="e">
        <f ca="1">_xll.xlqPrice(C32)</f>
        <v>#NAME?</v>
      </c>
      <c r="E32" s="9" t="e">
        <f t="shared" ca="1" si="0"/>
        <v>#NAME?</v>
      </c>
      <c r="F32" s="9" t="e">
        <f t="shared" ca="1" si="1"/>
        <v>#NAME?</v>
      </c>
      <c r="G32" s="8" t="e">
        <f t="shared" ca="1" si="2"/>
        <v>#NAME?</v>
      </c>
      <c r="H32" s="8" t="e">
        <f t="shared" ca="1" si="3"/>
        <v>#NAME?</v>
      </c>
      <c r="I32" s="8" t="e">
        <f t="shared" ca="1" si="4"/>
        <v>#NAME?</v>
      </c>
      <c r="J32" s="6" t="e">
        <f ca="1">_xll.xlqxhSMA($C32,$L$4,$J$7,$K$3)</f>
        <v>#NAME?</v>
      </c>
      <c r="K32" s="7" t="e">
        <f ca="1">_xll.xlqhClose($C32,K$8,$K$3)</f>
        <v>#NAME?</v>
      </c>
      <c r="L32" s="7" t="e">
        <f ca="1">_xll.xlqhClose($C32,L$8,$K$3)</f>
        <v>#NAME?</v>
      </c>
      <c r="N32" s="9" t="e">
        <f t="shared" ca="1" si="5"/>
        <v>#NAME?</v>
      </c>
      <c r="O32" s="9" t="e">
        <f t="shared" ca="1" si="6"/>
        <v>#NAME?</v>
      </c>
      <c r="P32" s="9" t="e">
        <f t="shared" ca="1" si="7"/>
        <v>#NAME?</v>
      </c>
      <c r="Q32" s="9" t="e">
        <f t="shared" ca="1" si="8"/>
        <v>#NAME?</v>
      </c>
      <c r="R32" s="9" t="e">
        <f t="shared" ca="1" si="9"/>
        <v>#NAME?</v>
      </c>
    </row>
    <row r="33" spans="1:18" x14ac:dyDescent="0.25">
      <c r="A33" s="18"/>
      <c r="B33" s="19" t="s">
        <v>208</v>
      </c>
      <c r="C33" s="5" t="s">
        <v>209</v>
      </c>
      <c r="D33" s="7" t="e">
        <f ca="1">_xll.xlqPrice(C33)</f>
        <v>#NAME?</v>
      </c>
      <c r="E33" s="9" t="e">
        <f t="shared" ca="1" si="0"/>
        <v>#NAME?</v>
      </c>
      <c r="F33" s="9" t="e">
        <f t="shared" ca="1" si="1"/>
        <v>#NAME?</v>
      </c>
      <c r="G33" s="8" t="e">
        <f t="shared" ca="1" si="2"/>
        <v>#NAME?</v>
      </c>
      <c r="H33" s="8" t="e">
        <f t="shared" ca="1" si="3"/>
        <v>#NAME?</v>
      </c>
      <c r="I33" s="8" t="e">
        <f t="shared" ca="1" si="4"/>
        <v>#NAME?</v>
      </c>
      <c r="J33" s="6" t="e">
        <f ca="1">_xll.xlqxhSMA($C33,$L$4,$J$7,$K$3)</f>
        <v>#NAME?</v>
      </c>
      <c r="K33" s="7" t="e">
        <f ca="1">_xll.xlqhClose($C33,K$8,$K$3)</f>
        <v>#NAME?</v>
      </c>
      <c r="L33" s="7" t="e">
        <f ca="1">_xll.xlqhClose($C33,L$8,$K$3)</f>
        <v>#NAME?</v>
      </c>
      <c r="N33" s="9" t="e">
        <f t="shared" ca="1" si="5"/>
        <v>#NAME?</v>
      </c>
      <c r="O33" s="9" t="e">
        <f t="shared" ca="1" si="6"/>
        <v>#NAME?</v>
      </c>
      <c r="P33" s="9" t="e">
        <f t="shared" ca="1" si="7"/>
        <v>#NAME?</v>
      </c>
      <c r="Q33" s="9" t="e">
        <f t="shared" ca="1" si="8"/>
        <v>#NAME?</v>
      </c>
      <c r="R33" s="9" t="e">
        <f t="shared" ca="1" si="9"/>
        <v>#NAME?</v>
      </c>
    </row>
    <row r="34" spans="1:18" x14ac:dyDescent="0.25">
      <c r="A34" s="18"/>
      <c r="B34" s="19" t="s">
        <v>304</v>
      </c>
      <c r="C34" s="5" t="s">
        <v>305</v>
      </c>
      <c r="D34" s="7" t="e">
        <f ca="1">_xll.xlqPrice(C34)</f>
        <v>#NAME?</v>
      </c>
      <c r="E34" s="9" t="e">
        <f t="shared" ca="1" si="0"/>
        <v>#NAME?</v>
      </c>
      <c r="F34" s="9" t="e">
        <f t="shared" ca="1" si="1"/>
        <v>#NAME?</v>
      </c>
      <c r="G34" s="8" t="e">
        <f t="shared" ca="1" si="2"/>
        <v>#NAME?</v>
      </c>
      <c r="H34" s="8" t="e">
        <f t="shared" ca="1" si="3"/>
        <v>#NAME?</v>
      </c>
      <c r="I34" s="8" t="e">
        <f t="shared" ca="1" si="4"/>
        <v>#NAME?</v>
      </c>
      <c r="J34" s="6" t="e">
        <f ca="1">_xll.xlqxhSMA($C34,$L$4,$J$7,$K$3)</f>
        <v>#NAME?</v>
      </c>
      <c r="K34" s="7" t="e">
        <f ca="1">_xll.xlqhClose($C34,K$8,$K$3)</f>
        <v>#NAME?</v>
      </c>
      <c r="L34" s="7" t="e">
        <f ca="1">_xll.xlqhClose($C34,L$8,$K$3)</f>
        <v>#NAME?</v>
      </c>
      <c r="N34" s="9" t="e">
        <f t="shared" ca="1" si="5"/>
        <v>#NAME?</v>
      </c>
      <c r="O34" s="9" t="e">
        <f t="shared" ca="1" si="6"/>
        <v>#NAME?</v>
      </c>
      <c r="P34" s="9" t="e">
        <f t="shared" ca="1" si="7"/>
        <v>#NAME?</v>
      </c>
      <c r="Q34" s="9" t="e">
        <f t="shared" ca="1" si="8"/>
        <v>#NAME?</v>
      </c>
      <c r="R34" s="9" t="e">
        <f t="shared" ca="1" si="9"/>
        <v>#NAME?</v>
      </c>
    </row>
    <row r="35" spans="1:18" x14ac:dyDescent="0.25">
      <c r="A35" s="18"/>
      <c r="B35" s="19" t="s">
        <v>212</v>
      </c>
      <c r="C35" s="5" t="s">
        <v>213</v>
      </c>
      <c r="D35" s="7" t="e">
        <f ca="1">_xll.xlqPrice(C35)</f>
        <v>#NAME?</v>
      </c>
      <c r="E35" s="9" t="e">
        <f t="shared" ca="1" si="0"/>
        <v>#NAME?</v>
      </c>
      <c r="F35" s="9" t="e">
        <f t="shared" ca="1" si="1"/>
        <v>#NAME?</v>
      </c>
      <c r="G35" s="8" t="e">
        <f t="shared" ca="1" si="2"/>
        <v>#NAME?</v>
      </c>
      <c r="H35" s="8" t="e">
        <f t="shared" ca="1" si="3"/>
        <v>#NAME?</v>
      </c>
      <c r="I35" s="8" t="e">
        <f t="shared" ca="1" si="4"/>
        <v>#NAME?</v>
      </c>
      <c r="J35" s="6" t="e">
        <f ca="1">_xll.xlqxhSMA($C35,$L$4,$J$7,$K$3)</f>
        <v>#NAME?</v>
      </c>
      <c r="K35" s="7" t="e">
        <f ca="1">_xll.xlqhClose($C35,K$8,$K$3)</f>
        <v>#NAME?</v>
      </c>
      <c r="L35" s="7" t="e">
        <f ca="1">_xll.xlqhClose($C35,L$8,$K$3)</f>
        <v>#NAME?</v>
      </c>
      <c r="N35" s="9" t="e">
        <f t="shared" ca="1" si="5"/>
        <v>#NAME?</v>
      </c>
      <c r="O35" s="9" t="e">
        <f t="shared" ca="1" si="6"/>
        <v>#NAME?</v>
      </c>
      <c r="P35" s="9" t="e">
        <f t="shared" ca="1" si="7"/>
        <v>#NAME?</v>
      </c>
      <c r="Q35" s="9" t="e">
        <f t="shared" ca="1" si="8"/>
        <v>#NAME?</v>
      </c>
      <c r="R35" s="9" t="e">
        <f t="shared" ca="1" si="9"/>
        <v>#NAME?</v>
      </c>
    </row>
    <row r="36" spans="1:18" x14ac:dyDescent="0.25">
      <c r="A36" s="18"/>
      <c r="B36" s="19" t="s">
        <v>262</v>
      </c>
      <c r="C36" s="5" t="s">
        <v>263</v>
      </c>
      <c r="D36" s="7" t="e">
        <f ca="1">_xll.xlqPrice(C36)</f>
        <v>#NAME?</v>
      </c>
      <c r="E36" s="9" t="e">
        <f t="shared" ca="1" si="0"/>
        <v>#NAME?</v>
      </c>
      <c r="F36" s="9" t="e">
        <f t="shared" ca="1" si="1"/>
        <v>#NAME?</v>
      </c>
      <c r="G36" s="8" t="e">
        <f t="shared" ca="1" si="2"/>
        <v>#NAME?</v>
      </c>
      <c r="H36" s="8" t="e">
        <f t="shared" ca="1" si="3"/>
        <v>#NAME?</v>
      </c>
      <c r="I36" s="8" t="e">
        <f t="shared" ca="1" si="4"/>
        <v>#NAME?</v>
      </c>
      <c r="J36" s="6" t="e">
        <f ca="1">_xll.xlqxhSMA($C36,$L$4,$J$7,$K$3)</f>
        <v>#NAME?</v>
      </c>
      <c r="K36" s="7" t="e">
        <f ca="1">_xll.xlqhClose($C36,K$8,$K$3)</f>
        <v>#NAME?</v>
      </c>
      <c r="L36" s="7" t="e">
        <f ca="1">_xll.xlqhClose($C36,L$8,$K$3)</f>
        <v>#NAME?</v>
      </c>
      <c r="N36" s="9" t="e">
        <f t="shared" ca="1" si="5"/>
        <v>#NAME?</v>
      </c>
      <c r="O36" s="9" t="e">
        <f t="shared" ca="1" si="6"/>
        <v>#NAME?</v>
      </c>
      <c r="P36" s="9" t="e">
        <f t="shared" ca="1" si="7"/>
        <v>#NAME?</v>
      </c>
      <c r="Q36" s="9" t="e">
        <f t="shared" ca="1" si="8"/>
        <v>#NAME?</v>
      </c>
      <c r="R36" s="9" t="e">
        <f t="shared" ca="1" si="9"/>
        <v>#NAME?</v>
      </c>
    </row>
    <row r="37" spans="1:18" x14ac:dyDescent="0.25">
      <c r="A37" s="18"/>
      <c r="B37" s="19" t="s">
        <v>308</v>
      </c>
      <c r="C37" s="5" t="s">
        <v>309</v>
      </c>
      <c r="D37" s="7" t="e">
        <f ca="1">_xll.xlqPrice(C37)</f>
        <v>#NAME?</v>
      </c>
      <c r="E37" s="9" t="e">
        <f t="shared" ca="1" si="0"/>
        <v>#NAME?</v>
      </c>
      <c r="F37" s="9" t="e">
        <f t="shared" ca="1" si="1"/>
        <v>#NAME?</v>
      </c>
      <c r="G37" s="8" t="e">
        <f t="shared" ca="1" si="2"/>
        <v>#NAME?</v>
      </c>
      <c r="H37" s="8" t="e">
        <f t="shared" ca="1" si="3"/>
        <v>#NAME?</v>
      </c>
      <c r="I37" s="8" t="e">
        <f t="shared" ca="1" si="4"/>
        <v>#NAME?</v>
      </c>
      <c r="J37" s="6" t="e">
        <f ca="1">_xll.xlqxhSMA($C37,$L$4,$J$7,$K$3)</f>
        <v>#NAME?</v>
      </c>
      <c r="K37" s="7" t="e">
        <f ca="1">_xll.xlqhClose($C37,K$8,$K$3)</f>
        <v>#NAME?</v>
      </c>
      <c r="L37" s="7" t="e">
        <f ca="1">_xll.xlqhClose($C37,L$8,$K$3)</f>
        <v>#NAME?</v>
      </c>
      <c r="N37" s="9" t="e">
        <f t="shared" ca="1" si="5"/>
        <v>#NAME?</v>
      </c>
      <c r="O37" s="9" t="e">
        <f t="shared" ca="1" si="6"/>
        <v>#NAME?</v>
      </c>
      <c r="P37" s="9" t="e">
        <f t="shared" ca="1" si="7"/>
        <v>#NAME?</v>
      </c>
      <c r="Q37" s="9" t="e">
        <f t="shared" ca="1" si="8"/>
        <v>#NAME?</v>
      </c>
      <c r="R37" s="9" t="e">
        <f t="shared" ca="1" si="9"/>
        <v>#NAME?</v>
      </c>
    </row>
    <row r="38" spans="1:18" x14ac:dyDescent="0.25">
      <c r="A38" s="18"/>
      <c r="B38" s="19" t="s">
        <v>382</v>
      </c>
      <c r="C38" s="5" t="s">
        <v>383</v>
      </c>
      <c r="D38" s="7" t="e">
        <f ca="1">_xll.xlqPrice(C38)</f>
        <v>#NAME?</v>
      </c>
      <c r="E38" s="9" t="e">
        <f t="shared" ca="1" si="0"/>
        <v>#NAME?</v>
      </c>
      <c r="F38" s="9" t="e">
        <f t="shared" ca="1" si="1"/>
        <v>#NAME?</v>
      </c>
      <c r="G38" s="8" t="e">
        <f t="shared" ca="1" si="2"/>
        <v>#NAME?</v>
      </c>
      <c r="H38" s="8" t="e">
        <f t="shared" ca="1" si="3"/>
        <v>#NAME?</v>
      </c>
      <c r="I38" s="8" t="e">
        <f t="shared" ca="1" si="4"/>
        <v>#NAME?</v>
      </c>
      <c r="J38" s="6" t="e">
        <f ca="1">_xll.xlqxhSMA($C38,$L$4,$J$7,$K$3)</f>
        <v>#NAME?</v>
      </c>
      <c r="K38" s="7" t="e">
        <f ca="1">_xll.xlqhClose($C38,K$8,$K$3)</f>
        <v>#NAME?</v>
      </c>
      <c r="L38" s="7" t="e">
        <f ca="1">_xll.xlqhClose($C38,L$8,$K$3)</f>
        <v>#NAME?</v>
      </c>
      <c r="N38" s="9" t="e">
        <f t="shared" ca="1" si="5"/>
        <v>#NAME?</v>
      </c>
      <c r="O38" s="9" t="e">
        <f t="shared" ca="1" si="6"/>
        <v>#NAME?</v>
      </c>
      <c r="P38" s="9" t="e">
        <f t="shared" ca="1" si="7"/>
        <v>#NAME?</v>
      </c>
      <c r="Q38" s="9" t="e">
        <f t="shared" ca="1" si="8"/>
        <v>#NAME?</v>
      </c>
      <c r="R38" s="9" t="e">
        <f t="shared" ca="1" si="9"/>
        <v>#NAME?</v>
      </c>
    </row>
    <row r="39" spans="1:18" x14ac:dyDescent="0.25">
      <c r="A39" s="18"/>
      <c r="B39" s="19" t="s">
        <v>412</v>
      </c>
      <c r="C39" s="5" t="s">
        <v>413</v>
      </c>
      <c r="D39" s="7" t="e">
        <f ca="1">_xll.xlqPrice(C39)</f>
        <v>#NAME?</v>
      </c>
      <c r="E39" s="9" t="e">
        <f t="shared" ca="1" si="0"/>
        <v>#NAME?</v>
      </c>
      <c r="F39" s="9" t="e">
        <f t="shared" ca="1" si="1"/>
        <v>#NAME?</v>
      </c>
      <c r="G39" s="8" t="e">
        <f t="shared" ca="1" si="2"/>
        <v>#NAME?</v>
      </c>
      <c r="H39" s="8" t="e">
        <f t="shared" ca="1" si="3"/>
        <v>#NAME?</v>
      </c>
      <c r="I39" s="8" t="e">
        <f t="shared" ca="1" si="4"/>
        <v>#NAME?</v>
      </c>
      <c r="J39" s="6" t="e">
        <f ca="1">_xll.xlqxhSMA($C39,$L$4,$J$7,$K$3)</f>
        <v>#NAME?</v>
      </c>
      <c r="K39" s="7" t="e">
        <f ca="1">_xll.xlqhClose($C39,K$8,$K$3)</f>
        <v>#NAME?</v>
      </c>
      <c r="L39" s="7" t="e">
        <f ca="1">_xll.xlqhClose($C39,L$8,$K$3)</f>
        <v>#NAME?</v>
      </c>
      <c r="N39" s="9" t="e">
        <f t="shared" ca="1" si="5"/>
        <v>#NAME?</v>
      </c>
      <c r="O39" s="9" t="e">
        <f t="shared" ca="1" si="6"/>
        <v>#NAME?</v>
      </c>
      <c r="P39" s="9" t="e">
        <f t="shared" ca="1" si="7"/>
        <v>#NAME?</v>
      </c>
      <c r="Q39" s="9" t="e">
        <f t="shared" ca="1" si="8"/>
        <v>#NAME?</v>
      </c>
      <c r="R39" s="9" t="e">
        <f t="shared" ca="1" si="9"/>
        <v>#NAME?</v>
      </c>
    </row>
    <row r="40" spans="1:18" x14ac:dyDescent="0.25">
      <c r="A40" s="18"/>
      <c r="B40" s="19" t="s">
        <v>228</v>
      </c>
      <c r="C40" s="5" t="s">
        <v>229</v>
      </c>
      <c r="D40" s="7" t="e">
        <f ca="1">_xll.xlqPrice(C40)</f>
        <v>#NAME?</v>
      </c>
      <c r="E40" s="9" t="e">
        <f t="shared" ca="1" si="0"/>
        <v>#NAME?</v>
      </c>
      <c r="F40" s="9" t="e">
        <f t="shared" ca="1" si="1"/>
        <v>#NAME?</v>
      </c>
      <c r="G40" s="8" t="e">
        <f t="shared" ca="1" si="2"/>
        <v>#NAME?</v>
      </c>
      <c r="H40" s="8" t="e">
        <f t="shared" ca="1" si="3"/>
        <v>#NAME?</v>
      </c>
      <c r="I40" s="8" t="e">
        <f t="shared" ca="1" si="4"/>
        <v>#NAME?</v>
      </c>
      <c r="J40" s="6" t="e">
        <f ca="1">_xll.xlqxhSMA($C40,$L$4,$J$7,$K$3)</f>
        <v>#NAME?</v>
      </c>
      <c r="K40" s="7" t="e">
        <f ca="1">_xll.xlqhClose($C40,K$8,$K$3)</f>
        <v>#NAME?</v>
      </c>
      <c r="L40" s="7" t="e">
        <f ca="1">_xll.xlqhClose($C40,L$8,$K$3)</f>
        <v>#NAME?</v>
      </c>
      <c r="N40" s="9" t="e">
        <f t="shared" ca="1" si="5"/>
        <v>#NAME?</v>
      </c>
      <c r="O40" s="9" t="e">
        <f t="shared" ca="1" si="6"/>
        <v>#NAME?</v>
      </c>
      <c r="P40" s="9" t="e">
        <f t="shared" ca="1" si="7"/>
        <v>#NAME?</v>
      </c>
      <c r="Q40" s="9" t="e">
        <f t="shared" ca="1" si="8"/>
        <v>#NAME?</v>
      </c>
      <c r="R40" s="9" t="e">
        <f t="shared" ca="1" si="9"/>
        <v>#NAME?</v>
      </c>
    </row>
    <row r="41" spans="1:18" x14ac:dyDescent="0.25">
      <c r="A41" s="18"/>
      <c r="B41" s="19" t="s">
        <v>248</v>
      </c>
      <c r="C41" s="5" t="s">
        <v>249</v>
      </c>
      <c r="D41" s="7" t="e">
        <f ca="1">_xll.xlqPrice(C41)</f>
        <v>#NAME?</v>
      </c>
      <c r="E41" s="9" t="e">
        <f t="shared" ca="1" si="0"/>
        <v>#NAME?</v>
      </c>
      <c r="F41" s="9" t="e">
        <f t="shared" ca="1" si="1"/>
        <v>#NAME?</v>
      </c>
      <c r="G41" s="8" t="e">
        <f t="shared" ca="1" si="2"/>
        <v>#NAME?</v>
      </c>
      <c r="H41" s="8" t="e">
        <f t="shared" ca="1" si="3"/>
        <v>#NAME?</v>
      </c>
      <c r="I41" s="8" t="e">
        <f t="shared" ca="1" si="4"/>
        <v>#NAME?</v>
      </c>
      <c r="J41" s="6" t="e">
        <f ca="1">_xll.xlqxhSMA($C41,$L$4,$J$7,$K$3)</f>
        <v>#NAME?</v>
      </c>
      <c r="K41" s="7" t="e">
        <f ca="1">_xll.xlqhClose($C41,K$8,$K$3)</f>
        <v>#NAME?</v>
      </c>
      <c r="L41" s="7" t="e">
        <f ca="1">_xll.xlqhClose($C41,L$8,$K$3)</f>
        <v>#NAME?</v>
      </c>
      <c r="N41" s="9" t="e">
        <f t="shared" ca="1" si="5"/>
        <v>#NAME?</v>
      </c>
      <c r="O41" s="9" t="e">
        <f t="shared" ca="1" si="6"/>
        <v>#NAME?</v>
      </c>
      <c r="P41" s="9" t="e">
        <f t="shared" ca="1" si="7"/>
        <v>#NAME?</v>
      </c>
      <c r="Q41" s="9" t="e">
        <f t="shared" ca="1" si="8"/>
        <v>#NAME?</v>
      </c>
      <c r="R41" s="9" t="e">
        <f t="shared" ca="1" si="9"/>
        <v>#NAME?</v>
      </c>
    </row>
    <row r="42" spans="1:18" x14ac:dyDescent="0.25">
      <c r="A42" s="18"/>
      <c r="B42" s="19" t="s">
        <v>39</v>
      </c>
      <c r="C42" s="5" t="s">
        <v>17</v>
      </c>
      <c r="D42" s="7" t="e">
        <f ca="1">_xll.xlqPrice(C42)</f>
        <v>#NAME?</v>
      </c>
      <c r="E42" s="9" t="e">
        <f t="shared" ca="1" si="0"/>
        <v>#NAME?</v>
      </c>
      <c r="F42" s="9" t="e">
        <f t="shared" ca="1" si="1"/>
        <v>#NAME?</v>
      </c>
      <c r="G42" s="8" t="e">
        <f t="shared" ca="1" si="2"/>
        <v>#NAME?</v>
      </c>
      <c r="H42" s="8" t="e">
        <f t="shared" ca="1" si="3"/>
        <v>#NAME?</v>
      </c>
      <c r="I42" s="8" t="e">
        <f t="shared" ca="1" si="4"/>
        <v>#NAME?</v>
      </c>
      <c r="J42" s="6" t="e">
        <f ca="1">_xll.xlqxhSMA($C42,$L$4,$J$7,$K$3)</f>
        <v>#NAME?</v>
      </c>
      <c r="K42" s="7" t="e">
        <f ca="1">_xll.xlqhClose($C42,K$8,$K$3)</f>
        <v>#NAME?</v>
      </c>
      <c r="L42" s="7" t="e">
        <f ca="1">_xll.xlqhClose($C42,L$8,$K$3)</f>
        <v>#NAME?</v>
      </c>
      <c r="N42" s="9" t="e">
        <f t="shared" ca="1" si="5"/>
        <v>#NAME?</v>
      </c>
      <c r="O42" s="9" t="e">
        <f t="shared" ca="1" si="6"/>
        <v>#NAME?</v>
      </c>
      <c r="P42" s="9" t="e">
        <f t="shared" ca="1" si="7"/>
        <v>#NAME?</v>
      </c>
      <c r="Q42" s="9" t="e">
        <f t="shared" ca="1" si="8"/>
        <v>#NAME?</v>
      </c>
      <c r="R42" s="9" t="e">
        <f t="shared" ca="1" si="9"/>
        <v>#NAME?</v>
      </c>
    </row>
    <row r="43" spans="1:18" x14ac:dyDescent="0.25">
      <c r="A43" s="18"/>
      <c r="B43" s="19" t="s">
        <v>436</v>
      </c>
      <c r="C43" s="5" t="s">
        <v>437</v>
      </c>
      <c r="D43" s="7" t="e">
        <f ca="1">_xll.xlqPrice(C43)</f>
        <v>#NAME?</v>
      </c>
      <c r="E43" s="9" t="e">
        <f t="shared" ca="1" si="0"/>
        <v>#NAME?</v>
      </c>
      <c r="F43" s="9" t="e">
        <f t="shared" ca="1" si="1"/>
        <v>#NAME?</v>
      </c>
      <c r="G43" s="8" t="e">
        <f t="shared" ca="1" si="2"/>
        <v>#NAME?</v>
      </c>
      <c r="H43" s="8" t="e">
        <f t="shared" ca="1" si="3"/>
        <v>#NAME?</v>
      </c>
      <c r="I43" s="8" t="e">
        <f t="shared" ca="1" si="4"/>
        <v>#NAME?</v>
      </c>
      <c r="J43" s="6" t="e">
        <f ca="1">_xll.xlqxhSMA($C43,$L$4,$J$7,$K$3)</f>
        <v>#NAME?</v>
      </c>
      <c r="K43" s="7" t="e">
        <f ca="1">_xll.xlqhClose($C43,K$8,$K$3)</f>
        <v>#NAME?</v>
      </c>
      <c r="L43" s="7" t="e">
        <f ca="1">_xll.xlqhClose($C43,L$8,$K$3)</f>
        <v>#NAME?</v>
      </c>
      <c r="N43" s="9" t="e">
        <f t="shared" ca="1" si="5"/>
        <v>#NAME?</v>
      </c>
      <c r="O43" s="9" t="e">
        <f t="shared" ca="1" si="6"/>
        <v>#NAME?</v>
      </c>
      <c r="P43" s="9" t="e">
        <f t="shared" ca="1" si="7"/>
        <v>#NAME?</v>
      </c>
      <c r="Q43" s="9" t="e">
        <f t="shared" ca="1" si="8"/>
        <v>#NAME?</v>
      </c>
      <c r="R43" s="9" t="e">
        <f t="shared" ca="1" si="9"/>
        <v>#NAME?</v>
      </c>
    </row>
    <row r="44" spans="1:18" x14ac:dyDescent="0.25">
      <c r="A44" s="18"/>
      <c r="B44" s="19" t="s">
        <v>374</v>
      </c>
      <c r="C44" s="5" t="s">
        <v>375</v>
      </c>
      <c r="D44" s="7" t="e">
        <f ca="1">_xll.xlqPrice(C44)</f>
        <v>#NAME?</v>
      </c>
      <c r="E44" s="9" t="e">
        <f t="shared" ca="1" si="0"/>
        <v>#NAME?</v>
      </c>
      <c r="F44" s="9" t="e">
        <f t="shared" ca="1" si="1"/>
        <v>#NAME?</v>
      </c>
      <c r="G44" s="8" t="e">
        <f t="shared" ca="1" si="2"/>
        <v>#NAME?</v>
      </c>
      <c r="H44" s="8" t="e">
        <f t="shared" ca="1" si="3"/>
        <v>#NAME?</v>
      </c>
      <c r="I44" s="8" t="e">
        <f t="shared" ca="1" si="4"/>
        <v>#NAME?</v>
      </c>
      <c r="J44" s="6" t="e">
        <f ca="1">_xll.xlqxhSMA($C44,$L$4,$J$7,$K$3)</f>
        <v>#NAME?</v>
      </c>
      <c r="K44" s="7" t="e">
        <f ca="1">_xll.xlqhClose($C44,K$8,$K$3)</f>
        <v>#NAME?</v>
      </c>
      <c r="L44" s="7" t="e">
        <f ca="1">_xll.xlqhClose($C44,L$8,$K$3)</f>
        <v>#NAME?</v>
      </c>
      <c r="N44" s="9" t="e">
        <f t="shared" ca="1" si="5"/>
        <v>#NAME?</v>
      </c>
      <c r="O44" s="9" t="e">
        <f t="shared" ca="1" si="6"/>
        <v>#NAME?</v>
      </c>
      <c r="P44" s="9" t="e">
        <f t="shared" ca="1" si="7"/>
        <v>#NAME?</v>
      </c>
      <c r="Q44" s="9" t="e">
        <f t="shared" ca="1" si="8"/>
        <v>#NAME?</v>
      </c>
      <c r="R44" s="9" t="e">
        <f t="shared" ca="1" si="9"/>
        <v>#NAME?</v>
      </c>
    </row>
    <row r="45" spans="1:18" x14ac:dyDescent="0.25">
      <c r="A45" s="18"/>
      <c r="B45" s="19" t="s">
        <v>384</v>
      </c>
      <c r="C45" s="5" t="s">
        <v>385</v>
      </c>
      <c r="D45" s="7" t="e">
        <f ca="1">_xll.xlqPrice(C45)</f>
        <v>#NAME?</v>
      </c>
      <c r="E45" s="9" t="e">
        <f t="shared" ca="1" si="0"/>
        <v>#NAME?</v>
      </c>
      <c r="F45" s="9" t="e">
        <f t="shared" ca="1" si="1"/>
        <v>#NAME?</v>
      </c>
      <c r="G45" s="8" t="e">
        <f t="shared" ca="1" si="2"/>
        <v>#NAME?</v>
      </c>
      <c r="H45" s="8" t="e">
        <f t="shared" ca="1" si="3"/>
        <v>#NAME?</v>
      </c>
      <c r="I45" s="8" t="e">
        <f t="shared" ca="1" si="4"/>
        <v>#NAME?</v>
      </c>
      <c r="J45" s="6" t="e">
        <f ca="1">_xll.xlqxhSMA($C45,$L$4,$J$7,$K$3)</f>
        <v>#NAME?</v>
      </c>
      <c r="K45" s="7" t="e">
        <f ca="1">_xll.xlqhClose($C45,K$8,$K$3)</f>
        <v>#NAME?</v>
      </c>
      <c r="L45" s="7" t="e">
        <f ca="1">_xll.xlqhClose($C45,L$8,$K$3)</f>
        <v>#NAME?</v>
      </c>
      <c r="N45" s="9" t="e">
        <f t="shared" ca="1" si="5"/>
        <v>#NAME?</v>
      </c>
      <c r="O45" s="9" t="e">
        <f t="shared" ca="1" si="6"/>
        <v>#NAME?</v>
      </c>
      <c r="P45" s="9" t="e">
        <f t="shared" ca="1" si="7"/>
        <v>#NAME?</v>
      </c>
      <c r="Q45" s="9" t="e">
        <f t="shared" ca="1" si="8"/>
        <v>#NAME?</v>
      </c>
      <c r="R45" s="9" t="e">
        <f t="shared" ca="1" si="9"/>
        <v>#NAME?</v>
      </c>
    </row>
    <row r="46" spans="1:18" x14ac:dyDescent="0.25">
      <c r="A46" s="18"/>
      <c r="B46" s="19" t="s">
        <v>352</v>
      </c>
      <c r="C46" s="5" t="s">
        <v>353</v>
      </c>
      <c r="D46" s="7" t="e">
        <f ca="1">_xll.xlqPrice(C46)</f>
        <v>#NAME?</v>
      </c>
      <c r="E46" s="9" t="e">
        <f t="shared" ca="1" si="0"/>
        <v>#NAME?</v>
      </c>
      <c r="F46" s="9" t="e">
        <f t="shared" ca="1" si="1"/>
        <v>#NAME?</v>
      </c>
      <c r="G46" s="8" t="e">
        <f t="shared" ca="1" si="2"/>
        <v>#NAME?</v>
      </c>
      <c r="H46" s="8" t="e">
        <f t="shared" ca="1" si="3"/>
        <v>#NAME?</v>
      </c>
      <c r="I46" s="8" t="e">
        <f t="shared" ca="1" si="4"/>
        <v>#NAME?</v>
      </c>
      <c r="J46" s="6" t="e">
        <f ca="1">_xll.xlqxhSMA($C46,$L$4,$J$7,$K$3)</f>
        <v>#NAME?</v>
      </c>
      <c r="K46" s="7" t="e">
        <f ca="1">_xll.xlqhClose($C46,K$8,$K$3)</f>
        <v>#NAME?</v>
      </c>
      <c r="L46" s="7" t="e">
        <f ca="1">_xll.xlqhClose($C46,L$8,$K$3)</f>
        <v>#NAME?</v>
      </c>
      <c r="N46" s="9" t="e">
        <f t="shared" ca="1" si="5"/>
        <v>#NAME?</v>
      </c>
      <c r="O46" s="9" t="e">
        <f t="shared" ca="1" si="6"/>
        <v>#NAME?</v>
      </c>
      <c r="P46" s="9" t="e">
        <f t="shared" ca="1" si="7"/>
        <v>#NAME?</v>
      </c>
      <c r="Q46" s="9" t="e">
        <f t="shared" ca="1" si="8"/>
        <v>#NAME?</v>
      </c>
      <c r="R46" s="9" t="e">
        <f t="shared" ca="1" si="9"/>
        <v>#NAME?</v>
      </c>
    </row>
    <row r="47" spans="1:18" x14ac:dyDescent="0.25">
      <c r="A47" s="18"/>
      <c r="B47" s="19" t="s">
        <v>73</v>
      </c>
      <c r="C47" s="5" t="s">
        <v>74</v>
      </c>
      <c r="D47" s="7" t="e">
        <f ca="1">_xll.xlqPrice(C47)</f>
        <v>#NAME?</v>
      </c>
      <c r="E47" s="9" t="e">
        <f t="shared" ca="1" si="0"/>
        <v>#NAME?</v>
      </c>
      <c r="F47" s="9" t="e">
        <f t="shared" ca="1" si="1"/>
        <v>#NAME?</v>
      </c>
      <c r="G47" s="8" t="e">
        <f t="shared" ca="1" si="2"/>
        <v>#NAME?</v>
      </c>
      <c r="H47" s="8" t="e">
        <f t="shared" ca="1" si="3"/>
        <v>#NAME?</v>
      </c>
      <c r="I47" s="8" t="e">
        <f t="shared" ca="1" si="4"/>
        <v>#NAME?</v>
      </c>
      <c r="J47" s="6" t="e">
        <f ca="1">_xll.xlqxhSMA($C47,$L$4,$J$7,$K$3)</f>
        <v>#NAME?</v>
      </c>
      <c r="K47" s="7" t="e">
        <f ca="1">_xll.xlqhClose($C47,K$8,$K$3)</f>
        <v>#NAME?</v>
      </c>
      <c r="L47" s="7" t="e">
        <f ca="1">_xll.xlqhClose($C47,L$8,$K$3)</f>
        <v>#NAME?</v>
      </c>
      <c r="N47" s="9" t="e">
        <f t="shared" ca="1" si="5"/>
        <v>#NAME?</v>
      </c>
      <c r="O47" s="9" t="e">
        <f t="shared" ca="1" si="6"/>
        <v>#NAME?</v>
      </c>
      <c r="P47" s="9" t="e">
        <f t="shared" ca="1" si="7"/>
        <v>#NAME?</v>
      </c>
      <c r="Q47" s="9" t="e">
        <f t="shared" ca="1" si="8"/>
        <v>#NAME?</v>
      </c>
      <c r="R47" s="9" t="e">
        <f t="shared" ca="1" si="9"/>
        <v>#NAME?</v>
      </c>
    </row>
    <row r="48" spans="1:18" x14ac:dyDescent="0.25">
      <c r="A48" s="18"/>
      <c r="B48" s="19" t="s">
        <v>372</v>
      </c>
      <c r="C48" s="5" t="s">
        <v>373</v>
      </c>
      <c r="D48" s="7" t="e">
        <f ca="1">_xll.xlqPrice(C48)</f>
        <v>#NAME?</v>
      </c>
      <c r="E48" s="9" t="e">
        <f t="shared" ca="1" si="0"/>
        <v>#NAME?</v>
      </c>
      <c r="F48" s="9" t="e">
        <f t="shared" ca="1" si="1"/>
        <v>#NAME?</v>
      </c>
      <c r="G48" s="8" t="e">
        <f t="shared" ca="1" si="2"/>
        <v>#NAME?</v>
      </c>
      <c r="H48" s="8" t="e">
        <f t="shared" ca="1" si="3"/>
        <v>#NAME?</v>
      </c>
      <c r="I48" s="8" t="e">
        <f t="shared" ca="1" si="4"/>
        <v>#NAME?</v>
      </c>
      <c r="J48" s="6" t="e">
        <f ca="1">_xll.xlqxhSMA($C48,$L$4,$J$7,$K$3)</f>
        <v>#NAME?</v>
      </c>
      <c r="K48" s="7" t="e">
        <f ca="1">_xll.xlqhClose($C48,K$8,$K$3)</f>
        <v>#NAME?</v>
      </c>
      <c r="L48" s="7" t="e">
        <f ca="1">_xll.xlqhClose($C48,L$8,$K$3)</f>
        <v>#NAME?</v>
      </c>
      <c r="N48" s="9" t="e">
        <f t="shared" ca="1" si="5"/>
        <v>#NAME?</v>
      </c>
      <c r="O48" s="9" t="e">
        <f t="shared" ca="1" si="6"/>
        <v>#NAME?</v>
      </c>
      <c r="P48" s="9" t="e">
        <f t="shared" ca="1" si="7"/>
        <v>#NAME?</v>
      </c>
      <c r="Q48" s="9" t="e">
        <f t="shared" ca="1" si="8"/>
        <v>#NAME?</v>
      </c>
      <c r="R48" s="9" t="e">
        <f t="shared" ca="1" si="9"/>
        <v>#NAME?</v>
      </c>
    </row>
    <row r="49" spans="1:18" x14ac:dyDescent="0.25">
      <c r="A49" s="18"/>
      <c r="B49" s="19" t="s">
        <v>302</v>
      </c>
      <c r="C49" s="5" t="s">
        <v>303</v>
      </c>
      <c r="D49" s="7" t="e">
        <f ca="1">_xll.xlqPrice(C49)</f>
        <v>#NAME?</v>
      </c>
      <c r="E49" s="9" t="e">
        <f t="shared" ca="1" si="0"/>
        <v>#NAME?</v>
      </c>
      <c r="F49" s="9" t="e">
        <f t="shared" ca="1" si="1"/>
        <v>#NAME?</v>
      </c>
      <c r="G49" s="8" t="e">
        <f t="shared" ca="1" si="2"/>
        <v>#NAME?</v>
      </c>
      <c r="H49" s="8" t="e">
        <f t="shared" ca="1" si="3"/>
        <v>#NAME?</v>
      </c>
      <c r="I49" s="8" t="e">
        <f t="shared" ca="1" si="4"/>
        <v>#NAME?</v>
      </c>
      <c r="J49" s="6" t="e">
        <f ca="1">_xll.xlqxhSMA($C49,$L$4,$J$7,$K$3)</f>
        <v>#NAME?</v>
      </c>
      <c r="K49" s="7" t="e">
        <f ca="1">_xll.xlqhClose($C49,K$8,$K$3)</f>
        <v>#NAME?</v>
      </c>
      <c r="L49" s="7" t="e">
        <f ca="1">_xll.xlqhClose($C49,L$8,$K$3)</f>
        <v>#NAME?</v>
      </c>
      <c r="N49" s="9" t="e">
        <f t="shared" ca="1" si="5"/>
        <v>#NAME?</v>
      </c>
      <c r="O49" s="9" t="e">
        <f t="shared" ca="1" si="6"/>
        <v>#NAME?</v>
      </c>
      <c r="P49" s="9" t="e">
        <f t="shared" ca="1" si="7"/>
        <v>#NAME?</v>
      </c>
      <c r="Q49" s="9" t="e">
        <f t="shared" ca="1" si="8"/>
        <v>#NAME?</v>
      </c>
      <c r="R49" s="9" t="e">
        <f t="shared" ca="1" si="9"/>
        <v>#NAME?</v>
      </c>
    </row>
    <row r="50" spans="1:18" x14ac:dyDescent="0.25">
      <c r="A50" s="18"/>
      <c r="B50" s="19" t="s">
        <v>150</v>
      </c>
      <c r="C50" s="5" t="s">
        <v>151</v>
      </c>
      <c r="D50" s="7" t="e">
        <f ca="1">_xll.xlqPrice(C50)</f>
        <v>#NAME?</v>
      </c>
      <c r="E50" s="9" t="e">
        <f t="shared" ca="1" si="0"/>
        <v>#NAME?</v>
      </c>
      <c r="F50" s="9" t="e">
        <f t="shared" ca="1" si="1"/>
        <v>#NAME?</v>
      </c>
      <c r="G50" s="8" t="e">
        <f t="shared" ca="1" si="2"/>
        <v>#NAME?</v>
      </c>
      <c r="H50" s="8" t="e">
        <f t="shared" ca="1" si="3"/>
        <v>#NAME?</v>
      </c>
      <c r="I50" s="8" t="e">
        <f t="shared" ca="1" si="4"/>
        <v>#NAME?</v>
      </c>
      <c r="J50" s="6" t="e">
        <f ca="1">_xll.xlqxhSMA($C50,$L$4,$J$7,$K$3)</f>
        <v>#NAME?</v>
      </c>
      <c r="K50" s="7" t="e">
        <f ca="1">_xll.xlqhClose($C50,K$8,$K$3)</f>
        <v>#NAME?</v>
      </c>
      <c r="L50" s="7" t="e">
        <f ca="1">_xll.xlqhClose($C50,L$8,$K$3)</f>
        <v>#NAME?</v>
      </c>
      <c r="N50" s="9" t="e">
        <f t="shared" ca="1" si="5"/>
        <v>#NAME?</v>
      </c>
      <c r="O50" s="9" t="e">
        <f t="shared" ca="1" si="6"/>
        <v>#NAME?</v>
      </c>
      <c r="P50" s="9" t="e">
        <f t="shared" ca="1" si="7"/>
        <v>#NAME?</v>
      </c>
      <c r="Q50" s="9" t="e">
        <f t="shared" ca="1" si="8"/>
        <v>#NAME?</v>
      </c>
      <c r="R50" s="9" t="e">
        <f t="shared" ca="1" si="9"/>
        <v>#NAME?</v>
      </c>
    </row>
    <row r="51" spans="1:18" x14ac:dyDescent="0.25">
      <c r="A51" s="18"/>
      <c r="B51" s="19" t="s">
        <v>186</v>
      </c>
      <c r="C51" s="5" t="s">
        <v>187</v>
      </c>
      <c r="D51" s="7" t="e">
        <f ca="1">_xll.xlqPrice(C51)</f>
        <v>#NAME?</v>
      </c>
      <c r="E51" s="9" t="e">
        <f t="shared" ca="1" si="0"/>
        <v>#NAME?</v>
      </c>
      <c r="F51" s="9" t="e">
        <f t="shared" ca="1" si="1"/>
        <v>#NAME?</v>
      </c>
      <c r="G51" s="8" t="e">
        <f t="shared" ca="1" si="2"/>
        <v>#NAME?</v>
      </c>
      <c r="H51" s="8" t="e">
        <f t="shared" ca="1" si="3"/>
        <v>#NAME?</v>
      </c>
      <c r="I51" s="8" t="e">
        <f t="shared" ca="1" si="4"/>
        <v>#NAME?</v>
      </c>
      <c r="J51" s="6" t="e">
        <f ca="1">_xll.xlqxhSMA($C51,$L$4,$J$7,$K$3)</f>
        <v>#NAME?</v>
      </c>
      <c r="K51" s="7" t="e">
        <f ca="1">_xll.xlqhClose($C51,K$8,$K$3)</f>
        <v>#NAME?</v>
      </c>
      <c r="L51" s="7" t="e">
        <f ca="1">_xll.xlqhClose($C51,L$8,$K$3)</f>
        <v>#NAME?</v>
      </c>
      <c r="N51" s="9" t="e">
        <f t="shared" ca="1" si="5"/>
        <v>#NAME?</v>
      </c>
      <c r="O51" s="9" t="e">
        <f t="shared" ca="1" si="6"/>
        <v>#NAME?</v>
      </c>
      <c r="P51" s="9" t="e">
        <f t="shared" ca="1" si="7"/>
        <v>#NAME?</v>
      </c>
      <c r="Q51" s="9" t="e">
        <f t="shared" ca="1" si="8"/>
        <v>#NAME?</v>
      </c>
      <c r="R51" s="9" t="e">
        <f t="shared" ca="1" si="9"/>
        <v>#NAME?</v>
      </c>
    </row>
    <row r="52" spans="1:18" x14ac:dyDescent="0.25">
      <c r="A52" s="18"/>
      <c r="B52" s="19" t="s">
        <v>388</v>
      </c>
      <c r="C52" s="5" t="s">
        <v>389</v>
      </c>
      <c r="D52" s="7" t="e">
        <f ca="1">_xll.xlqPrice(C52)</f>
        <v>#NAME?</v>
      </c>
      <c r="E52" s="9" t="e">
        <f t="shared" ca="1" si="0"/>
        <v>#NAME?</v>
      </c>
      <c r="F52" s="9" t="e">
        <f t="shared" ca="1" si="1"/>
        <v>#NAME?</v>
      </c>
      <c r="G52" s="8" t="e">
        <f t="shared" ca="1" si="2"/>
        <v>#NAME?</v>
      </c>
      <c r="H52" s="8" t="e">
        <f t="shared" ca="1" si="3"/>
        <v>#NAME?</v>
      </c>
      <c r="I52" s="8" t="e">
        <f t="shared" ca="1" si="4"/>
        <v>#NAME?</v>
      </c>
      <c r="J52" s="6" t="e">
        <f ca="1">_xll.xlqxhSMA($C52,$L$4,$J$7,$K$3)</f>
        <v>#NAME?</v>
      </c>
      <c r="K52" s="7" t="e">
        <f ca="1">_xll.xlqhClose($C52,K$8,$K$3)</f>
        <v>#NAME?</v>
      </c>
      <c r="L52" s="7" t="e">
        <f ca="1">_xll.xlqhClose($C52,L$8,$K$3)</f>
        <v>#NAME?</v>
      </c>
      <c r="N52" s="9" t="e">
        <f t="shared" ca="1" si="5"/>
        <v>#NAME?</v>
      </c>
      <c r="O52" s="9" t="e">
        <f t="shared" ca="1" si="6"/>
        <v>#NAME?</v>
      </c>
      <c r="P52" s="9" t="e">
        <f t="shared" ca="1" si="7"/>
        <v>#NAME?</v>
      </c>
      <c r="Q52" s="9" t="e">
        <f t="shared" ca="1" si="8"/>
        <v>#NAME?</v>
      </c>
      <c r="R52" s="9" t="e">
        <f t="shared" ca="1" si="9"/>
        <v>#NAME?</v>
      </c>
    </row>
    <row r="53" spans="1:18" x14ac:dyDescent="0.25">
      <c r="A53" s="18"/>
      <c r="B53" s="19" t="s">
        <v>61</v>
      </c>
      <c r="C53" s="5" t="s">
        <v>62</v>
      </c>
      <c r="D53" s="7" t="e">
        <f ca="1">_xll.xlqPrice(C53)</f>
        <v>#NAME?</v>
      </c>
      <c r="E53" s="9" t="e">
        <f t="shared" ca="1" si="0"/>
        <v>#NAME?</v>
      </c>
      <c r="F53" s="9" t="e">
        <f t="shared" ca="1" si="1"/>
        <v>#NAME?</v>
      </c>
      <c r="G53" s="8" t="e">
        <f t="shared" ca="1" si="2"/>
        <v>#NAME?</v>
      </c>
      <c r="H53" s="8" t="e">
        <f t="shared" ca="1" si="3"/>
        <v>#NAME?</v>
      </c>
      <c r="I53" s="8" t="e">
        <f t="shared" ca="1" si="4"/>
        <v>#NAME?</v>
      </c>
      <c r="J53" s="6" t="e">
        <f ca="1">_xll.xlqxhSMA($C53,$L$4,$J$7,$K$3)</f>
        <v>#NAME?</v>
      </c>
      <c r="K53" s="7" t="e">
        <f ca="1">_xll.xlqhClose($C53,K$8,$K$3)</f>
        <v>#NAME?</v>
      </c>
      <c r="L53" s="7" t="e">
        <f ca="1">_xll.xlqhClose($C53,L$8,$K$3)</f>
        <v>#NAME?</v>
      </c>
      <c r="N53" s="9" t="e">
        <f t="shared" ca="1" si="5"/>
        <v>#NAME?</v>
      </c>
      <c r="O53" s="9" t="e">
        <f t="shared" ca="1" si="6"/>
        <v>#NAME?</v>
      </c>
      <c r="P53" s="9" t="e">
        <f t="shared" ca="1" si="7"/>
        <v>#NAME?</v>
      </c>
      <c r="Q53" s="9" t="e">
        <f t="shared" ca="1" si="8"/>
        <v>#NAME?</v>
      </c>
      <c r="R53" s="9" t="e">
        <f t="shared" ca="1" si="9"/>
        <v>#NAME?</v>
      </c>
    </row>
    <row r="54" spans="1:18" x14ac:dyDescent="0.25">
      <c r="A54" s="18"/>
      <c r="B54" s="19" t="s">
        <v>434</v>
      </c>
      <c r="C54" s="5" t="s">
        <v>435</v>
      </c>
      <c r="D54" s="7" t="e">
        <f ca="1">_xll.xlqPrice(C54)</f>
        <v>#NAME?</v>
      </c>
      <c r="E54" s="9" t="e">
        <f t="shared" ca="1" si="0"/>
        <v>#NAME?</v>
      </c>
      <c r="F54" s="9" t="e">
        <f t="shared" ca="1" si="1"/>
        <v>#NAME?</v>
      </c>
      <c r="G54" s="8" t="e">
        <f t="shared" ca="1" si="2"/>
        <v>#NAME?</v>
      </c>
      <c r="H54" s="8" t="e">
        <f t="shared" ca="1" si="3"/>
        <v>#NAME?</v>
      </c>
      <c r="I54" s="8" t="e">
        <f t="shared" ca="1" si="4"/>
        <v>#NAME?</v>
      </c>
      <c r="J54" s="6" t="e">
        <f ca="1">_xll.xlqxhSMA($C54,$L$4,$J$7,$K$3)</f>
        <v>#NAME?</v>
      </c>
      <c r="K54" s="7" t="e">
        <f ca="1">_xll.xlqhClose($C54,K$8,$K$3)</f>
        <v>#NAME?</v>
      </c>
      <c r="L54" s="7" t="e">
        <f ca="1">_xll.xlqhClose($C54,L$8,$K$3)</f>
        <v>#NAME?</v>
      </c>
      <c r="N54" s="9" t="e">
        <f t="shared" ca="1" si="5"/>
        <v>#NAME?</v>
      </c>
      <c r="O54" s="9" t="e">
        <f t="shared" ca="1" si="6"/>
        <v>#NAME?</v>
      </c>
      <c r="P54" s="9" t="e">
        <f t="shared" ca="1" si="7"/>
        <v>#NAME?</v>
      </c>
      <c r="Q54" s="9" t="e">
        <f t="shared" ca="1" si="8"/>
        <v>#NAME?</v>
      </c>
      <c r="R54" s="9" t="e">
        <f t="shared" ca="1" si="9"/>
        <v>#NAME?</v>
      </c>
    </row>
    <row r="55" spans="1:18" x14ac:dyDescent="0.25">
      <c r="A55" s="18"/>
      <c r="B55" s="19" t="s">
        <v>494</v>
      </c>
      <c r="C55" s="5" t="s">
        <v>495</v>
      </c>
      <c r="D55" s="7" t="e">
        <f ca="1">_xll.xlqPrice(C55)</f>
        <v>#NAME?</v>
      </c>
      <c r="E55" s="9" t="e">
        <f t="shared" ca="1" si="0"/>
        <v>#NAME?</v>
      </c>
      <c r="F55" s="9" t="e">
        <f t="shared" ca="1" si="1"/>
        <v>#NAME?</v>
      </c>
      <c r="G55" s="8" t="e">
        <f t="shared" ca="1" si="2"/>
        <v>#NAME?</v>
      </c>
      <c r="H55" s="8" t="e">
        <f t="shared" ca="1" si="3"/>
        <v>#NAME?</v>
      </c>
      <c r="I55" s="8" t="e">
        <f t="shared" ca="1" si="4"/>
        <v>#NAME?</v>
      </c>
      <c r="J55" s="6" t="e">
        <f ca="1">_xll.xlqxhSMA($C55,$L$4,$J$7,$K$3)</f>
        <v>#NAME?</v>
      </c>
      <c r="K55" s="7" t="e">
        <f ca="1">_xll.xlqhClose($C55,K$8,$K$3)</f>
        <v>#NAME?</v>
      </c>
      <c r="L55" s="7" t="e">
        <f ca="1">_xll.xlqhClose($C55,L$8,$K$3)</f>
        <v>#NAME?</v>
      </c>
      <c r="N55" s="9" t="e">
        <f t="shared" ca="1" si="5"/>
        <v>#NAME?</v>
      </c>
      <c r="O55" s="9" t="e">
        <f t="shared" ca="1" si="6"/>
        <v>#NAME?</v>
      </c>
      <c r="P55" s="9" t="e">
        <f t="shared" ca="1" si="7"/>
        <v>#NAME?</v>
      </c>
      <c r="Q55" s="9" t="e">
        <f t="shared" ca="1" si="8"/>
        <v>#NAME?</v>
      </c>
      <c r="R55" s="9" t="e">
        <f t="shared" ca="1" si="9"/>
        <v>#NAME?</v>
      </c>
    </row>
    <row r="56" spans="1:18" x14ac:dyDescent="0.25">
      <c r="A56" s="18"/>
      <c r="B56" s="19" t="s">
        <v>418</v>
      </c>
      <c r="C56" s="5" t="s">
        <v>419</v>
      </c>
      <c r="D56" s="7" t="e">
        <f ca="1">_xll.xlqPrice(C56)</f>
        <v>#NAME?</v>
      </c>
      <c r="E56" s="9" t="e">
        <f t="shared" ca="1" si="0"/>
        <v>#NAME?</v>
      </c>
      <c r="F56" s="9" t="e">
        <f t="shared" ca="1" si="1"/>
        <v>#NAME?</v>
      </c>
      <c r="G56" s="8" t="e">
        <f t="shared" ca="1" si="2"/>
        <v>#NAME?</v>
      </c>
      <c r="H56" s="8" t="e">
        <f t="shared" ca="1" si="3"/>
        <v>#NAME?</v>
      </c>
      <c r="I56" s="8" t="e">
        <f t="shared" ca="1" si="4"/>
        <v>#NAME?</v>
      </c>
      <c r="J56" s="6" t="e">
        <f ca="1">_xll.xlqxhSMA($C56,$L$4,$J$7,$K$3)</f>
        <v>#NAME?</v>
      </c>
      <c r="K56" s="7" t="e">
        <f ca="1">_xll.xlqhClose($C56,K$8,$K$3)</f>
        <v>#NAME?</v>
      </c>
      <c r="L56" s="7" t="e">
        <f ca="1">_xll.xlqhClose($C56,L$8,$K$3)</f>
        <v>#NAME?</v>
      </c>
      <c r="N56" s="9" t="e">
        <f t="shared" ca="1" si="5"/>
        <v>#NAME?</v>
      </c>
      <c r="O56" s="9" t="e">
        <f t="shared" ca="1" si="6"/>
        <v>#NAME?</v>
      </c>
      <c r="P56" s="9" t="e">
        <f t="shared" ca="1" si="7"/>
        <v>#NAME?</v>
      </c>
      <c r="Q56" s="9" t="e">
        <f t="shared" ca="1" si="8"/>
        <v>#NAME?</v>
      </c>
      <c r="R56" s="9" t="e">
        <f t="shared" ca="1" si="9"/>
        <v>#NAME?</v>
      </c>
    </row>
    <row r="57" spans="1:18" x14ac:dyDescent="0.25">
      <c r="A57" s="18"/>
      <c r="B57" s="19" t="s">
        <v>458</v>
      </c>
      <c r="C57" s="5" t="s">
        <v>459</v>
      </c>
      <c r="D57" s="7" t="e">
        <f ca="1">_xll.xlqPrice(C57)</f>
        <v>#NAME?</v>
      </c>
      <c r="E57" s="9" t="e">
        <f t="shared" ca="1" si="0"/>
        <v>#NAME?</v>
      </c>
      <c r="F57" s="9" t="e">
        <f t="shared" ca="1" si="1"/>
        <v>#NAME?</v>
      </c>
      <c r="G57" s="8" t="e">
        <f t="shared" ca="1" si="2"/>
        <v>#NAME?</v>
      </c>
      <c r="H57" s="8" t="e">
        <f t="shared" ca="1" si="3"/>
        <v>#NAME?</v>
      </c>
      <c r="I57" s="8" t="e">
        <f t="shared" ca="1" si="4"/>
        <v>#NAME?</v>
      </c>
      <c r="J57" s="6" t="e">
        <f ca="1">_xll.xlqxhSMA($C57,$L$4,$J$7,$K$3)</f>
        <v>#NAME?</v>
      </c>
      <c r="K57" s="7" t="e">
        <f ca="1">_xll.xlqhClose($C57,K$8,$K$3)</f>
        <v>#NAME?</v>
      </c>
      <c r="L57" s="7" t="e">
        <f ca="1">_xll.xlqhClose($C57,L$8,$K$3)</f>
        <v>#NAME?</v>
      </c>
      <c r="N57" s="9" t="e">
        <f t="shared" ca="1" si="5"/>
        <v>#NAME?</v>
      </c>
      <c r="O57" s="9" t="e">
        <f t="shared" ca="1" si="6"/>
        <v>#NAME?</v>
      </c>
      <c r="P57" s="9" t="e">
        <f t="shared" ca="1" si="7"/>
        <v>#NAME?</v>
      </c>
      <c r="Q57" s="9" t="e">
        <f t="shared" ca="1" si="8"/>
        <v>#NAME?</v>
      </c>
      <c r="R57" s="9" t="e">
        <f t="shared" ca="1" si="9"/>
        <v>#NAME?</v>
      </c>
    </row>
    <row r="58" spans="1:18" x14ac:dyDescent="0.25">
      <c r="A58" s="18"/>
      <c r="B58" s="19" t="s">
        <v>476</v>
      </c>
      <c r="C58" s="5" t="s">
        <v>477</v>
      </c>
      <c r="D58" s="7" t="e">
        <f ca="1">_xll.xlqPrice(C58)</f>
        <v>#NAME?</v>
      </c>
      <c r="E58" s="9" t="e">
        <f t="shared" ca="1" si="0"/>
        <v>#NAME?</v>
      </c>
      <c r="F58" s="9" t="e">
        <f t="shared" ca="1" si="1"/>
        <v>#NAME?</v>
      </c>
      <c r="G58" s="8" t="e">
        <f t="shared" ca="1" si="2"/>
        <v>#NAME?</v>
      </c>
      <c r="H58" s="8" t="e">
        <f t="shared" ca="1" si="3"/>
        <v>#NAME?</v>
      </c>
      <c r="I58" s="8" t="e">
        <f t="shared" ca="1" si="4"/>
        <v>#NAME?</v>
      </c>
      <c r="J58" s="6" t="e">
        <f ca="1">_xll.xlqxhSMA($C58,$L$4,$J$7,$K$3)</f>
        <v>#NAME?</v>
      </c>
      <c r="K58" s="7" t="e">
        <f ca="1">_xll.xlqhClose($C58,K$8,$K$3)</f>
        <v>#NAME?</v>
      </c>
      <c r="L58" s="7" t="e">
        <f ca="1">_xll.xlqhClose($C58,L$8,$K$3)</f>
        <v>#NAME?</v>
      </c>
      <c r="N58" s="9" t="e">
        <f t="shared" ca="1" si="5"/>
        <v>#NAME?</v>
      </c>
      <c r="O58" s="9" t="e">
        <f t="shared" ca="1" si="6"/>
        <v>#NAME?</v>
      </c>
      <c r="P58" s="9" t="e">
        <f t="shared" ca="1" si="7"/>
        <v>#NAME?</v>
      </c>
      <c r="Q58" s="9" t="e">
        <f t="shared" ca="1" si="8"/>
        <v>#NAME?</v>
      </c>
      <c r="R58" s="9" t="e">
        <f t="shared" ca="1" si="9"/>
        <v>#NAME?</v>
      </c>
    </row>
    <row r="59" spans="1:18" x14ac:dyDescent="0.25">
      <c r="A59" s="18"/>
      <c r="B59" s="19" t="s">
        <v>426</v>
      </c>
      <c r="C59" s="5" t="s">
        <v>427</v>
      </c>
      <c r="D59" s="7" t="e">
        <f ca="1">_xll.xlqPrice(C59)</f>
        <v>#NAME?</v>
      </c>
      <c r="E59" s="9" t="e">
        <f t="shared" ca="1" si="0"/>
        <v>#NAME?</v>
      </c>
      <c r="F59" s="9" t="e">
        <f t="shared" ca="1" si="1"/>
        <v>#NAME?</v>
      </c>
      <c r="G59" s="8" t="e">
        <f t="shared" ca="1" si="2"/>
        <v>#NAME?</v>
      </c>
      <c r="H59" s="8" t="e">
        <f t="shared" ca="1" si="3"/>
        <v>#NAME?</v>
      </c>
      <c r="I59" s="8" t="e">
        <f t="shared" ca="1" si="4"/>
        <v>#NAME?</v>
      </c>
      <c r="J59" s="6" t="e">
        <f ca="1">_xll.xlqxhSMA($C59,$L$4,$J$7,$K$3)</f>
        <v>#NAME?</v>
      </c>
      <c r="K59" s="7" t="e">
        <f ca="1">_xll.xlqhClose($C59,K$8,$K$3)</f>
        <v>#NAME?</v>
      </c>
      <c r="L59" s="7" t="e">
        <f ca="1">_xll.xlqhClose($C59,L$8,$K$3)</f>
        <v>#NAME?</v>
      </c>
      <c r="N59" s="9" t="e">
        <f t="shared" ca="1" si="5"/>
        <v>#NAME?</v>
      </c>
      <c r="O59" s="9" t="e">
        <f t="shared" ca="1" si="6"/>
        <v>#NAME?</v>
      </c>
      <c r="P59" s="9" t="e">
        <f t="shared" ca="1" si="7"/>
        <v>#NAME?</v>
      </c>
      <c r="Q59" s="9" t="e">
        <f t="shared" ca="1" si="8"/>
        <v>#NAME?</v>
      </c>
      <c r="R59" s="9" t="e">
        <f t="shared" ca="1" si="9"/>
        <v>#NAME?</v>
      </c>
    </row>
    <row r="60" spans="1:18" x14ac:dyDescent="0.25">
      <c r="A60" s="18"/>
      <c r="B60" s="19" t="s">
        <v>270</v>
      </c>
      <c r="C60" s="5" t="s">
        <v>271</v>
      </c>
      <c r="D60" s="7" t="e">
        <f ca="1">_xll.xlqPrice(C60)</f>
        <v>#NAME?</v>
      </c>
      <c r="E60" s="9" t="e">
        <f t="shared" ca="1" si="0"/>
        <v>#NAME?</v>
      </c>
      <c r="F60" s="9" t="e">
        <f t="shared" ca="1" si="1"/>
        <v>#NAME?</v>
      </c>
      <c r="G60" s="8" t="e">
        <f t="shared" ca="1" si="2"/>
        <v>#NAME?</v>
      </c>
      <c r="H60" s="8" t="e">
        <f t="shared" ca="1" si="3"/>
        <v>#NAME?</v>
      </c>
      <c r="I60" s="8" t="e">
        <f t="shared" ca="1" si="4"/>
        <v>#NAME?</v>
      </c>
      <c r="J60" s="6" t="e">
        <f ca="1">_xll.xlqxhSMA($C60,$L$4,$J$7,$K$3)</f>
        <v>#NAME?</v>
      </c>
      <c r="K60" s="7" t="e">
        <f ca="1">_xll.xlqhClose($C60,K$8,$K$3)</f>
        <v>#NAME?</v>
      </c>
      <c r="L60" s="7" t="e">
        <f ca="1">_xll.xlqhClose($C60,L$8,$K$3)</f>
        <v>#NAME?</v>
      </c>
      <c r="N60" s="9" t="e">
        <f t="shared" ca="1" si="5"/>
        <v>#NAME?</v>
      </c>
      <c r="O60" s="9" t="e">
        <f t="shared" ca="1" si="6"/>
        <v>#NAME?</v>
      </c>
      <c r="P60" s="9" t="e">
        <f t="shared" ca="1" si="7"/>
        <v>#NAME?</v>
      </c>
      <c r="Q60" s="9" t="e">
        <f t="shared" ca="1" si="8"/>
        <v>#NAME?</v>
      </c>
      <c r="R60" s="9" t="e">
        <f t="shared" ca="1" si="9"/>
        <v>#NAME?</v>
      </c>
    </row>
    <row r="61" spans="1:18" x14ac:dyDescent="0.25">
      <c r="A61" s="18"/>
      <c r="B61" s="19" t="s">
        <v>440</v>
      </c>
      <c r="C61" s="5" t="s">
        <v>441</v>
      </c>
      <c r="D61" s="7" t="e">
        <f ca="1">_xll.xlqPrice(C61)</f>
        <v>#NAME?</v>
      </c>
      <c r="E61" s="9" t="e">
        <f t="shared" ca="1" si="0"/>
        <v>#NAME?</v>
      </c>
      <c r="F61" s="9" t="e">
        <f t="shared" ca="1" si="1"/>
        <v>#NAME?</v>
      </c>
      <c r="G61" s="8" t="e">
        <f t="shared" ca="1" si="2"/>
        <v>#NAME?</v>
      </c>
      <c r="H61" s="8" t="e">
        <f t="shared" ca="1" si="3"/>
        <v>#NAME?</v>
      </c>
      <c r="I61" s="8" t="e">
        <f t="shared" ca="1" si="4"/>
        <v>#NAME?</v>
      </c>
      <c r="J61" s="6" t="e">
        <f ca="1">_xll.xlqxhSMA($C61,$L$4,$J$7,$K$3)</f>
        <v>#NAME?</v>
      </c>
      <c r="K61" s="7" t="e">
        <f ca="1">_xll.xlqhClose($C61,K$8,$K$3)</f>
        <v>#NAME?</v>
      </c>
      <c r="L61" s="7" t="e">
        <f ca="1">_xll.xlqhClose($C61,L$8,$K$3)</f>
        <v>#NAME?</v>
      </c>
      <c r="N61" s="9" t="e">
        <f t="shared" ca="1" si="5"/>
        <v>#NAME?</v>
      </c>
      <c r="O61" s="9" t="e">
        <f t="shared" ca="1" si="6"/>
        <v>#NAME?</v>
      </c>
      <c r="P61" s="9" t="e">
        <f t="shared" ca="1" si="7"/>
        <v>#NAME?</v>
      </c>
      <c r="Q61" s="9" t="e">
        <f t="shared" ca="1" si="8"/>
        <v>#NAME?</v>
      </c>
      <c r="R61" s="9" t="e">
        <f t="shared" ca="1" si="9"/>
        <v>#NAME?</v>
      </c>
    </row>
    <row r="62" spans="1:18" x14ac:dyDescent="0.25">
      <c r="A62" s="18"/>
      <c r="B62" s="19" t="s">
        <v>240</v>
      </c>
      <c r="C62" s="5" t="s">
        <v>241</v>
      </c>
      <c r="D62" s="7" t="e">
        <f ca="1">_xll.xlqPrice(C62)</f>
        <v>#NAME?</v>
      </c>
      <c r="E62" s="9" t="e">
        <f t="shared" ca="1" si="0"/>
        <v>#NAME?</v>
      </c>
      <c r="F62" s="9" t="e">
        <f t="shared" ca="1" si="1"/>
        <v>#NAME?</v>
      </c>
      <c r="G62" s="8" t="e">
        <f t="shared" ca="1" si="2"/>
        <v>#NAME?</v>
      </c>
      <c r="H62" s="8" t="e">
        <f t="shared" ca="1" si="3"/>
        <v>#NAME?</v>
      </c>
      <c r="I62" s="8" t="e">
        <f t="shared" ca="1" si="4"/>
        <v>#NAME?</v>
      </c>
      <c r="J62" s="6" t="e">
        <f ca="1">_xll.xlqxhSMA($C62,$L$4,$J$7,$K$3)</f>
        <v>#NAME?</v>
      </c>
      <c r="K62" s="7" t="e">
        <f ca="1">_xll.xlqhClose($C62,K$8,$K$3)</f>
        <v>#NAME?</v>
      </c>
      <c r="L62" s="7" t="e">
        <f ca="1">_xll.xlqhClose($C62,L$8,$K$3)</f>
        <v>#NAME?</v>
      </c>
      <c r="N62" s="9" t="e">
        <f t="shared" ca="1" si="5"/>
        <v>#NAME?</v>
      </c>
      <c r="O62" s="9" t="e">
        <f t="shared" ca="1" si="6"/>
        <v>#NAME?</v>
      </c>
      <c r="P62" s="9" t="e">
        <f t="shared" ca="1" si="7"/>
        <v>#NAME?</v>
      </c>
      <c r="Q62" s="9" t="e">
        <f t="shared" ca="1" si="8"/>
        <v>#NAME?</v>
      </c>
      <c r="R62" s="9" t="e">
        <f t="shared" ca="1" si="9"/>
        <v>#NAME?</v>
      </c>
    </row>
    <row r="63" spans="1:18" x14ac:dyDescent="0.25">
      <c r="A63" s="18"/>
      <c r="B63" s="19" t="s">
        <v>414</v>
      </c>
      <c r="C63" s="5" t="s">
        <v>415</v>
      </c>
      <c r="D63" s="7" t="e">
        <f ca="1">_xll.xlqPrice(C63)</f>
        <v>#NAME?</v>
      </c>
      <c r="E63" s="9" t="e">
        <f t="shared" ca="1" si="0"/>
        <v>#NAME?</v>
      </c>
      <c r="F63" s="9" t="e">
        <f t="shared" ca="1" si="1"/>
        <v>#NAME?</v>
      </c>
      <c r="G63" s="8" t="e">
        <f t="shared" ca="1" si="2"/>
        <v>#NAME?</v>
      </c>
      <c r="H63" s="8" t="e">
        <f t="shared" ca="1" si="3"/>
        <v>#NAME?</v>
      </c>
      <c r="I63" s="8" t="e">
        <f t="shared" ca="1" si="4"/>
        <v>#NAME?</v>
      </c>
      <c r="J63" s="6" t="e">
        <f ca="1">_xll.xlqxhSMA($C63,$L$4,$J$7,$K$3)</f>
        <v>#NAME?</v>
      </c>
      <c r="K63" s="7" t="e">
        <f ca="1">_xll.xlqhClose($C63,K$8,$K$3)</f>
        <v>#NAME?</v>
      </c>
      <c r="L63" s="7" t="e">
        <f ca="1">_xll.xlqhClose($C63,L$8,$K$3)</f>
        <v>#NAME?</v>
      </c>
      <c r="N63" s="9" t="e">
        <f t="shared" ca="1" si="5"/>
        <v>#NAME?</v>
      </c>
      <c r="O63" s="9" t="e">
        <f t="shared" ca="1" si="6"/>
        <v>#NAME?</v>
      </c>
      <c r="P63" s="9" t="e">
        <f t="shared" ca="1" si="7"/>
        <v>#NAME?</v>
      </c>
      <c r="Q63" s="9" t="e">
        <f t="shared" ca="1" si="8"/>
        <v>#NAME?</v>
      </c>
      <c r="R63" s="9" t="e">
        <f t="shared" ca="1" si="9"/>
        <v>#NAME?</v>
      </c>
    </row>
    <row r="64" spans="1:18" x14ac:dyDescent="0.25">
      <c r="A64" s="18"/>
      <c r="B64" s="19" t="s">
        <v>274</v>
      </c>
      <c r="C64" s="5" t="s">
        <v>275</v>
      </c>
      <c r="D64" s="7" t="e">
        <f ca="1">_xll.xlqPrice(C64)</f>
        <v>#NAME?</v>
      </c>
      <c r="E64" s="9" t="e">
        <f t="shared" ca="1" si="0"/>
        <v>#NAME?</v>
      </c>
      <c r="F64" s="9" t="e">
        <f t="shared" ca="1" si="1"/>
        <v>#NAME?</v>
      </c>
      <c r="G64" s="8" t="e">
        <f t="shared" ca="1" si="2"/>
        <v>#NAME?</v>
      </c>
      <c r="H64" s="8" t="e">
        <f t="shared" ca="1" si="3"/>
        <v>#NAME?</v>
      </c>
      <c r="I64" s="8" t="e">
        <f t="shared" ca="1" si="4"/>
        <v>#NAME?</v>
      </c>
      <c r="J64" s="6" t="e">
        <f ca="1">_xll.xlqxhSMA($C64,$L$4,$J$7,$K$3)</f>
        <v>#NAME?</v>
      </c>
      <c r="K64" s="7" t="e">
        <f ca="1">_xll.xlqhClose($C64,K$8,$K$3)</f>
        <v>#NAME?</v>
      </c>
      <c r="L64" s="7" t="e">
        <f ca="1">_xll.xlqhClose($C64,L$8,$K$3)</f>
        <v>#NAME?</v>
      </c>
      <c r="N64" s="9" t="e">
        <f t="shared" ca="1" si="5"/>
        <v>#NAME?</v>
      </c>
      <c r="O64" s="9" t="e">
        <f t="shared" ca="1" si="6"/>
        <v>#NAME?</v>
      </c>
      <c r="P64" s="9" t="e">
        <f t="shared" ca="1" si="7"/>
        <v>#NAME?</v>
      </c>
      <c r="Q64" s="9" t="e">
        <f t="shared" ca="1" si="8"/>
        <v>#NAME?</v>
      </c>
      <c r="R64" s="9" t="e">
        <f t="shared" ca="1" si="9"/>
        <v>#NAME?</v>
      </c>
    </row>
    <row r="65" spans="1:18" x14ac:dyDescent="0.25">
      <c r="A65" s="18"/>
      <c r="B65" s="19" t="s">
        <v>37</v>
      </c>
      <c r="C65" s="5" t="s">
        <v>24</v>
      </c>
      <c r="D65" s="7" t="e">
        <f ca="1">_xll.xlqPrice(C65)</f>
        <v>#NAME?</v>
      </c>
      <c r="E65" s="9" t="e">
        <f t="shared" ca="1" si="0"/>
        <v>#NAME?</v>
      </c>
      <c r="F65" s="9" t="e">
        <f t="shared" ca="1" si="1"/>
        <v>#NAME?</v>
      </c>
      <c r="G65" s="8" t="e">
        <f t="shared" ca="1" si="2"/>
        <v>#NAME?</v>
      </c>
      <c r="H65" s="8" t="e">
        <f t="shared" ca="1" si="3"/>
        <v>#NAME?</v>
      </c>
      <c r="I65" s="8" t="e">
        <f t="shared" ca="1" si="4"/>
        <v>#NAME?</v>
      </c>
      <c r="J65" s="6" t="e">
        <f ca="1">_xll.xlqxhSMA($C65,$L$4,$J$7,$K$3)</f>
        <v>#NAME?</v>
      </c>
      <c r="K65" s="7" t="e">
        <f ca="1">_xll.xlqhClose($C65,K$8,$K$3)</f>
        <v>#NAME?</v>
      </c>
      <c r="L65" s="7" t="e">
        <f ca="1">_xll.xlqhClose($C65,L$8,$K$3)</f>
        <v>#NAME?</v>
      </c>
      <c r="N65" s="9" t="e">
        <f t="shared" ca="1" si="5"/>
        <v>#NAME?</v>
      </c>
      <c r="O65" s="9" t="e">
        <f t="shared" ca="1" si="6"/>
        <v>#NAME?</v>
      </c>
      <c r="P65" s="9" t="e">
        <f t="shared" ca="1" si="7"/>
        <v>#NAME?</v>
      </c>
      <c r="Q65" s="9" t="e">
        <f t="shared" ca="1" si="8"/>
        <v>#NAME?</v>
      </c>
      <c r="R65" s="9" t="e">
        <f t="shared" ca="1" si="9"/>
        <v>#NAME?</v>
      </c>
    </row>
    <row r="66" spans="1:18" x14ac:dyDescent="0.25">
      <c r="A66" s="18"/>
      <c r="B66" s="19" t="s">
        <v>36</v>
      </c>
      <c r="C66" s="5" t="s">
        <v>23</v>
      </c>
      <c r="D66" s="7" t="e">
        <f ca="1">_xll.xlqPrice(C66)</f>
        <v>#NAME?</v>
      </c>
      <c r="E66" s="9" t="e">
        <f t="shared" ca="1" si="0"/>
        <v>#NAME?</v>
      </c>
      <c r="F66" s="9" t="e">
        <f t="shared" ca="1" si="1"/>
        <v>#NAME?</v>
      </c>
      <c r="G66" s="8" t="e">
        <f t="shared" ca="1" si="2"/>
        <v>#NAME?</v>
      </c>
      <c r="H66" s="8" t="e">
        <f t="shared" ca="1" si="3"/>
        <v>#NAME?</v>
      </c>
      <c r="I66" s="8" t="e">
        <f t="shared" ca="1" si="4"/>
        <v>#NAME?</v>
      </c>
      <c r="J66" s="6" t="e">
        <f ca="1">_xll.xlqxhSMA($C66,$L$4,$J$7,$K$3)</f>
        <v>#NAME?</v>
      </c>
      <c r="K66" s="7" t="e">
        <f ca="1">_xll.xlqhClose($C66,K$8,$K$3)</f>
        <v>#NAME?</v>
      </c>
      <c r="L66" s="7" t="e">
        <f ca="1">_xll.xlqhClose($C66,L$8,$K$3)</f>
        <v>#NAME?</v>
      </c>
      <c r="N66" s="9" t="e">
        <f t="shared" ca="1" si="5"/>
        <v>#NAME?</v>
      </c>
      <c r="O66" s="9" t="e">
        <f t="shared" ca="1" si="6"/>
        <v>#NAME?</v>
      </c>
      <c r="P66" s="9" t="e">
        <f t="shared" ca="1" si="7"/>
        <v>#NAME?</v>
      </c>
      <c r="Q66" s="9" t="e">
        <f t="shared" ca="1" si="8"/>
        <v>#NAME?</v>
      </c>
      <c r="R66" s="9" t="e">
        <f t="shared" ca="1" si="9"/>
        <v>#NAME?</v>
      </c>
    </row>
    <row r="67" spans="1:18" x14ac:dyDescent="0.25">
      <c r="A67" s="18"/>
      <c r="B67" s="19" t="s">
        <v>200</v>
      </c>
      <c r="C67" s="5" t="s">
        <v>201</v>
      </c>
      <c r="D67" s="7" t="e">
        <f ca="1">_xll.xlqPrice(C67)</f>
        <v>#NAME?</v>
      </c>
      <c r="E67" s="9" t="e">
        <f t="shared" ca="1" si="0"/>
        <v>#NAME?</v>
      </c>
      <c r="F67" s="9" t="e">
        <f t="shared" ca="1" si="1"/>
        <v>#NAME?</v>
      </c>
      <c r="G67" s="8" t="e">
        <f t="shared" ca="1" si="2"/>
        <v>#NAME?</v>
      </c>
      <c r="H67" s="8" t="e">
        <f t="shared" ca="1" si="3"/>
        <v>#NAME?</v>
      </c>
      <c r="I67" s="8" t="e">
        <f t="shared" ca="1" si="4"/>
        <v>#NAME?</v>
      </c>
      <c r="J67" s="6" t="e">
        <f ca="1">_xll.xlqxhSMA($C67,$L$4,$J$7,$K$3)</f>
        <v>#NAME?</v>
      </c>
      <c r="K67" s="7" t="e">
        <f ca="1">_xll.xlqhClose($C67,K$8,$K$3)</f>
        <v>#NAME?</v>
      </c>
      <c r="L67" s="7" t="e">
        <f ca="1">_xll.xlqhClose($C67,L$8,$K$3)</f>
        <v>#NAME?</v>
      </c>
      <c r="N67" s="9" t="e">
        <f t="shared" ca="1" si="5"/>
        <v>#NAME?</v>
      </c>
      <c r="O67" s="9" t="e">
        <f t="shared" ca="1" si="6"/>
        <v>#NAME?</v>
      </c>
      <c r="P67" s="9" t="e">
        <f t="shared" ca="1" si="7"/>
        <v>#NAME?</v>
      </c>
      <c r="Q67" s="9" t="e">
        <f t="shared" ca="1" si="8"/>
        <v>#NAME?</v>
      </c>
      <c r="R67" s="9" t="e">
        <f t="shared" ca="1" si="9"/>
        <v>#NAME?</v>
      </c>
    </row>
    <row r="68" spans="1:18" x14ac:dyDescent="0.25">
      <c r="A68" s="18"/>
      <c r="B68" s="19" t="s">
        <v>342</v>
      </c>
      <c r="C68" s="5" t="s">
        <v>343</v>
      </c>
      <c r="D68" s="7" t="e">
        <f ca="1">_xll.xlqPrice(C68)</f>
        <v>#NAME?</v>
      </c>
      <c r="E68" s="9" t="e">
        <f t="shared" ca="1" si="0"/>
        <v>#NAME?</v>
      </c>
      <c r="F68" s="9" t="e">
        <f t="shared" ca="1" si="1"/>
        <v>#NAME?</v>
      </c>
      <c r="G68" s="8" t="e">
        <f t="shared" ca="1" si="2"/>
        <v>#NAME?</v>
      </c>
      <c r="H68" s="8" t="e">
        <f t="shared" ca="1" si="3"/>
        <v>#NAME?</v>
      </c>
      <c r="I68" s="8" t="e">
        <f t="shared" ca="1" si="4"/>
        <v>#NAME?</v>
      </c>
      <c r="J68" s="6" t="e">
        <f ca="1">_xll.xlqxhSMA($C68,$L$4,$J$7,$K$3)</f>
        <v>#NAME?</v>
      </c>
      <c r="K68" s="7" t="e">
        <f ca="1">_xll.xlqhClose($C68,K$8,$K$3)</f>
        <v>#NAME?</v>
      </c>
      <c r="L68" s="7" t="e">
        <f ca="1">_xll.xlqhClose($C68,L$8,$K$3)</f>
        <v>#NAME?</v>
      </c>
      <c r="N68" s="9" t="e">
        <f t="shared" ca="1" si="5"/>
        <v>#NAME?</v>
      </c>
      <c r="O68" s="9" t="e">
        <f t="shared" ca="1" si="6"/>
        <v>#NAME?</v>
      </c>
      <c r="P68" s="9" t="e">
        <f t="shared" ca="1" si="7"/>
        <v>#NAME?</v>
      </c>
      <c r="Q68" s="9" t="e">
        <f t="shared" ca="1" si="8"/>
        <v>#NAME?</v>
      </c>
      <c r="R68" s="9" t="e">
        <f t="shared" ca="1" si="9"/>
        <v>#NAME?</v>
      </c>
    </row>
    <row r="69" spans="1:18" x14ac:dyDescent="0.25">
      <c r="A69" s="18"/>
      <c r="B69" s="19" t="s">
        <v>402</v>
      </c>
      <c r="C69" s="5" t="s">
        <v>403</v>
      </c>
      <c r="D69" s="7" t="e">
        <f ca="1">_xll.xlqPrice(C69)</f>
        <v>#NAME?</v>
      </c>
      <c r="E69" s="9" t="e">
        <f t="shared" ca="1" si="0"/>
        <v>#NAME?</v>
      </c>
      <c r="F69" s="9" t="e">
        <f t="shared" ca="1" si="1"/>
        <v>#NAME?</v>
      </c>
      <c r="G69" s="8" t="e">
        <f t="shared" ca="1" si="2"/>
        <v>#NAME?</v>
      </c>
      <c r="H69" s="8" t="e">
        <f t="shared" ca="1" si="3"/>
        <v>#NAME?</v>
      </c>
      <c r="I69" s="8" t="e">
        <f t="shared" ca="1" si="4"/>
        <v>#NAME?</v>
      </c>
      <c r="J69" s="6" t="e">
        <f ca="1">_xll.xlqxhSMA($C69,$L$4,$J$7,$K$3)</f>
        <v>#NAME?</v>
      </c>
      <c r="K69" s="7" t="e">
        <f ca="1">_xll.xlqhClose($C69,K$8,$K$3)</f>
        <v>#NAME?</v>
      </c>
      <c r="L69" s="7" t="e">
        <f ca="1">_xll.xlqhClose($C69,L$8,$K$3)</f>
        <v>#NAME?</v>
      </c>
      <c r="N69" s="9" t="e">
        <f t="shared" ca="1" si="5"/>
        <v>#NAME?</v>
      </c>
      <c r="O69" s="9" t="e">
        <f t="shared" ca="1" si="6"/>
        <v>#NAME?</v>
      </c>
      <c r="P69" s="9" t="e">
        <f t="shared" ca="1" si="7"/>
        <v>#NAME?</v>
      </c>
      <c r="Q69" s="9" t="e">
        <f t="shared" ca="1" si="8"/>
        <v>#NAME?</v>
      </c>
      <c r="R69" s="9" t="e">
        <f t="shared" ca="1" si="9"/>
        <v>#NAME?</v>
      </c>
    </row>
    <row r="70" spans="1:18" x14ac:dyDescent="0.25">
      <c r="A70" s="18"/>
      <c r="B70" s="19" t="s">
        <v>182</v>
      </c>
      <c r="C70" s="5" t="s">
        <v>183</v>
      </c>
      <c r="D70" s="7" t="e">
        <f ca="1">_xll.xlqPrice(C70)</f>
        <v>#NAME?</v>
      </c>
      <c r="E70" s="9" t="e">
        <f t="shared" ca="1" si="0"/>
        <v>#NAME?</v>
      </c>
      <c r="F70" s="9" t="e">
        <f t="shared" ca="1" si="1"/>
        <v>#NAME?</v>
      </c>
      <c r="G70" s="8" t="e">
        <f t="shared" ca="1" si="2"/>
        <v>#NAME?</v>
      </c>
      <c r="H70" s="8" t="e">
        <f t="shared" ca="1" si="3"/>
        <v>#NAME?</v>
      </c>
      <c r="I70" s="8" t="e">
        <f t="shared" ca="1" si="4"/>
        <v>#NAME?</v>
      </c>
      <c r="J70" s="6" t="e">
        <f ca="1">_xll.xlqxhSMA($C70,$L$4,$J$7,$K$3)</f>
        <v>#NAME?</v>
      </c>
      <c r="K70" s="7" t="e">
        <f ca="1">_xll.xlqhClose($C70,K$8,$K$3)</f>
        <v>#NAME?</v>
      </c>
      <c r="L70" s="7" t="e">
        <f ca="1">_xll.xlqhClose($C70,L$8,$K$3)</f>
        <v>#NAME?</v>
      </c>
      <c r="N70" s="9" t="e">
        <f t="shared" ca="1" si="5"/>
        <v>#NAME?</v>
      </c>
      <c r="O70" s="9" t="e">
        <f t="shared" ca="1" si="6"/>
        <v>#NAME?</v>
      </c>
      <c r="P70" s="9" t="e">
        <f t="shared" ca="1" si="7"/>
        <v>#NAME?</v>
      </c>
      <c r="Q70" s="9" t="e">
        <f t="shared" ca="1" si="8"/>
        <v>#NAME?</v>
      </c>
      <c r="R70" s="9" t="e">
        <f t="shared" ca="1" si="9"/>
        <v>#NAME?</v>
      </c>
    </row>
    <row r="71" spans="1:18" x14ac:dyDescent="0.25">
      <c r="A71" s="18"/>
      <c r="B71" s="19" t="s">
        <v>184</v>
      </c>
      <c r="C71" s="5" t="s">
        <v>185</v>
      </c>
      <c r="D71" s="7" t="e">
        <f ca="1">_xll.xlqPrice(C71)</f>
        <v>#NAME?</v>
      </c>
      <c r="E71" s="9" t="e">
        <f t="shared" ca="1" si="0"/>
        <v>#NAME?</v>
      </c>
      <c r="F71" s="9" t="e">
        <f t="shared" ca="1" si="1"/>
        <v>#NAME?</v>
      </c>
      <c r="G71" s="8" t="e">
        <f t="shared" ca="1" si="2"/>
        <v>#NAME?</v>
      </c>
      <c r="H71" s="8" t="e">
        <f t="shared" ca="1" si="3"/>
        <v>#NAME?</v>
      </c>
      <c r="I71" s="8" t="e">
        <f t="shared" ca="1" si="4"/>
        <v>#NAME?</v>
      </c>
      <c r="J71" s="6" t="e">
        <f ca="1">_xll.xlqxhSMA($C71,$L$4,$J$7,$K$3)</f>
        <v>#NAME?</v>
      </c>
      <c r="K71" s="7" t="e">
        <f ca="1">_xll.xlqhClose($C71,K$8,$K$3)</f>
        <v>#NAME?</v>
      </c>
      <c r="L71" s="7" t="e">
        <f ca="1">_xll.xlqhClose($C71,L$8,$K$3)</f>
        <v>#NAME?</v>
      </c>
      <c r="N71" s="9" t="e">
        <f t="shared" ca="1" si="5"/>
        <v>#NAME?</v>
      </c>
      <c r="O71" s="9" t="e">
        <f t="shared" ca="1" si="6"/>
        <v>#NAME?</v>
      </c>
      <c r="P71" s="9" t="e">
        <f t="shared" ca="1" si="7"/>
        <v>#NAME?</v>
      </c>
      <c r="Q71" s="9" t="e">
        <f t="shared" ca="1" si="8"/>
        <v>#NAME?</v>
      </c>
      <c r="R71" s="9" t="e">
        <f t="shared" ca="1" si="9"/>
        <v>#NAME?</v>
      </c>
    </row>
    <row r="72" spans="1:18" x14ac:dyDescent="0.25">
      <c r="A72" s="18"/>
      <c r="B72" s="19" t="s">
        <v>404</v>
      </c>
      <c r="C72" s="5" t="s">
        <v>405</v>
      </c>
      <c r="D72" s="7" t="e">
        <f ca="1">_xll.xlqPrice(C72)</f>
        <v>#NAME?</v>
      </c>
      <c r="E72" s="9" t="e">
        <f t="shared" ca="1" si="0"/>
        <v>#NAME?</v>
      </c>
      <c r="F72" s="9" t="e">
        <f t="shared" ca="1" si="1"/>
        <v>#NAME?</v>
      </c>
      <c r="G72" s="8" t="e">
        <f t="shared" ca="1" si="2"/>
        <v>#NAME?</v>
      </c>
      <c r="H72" s="8" t="e">
        <f t="shared" ca="1" si="3"/>
        <v>#NAME?</v>
      </c>
      <c r="I72" s="8" t="e">
        <f t="shared" ca="1" si="4"/>
        <v>#NAME?</v>
      </c>
      <c r="J72" s="6" t="e">
        <f ca="1">_xll.xlqxhSMA($C72,$L$4,$J$7,$K$3)</f>
        <v>#NAME?</v>
      </c>
      <c r="K72" s="7" t="e">
        <f ca="1">_xll.xlqhClose($C72,K$8,$K$3)</f>
        <v>#NAME?</v>
      </c>
      <c r="L72" s="7" t="e">
        <f ca="1">_xll.xlqhClose($C72,L$8,$K$3)</f>
        <v>#NAME?</v>
      </c>
      <c r="N72" s="9" t="e">
        <f t="shared" ca="1" si="5"/>
        <v>#NAME?</v>
      </c>
      <c r="O72" s="9" t="e">
        <f t="shared" ca="1" si="6"/>
        <v>#NAME?</v>
      </c>
      <c r="P72" s="9" t="e">
        <f t="shared" ca="1" si="7"/>
        <v>#NAME?</v>
      </c>
      <c r="Q72" s="9" t="e">
        <f t="shared" ca="1" si="8"/>
        <v>#NAME?</v>
      </c>
      <c r="R72" s="9" t="e">
        <f t="shared" ca="1" si="9"/>
        <v>#NAME?</v>
      </c>
    </row>
    <row r="73" spans="1:18" x14ac:dyDescent="0.25">
      <c r="A73" s="18"/>
      <c r="B73" s="19" t="s">
        <v>338</v>
      </c>
      <c r="C73" s="5" t="s">
        <v>339</v>
      </c>
      <c r="D73" s="7" t="e">
        <f ca="1">_xll.xlqPrice(C73)</f>
        <v>#NAME?</v>
      </c>
      <c r="E73" s="9" t="e">
        <f t="shared" ca="1" si="0"/>
        <v>#NAME?</v>
      </c>
      <c r="F73" s="9" t="e">
        <f t="shared" ca="1" si="1"/>
        <v>#NAME?</v>
      </c>
      <c r="G73" s="8" t="e">
        <f t="shared" ca="1" si="2"/>
        <v>#NAME?</v>
      </c>
      <c r="H73" s="8" t="e">
        <f t="shared" ca="1" si="3"/>
        <v>#NAME?</v>
      </c>
      <c r="I73" s="8" t="e">
        <f t="shared" ca="1" si="4"/>
        <v>#NAME?</v>
      </c>
      <c r="J73" s="6" t="e">
        <f ca="1">_xll.xlqxhSMA($C73,$L$4,$J$7,$K$3)</f>
        <v>#NAME?</v>
      </c>
      <c r="K73" s="7" t="e">
        <f ca="1">_xll.xlqhClose($C73,K$8,$K$3)</f>
        <v>#NAME?</v>
      </c>
      <c r="L73" s="7" t="e">
        <f ca="1">_xll.xlqhClose($C73,L$8,$K$3)</f>
        <v>#NAME?</v>
      </c>
      <c r="N73" s="9" t="e">
        <f t="shared" ca="1" si="5"/>
        <v>#NAME?</v>
      </c>
      <c r="O73" s="9" t="e">
        <f t="shared" ca="1" si="6"/>
        <v>#NAME?</v>
      </c>
      <c r="P73" s="9" t="e">
        <f t="shared" ca="1" si="7"/>
        <v>#NAME?</v>
      </c>
      <c r="Q73" s="9" t="e">
        <f t="shared" ca="1" si="8"/>
        <v>#NAME?</v>
      </c>
      <c r="R73" s="9" t="e">
        <f t="shared" ca="1" si="9"/>
        <v>#NAME?</v>
      </c>
    </row>
    <row r="74" spans="1:18" x14ac:dyDescent="0.25">
      <c r="A74" s="18"/>
      <c r="B74" s="19" t="s">
        <v>330</v>
      </c>
      <c r="C74" s="5" t="s">
        <v>331</v>
      </c>
      <c r="D74" s="7" t="e">
        <f ca="1">_xll.xlqPrice(C74)</f>
        <v>#NAME?</v>
      </c>
      <c r="E74" s="9" t="e">
        <f t="shared" ca="1" si="0"/>
        <v>#NAME?</v>
      </c>
      <c r="F74" s="9" t="e">
        <f t="shared" ca="1" si="1"/>
        <v>#NAME?</v>
      </c>
      <c r="G74" s="8" t="e">
        <f t="shared" ca="1" si="2"/>
        <v>#NAME?</v>
      </c>
      <c r="H74" s="8" t="e">
        <f t="shared" ca="1" si="3"/>
        <v>#NAME?</v>
      </c>
      <c r="I74" s="8" t="e">
        <f t="shared" ca="1" si="4"/>
        <v>#NAME?</v>
      </c>
      <c r="J74" s="6" t="e">
        <f ca="1">_xll.xlqxhSMA($C74,$L$4,$J$7,$K$3)</f>
        <v>#NAME?</v>
      </c>
      <c r="K74" s="7" t="e">
        <f ca="1">_xll.xlqhClose($C74,K$8,$K$3)</f>
        <v>#NAME?</v>
      </c>
      <c r="L74" s="7" t="e">
        <f ca="1">_xll.xlqhClose($C74,L$8,$K$3)</f>
        <v>#NAME?</v>
      </c>
      <c r="N74" s="9" t="e">
        <f t="shared" ca="1" si="5"/>
        <v>#NAME?</v>
      </c>
      <c r="O74" s="9" t="e">
        <f t="shared" ca="1" si="6"/>
        <v>#NAME?</v>
      </c>
      <c r="P74" s="9" t="e">
        <f t="shared" ca="1" si="7"/>
        <v>#NAME?</v>
      </c>
      <c r="Q74" s="9" t="e">
        <f t="shared" ca="1" si="8"/>
        <v>#NAME?</v>
      </c>
      <c r="R74" s="9" t="e">
        <f t="shared" ca="1" si="9"/>
        <v>#NAME?</v>
      </c>
    </row>
    <row r="75" spans="1:18" x14ac:dyDescent="0.25">
      <c r="A75" s="18"/>
      <c r="B75" s="19" t="s">
        <v>198</v>
      </c>
      <c r="C75" s="5" t="s">
        <v>199</v>
      </c>
      <c r="D75" s="7" t="e">
        <f ca="1">_xll.xlqPrice(C75)</f>
        <v>#NAME?</v>
      </c>
      <c r="E75" s="9" t="e">
        <f t="shared" ref="E75:E138" ca="1" si="10">IF(D75&gt;J75, "Buy","Cash")</f>
        <v>#NAME?</v>
      </c>
      <c r="F75" s="9" t="e">
        <f t="shared" ref="F75:F138" ca="1" si="11">RANK(I75,$I$11:$I$215,0)</f>
        <v>#NAME?</v>
      </c>
      <c r="G75" s="8" t="e">
        <f t="shared" ref="G75:G138" ca="1" si="12">($D75-K75)/K75</f>
        <v>#NAME?</v>
      </c>
      <c r="H75" s="8" t="e">
        <f t="shared" ref="H75:H138" ca="1" si="13">($D75-L75)/L75</f>
        <v>#NAME?</v>
      </c>
      <c r="I75" s="8" t="e">
        <f t="shared" ref="I75:I138" ca="1" si="14">(G75*$G$8) +(H75*$H$8)</f>
        <v>#NAME?</v>
      </c>
      <c r="J75" s="6" t="e">
        <f ca="1">_xll.xlqxhSMA($C75,$L$4,$J$7,$K$3)</f>
        <v>#NAME?</v>
      </c>
      <c r="K75" s="7" t="e">
        <f ca="1">_xll.xlqhClose($C75,K$8,$K$3)</f>
        <v>#NAME?</v>
      </c>
      <c r="L75" s="7" t="e">
        <f ca="1">_xll.xlqhClose($C75,L$8,$K$3)</f>
        <v>#NAME?</v>
      </c>
      <c r="N75" s="9" t="e">
        <f t="shared" ref="N75:N138" ca="1" si="15">RANK($G75,G$11:G$215,0)</f>
        <v>#NAME?</v>
      </c>
      <c r="O75" s="9" t="e">
        <f t="shared" ref="O75:O138" ca="1" si="16">RANK($H75,H$11:H$215,0)</f>
        <v>#NAME?</v>
      </c>
      <c r="P75" s="9" t="e">
        <f t="shared" ref="P75:P138" ca="1" si="17">(N75*$G$8)+(O75*$H$8)</f>
        <v>#NAME?</v>
      </c>
      <c r="Q75" s="9" t="e">
        <f t="shared" ref="Q75:Q138" ca="1" si="18">RANK($P75,P$11:P$215,1)</f>
        <v>#NAME?</v>
      </c>
      <c r="R75" s="9" t="e">
        <f t="shared" ref="R75:R138" ca="1" si="19">F75-Q75</f>
        <v>#NAME?</v>
      </c>
    </row>
    <row r="76" spans="1:18" x14ac:dyDescent="0.25">
      <c r="A76" s="18"/>
      <c r="B76" s="19" t="s">
        <v>464</v>
      </c>
      <c r="C76" s="5" t="s">
        <v>465</v>
      </c>
      <c r="D76" s="7" t="e">
        <f ca="1">_xll.xlqPrice(C76)</f>
        <v>#NAME?</v>
      </c>
      <c r="E76" s="9" t="e">
        <f t="shared" ca="1" si="10"/>
        <v>#NAME?</v>
      </c>
      <c r="F76" s="9" t="e">
        <f t="shared" ca="1" si="11"/>
        <v>#NAME?</v>
      </c>
      <c r="G76" s="8" t="e">
        <f t="shared" ca="1" si="12"/>
        <v>#NAME?</v>
      </c>
      <c r="H76" s="8" t="e">
        <f t="shared" ca="1" si="13"/>
        <v>#NAME?</v>
      </c>
      <c r="I76" s="8" t="e">
        <f t="shared" ca="1" si="14"/>
        <v>#NAME?</v>
      </c>
      <c r="J76" s="6" t="e">
        <f ca="1">_xll.xlqxhSMA($C76,$L$4,$J$7,$K$3)</f>
        <v>#NAME?</v>
      </c>
      <c r="K76" s="7" t="e">
        <f ca="1">_xll.xlqhClose($C76,K$8,$K$3)</f>
        <v>#NAME?</v>
      </c>
      <c r="L76" s="7" t="e">
        <f ca="1">_xll.xlqhClose($C76,L$8,$K$3)</f>
        <v>#NAME?</v>
      </c>
      <c r="N76" s="9" t="e">
        <f t="shared" ca="1" si="15"/>
        <v>#NAME?</v>
      </c>
      <c r="O76" s="9" t="e">
        <f t="shared" ca="1" si="16"/>
        <v>#NAME?</v>
      </c>
      <c r="P76" s="9" t="e">
        <f t="shared" ca="1" si="17"/>
        <v>#NAME?</v>
      </c>
      <c r="Q76" s="9" t="e">
        <f t="shared" ca="1" si="18"/>
        <v>#NAME?</v>
      </c>
      <c r="R76" s="9" t="e">
        <f t="shared" ca="1" si="19"/>
        <v>#NAME?</v>
      </c>
    </row>
    <row r="77" spans="1:18" x14ac:dyDescent="0.25">
      <c r="A77" s="18"/>
      <c r="B77" s="19" t="s">
        <v>356</v>
      </c>
      <c r="C77" s="5" t="s">
        <v>357</v>
      </c>
      <c r="D77" s="7" t="e">
        <f ca="1">_xll.xlqPrice(C77)</f>
        <v>#NAME?</v>
      </c>
      <c r="E77" s="9" t="e">
        <f t="shared" ca="1" si="10"/>
        <v>#NAME?</v>
      </c>
      <c r="F77" s="9" t="e">
        <f t="shared" ca="1" si="11"/>
        <v>#NAME?</v>
      </c>
      <c r="G77" s="8" t="e">
        <f t="shared" ca="1" si="12"/>
        <v>#NAME?</v>
      </c>
      <c r="H77" s="8" t="e">
        <f t="shared" ca="1" si="13"/>
        <v>#NAME?</v>
      </c>
      <c r="I77" s="8" t="e">
        <f t="shared" ca="1" si="14"/>
        <v>#NAME?</v>
      </c>
      <c r="J77" s="6" t="e">
        <f ca="1">_xll.xlqxhSMA($C77,$L$4,$J$7,$K$3)</f>
        <v>#NAME?</v>
      </c>
      <c r="K77" s="7" t="e">
        <f ca="1">_xll.xlqhClose($C77,K$8,$K$3)</f>
        <v>#NAME?</v>
      </c>
      <c r="L77" s="7" t="e">
        <f ca="1">_xll.xlqhClose($C77,L$8,$K$3)</f>
        <v>#NAME?</v>
      </c>
      <c r="N77" s="9" t="e">
        <f t="shared" ca="1" si="15"/>
        <v>#NAME?</v>
      </c>
      <c r="O77" s="9" t="e">
        <f t="shared" ca="1" si="16"/>
        <v>#NAME?</v>
      </c>
      <c r="P77" s="9" t="e">
        <f t="shared" ca="1" si="17"/>
        <v>#NAME?</v>
      </c>
      <c r="Q77" s="9" t="e">
        <f t="shared" ca="1" si="18"/>
        <v>#NAME?</v>
      </c>
      <c r="R77" s="9" t="e">
        <f t="shared" ca="1" si="19"/>
        <v>#NAME?</v>
      </c>
    </row>
    <row r="78" spans="1:18" x14ac:dyDescent="0.25">
      <c r="A78" s="18"/>
      <c r="B78" s="19" t="s">
        <v>216</v>
      </c>
      <c r="C78" s="5" t="s">
        <v>217</v>
      </c>
      <c r="D78" s="7" t="e">
        <f ca="1">_xll.xlqPrice(C78)</f>
        <v>#NAME?</v>
      </c>
      <c r="E78" s="9" t="e">
        <f t="shared" ca="1" si="10"/>
        <v>#NAME?</v>
      </c>
      <c r="F78" s="9" t="e">
        <f t="shared" ca="1" si="11"/>
        <v>#NAME?</v>
      </c>
      <c r="G78" s="8" t="e">
        <f t="shared" ca="1" si="12"/>
        <v>#NAME?</v>
      </c>
      <c r="H78" s="8" t="e">
        <f t="shared" ca="1" si="13"/>
        <v>#NAME?</v>
      </c>
      <c r="I78" s="8" t="e">
        <f t="shared" ca="1" si="14"/>
        <v>#NAME?</v>
      </c>
      <c r="J78" s="6" t="e">
        <f ca="1">_xll.xlqxhSMA($C78,$L$4,$J$7,$K$3)</f>
        <v>#NAME?</v>
      </c>
      <c r="K78" s="7" t="e">
        <f ca="1">_xll.xlqhClose($C78,K$8,$K$3)</f>
        <v>#NAME?</v>
      </c>
      <c r="L78" s="7" t="e">
        <f ca="1">_xll.xlqhClose($C78,L$8,$K$3)</f>
        <v>#NAME?</v>
      </c>
      <c r="N78" s="9" t="e">
        <f t="shared" ca="1" si="15"/>
        <v>#NAME?</v>
      </c>
      <c r="O78" s="9" t="e">
        <f t="shared" ca="1" si="16"/>
        <v>#NAME?</v>
      </c>
      <c r="P78" s="9" t="e">
        <f t="shared" ca="1" si="17"/>
        <v>#NAME?</v>
      </c>
      <c r="Q78" s="9" t="e">
        <f t="shared" ca="1" si="18"/>
        <v>#NAME?</v>
      </c>
      <c r="R78" s="9" t="e">
        <f t="shared" ca="1" si="19"/>
        <v>#NAME?</v>
      </c>
    </row>
    <row r="79" spans="1:18" x14ac:dyDescent="0.25">
      <c r="A79" s="18"/>
      <c r="B79" s="19" t="s">
        <v>410</v>
      </c>
      <c r="C79" s="5" t="s">
        <v>411</v>
      </c>
      <c r="D79" s="7" t="e">
        <f ca="1">_xll.xlqPrice(C79)</f>
        <v>#NAME?</v>
      </c>
      <c r="E79" s="9" t="e">
        <f t="shared" ca="1" si="10"/>
        <v>#NAME?</v>
      </c>
      <c r="F79" s="9" t="e">
        <f t="shared" ca="1" si="11"/>
        <v>#NAME?</v>
      </c>
      <c r="G79" s="8" t="e">
        <f t="shared" ca="1" si="12"/>
        <v>#NAME?</v>
      </c>
      <c r="H79" s="8" t="e">
        <f t="shared" ca="1" si="13"/>
        <v>#NAME?</v>
      </c>
      <c r="I79" s="8" t="e">
        <f t="shared" ca="1" si="14"/>
        <v>#NAME?</v>
      </c>
      <c r="J79" s="6" t="e">
        <f ca="1">_xll.xlqxhSMA($C79,$L$4,$J$7,$K$3)</f>
        <v>#NAME?</v>
      </c>
      <c r="K79" s="7" t="e">
        <f ca="1">_xll.xlqhClose($C79,K$8,$K$3)</f>
        <v>#NAME?</v>
      </c>
      <c r="L79" s="7" t="e">
        <f ca="1">_xll.xlqhClose($C79,L$8,$K$3)</f>
        <v>#NAME?</v>
      </c>
      <c r="N79" s="9" t="e">
        <f t="shared" ca="1" si="15"/>
        <v>#NAME?</v>
      </c>
      <c r="O79" s="9" t="e">
        <f t="shared" ca="1" si="16"/>
        <v>#NAME?</v>
      </c>
      <c r="P79" s="9" t="e">
        <f t="shared" ca="1" si="17"/>
        <v>#NAME?</v>
      </c>
      <c r="Q79" s="9" t="e">
        <f t="shared" ca="1" si="18"/>
        <v>#NAME?</v>
      </c>
      <c r="R79" s="9" t="e">
        <f t="shared" ca="1" si="19"/>
        <v>#NAME?</v>
      </c>
    </row>
    <row r="80" spans="1:18" x14ac:dyDescent="0.25">
      <c r="A80" s="18"/>
      <c r="B80" s="19" t="s">
        <v>190</v>
      </c>
      <c r="C80" s="5" t="s">
        <v>191</v>
      </c>
      <c r="D80" s="7" t="e">
        <f ca="1">_xll.xlqPrice(C80)</f>
        <v>#NAME?</v>
      </c>
      <c r="E80" s="9" t="e">
        <f t="shared" ca="1" si="10"/>
        <v>#NAME?</v>
      </c>
      <c r="F80" s="9" t="e">
        <f t="shared" ca="1" si="11"/>
        <v>#NAME?</v>
      </c>
      <c r="G80" s="8" t="e">
        <f t="shared" ca="1" si="12"/>
        <v>#NAME?</v>
      </c>
      <c r="H80" s="8" t="e">
        <f t="shared" ca="1" si="13"/>
        <v>#NAME?</v>
      </c>
      <c r="I80" s="8" t="e">
        <f t="shared" ca="1" si="14"/>
        <v>#NAME?</v>
      </c>
      <c r="J80" s="6" t="e">
        <f ca="1">_xll.xlqxhSMA($C80,$L$4,$J$7,$K$3)</f>
        <v>#NAME?</v>
      </c>
      <c r="K80" s="7" t="e">
        <f ca="1">_xll.xlqhClose($C80,K$8,$K$3)</f>
        <v>#NAME?</v>
      </c>
      <c r="L80" s="7" t="e">
        <f ca="1">_xll.xlqhClose($C80,L$8,$K$3)</f>
        <v>#NAME?</v>
      </c>
      <c r="N80" s="9" t="e">
        <f t="shared" ca="1" si="15"/>
        <v>#NAME?</v>
      </c>
      <c r="O80" s="9" t="e">
        <f t="shared" ca="1" si="16"/>
        <v>#NAME?</v>
      </c>
      <c r="P80" s="9" t="e">
        <f t="shared" ca="1" si="17"/>
        <v>#NAME?</v>
      </c>
      <c r="Q80" s="9" t="e">
        <f t="shared" ca="1" si="18"/>
        <v>#NAME?</v>
      </c>
      <c r="R80" s="9" t="e">
        <f t="shared" ca="1" si="19"/>
        <v>#NAME?</v>
      </c>
    </row>
    <row r="81" spans="1:18" x14ac:dyDescent="0.25">
      <c r="A81" s="18"/>
      <c r="B81" s="19" t="s">
        <v>188</v>
      </c>
      <c r="C81" s="5" t="s">
        <v>189</v>
      </c>
      <c r="D81" s="7" t="e">
        <f ca="1">_xll.xlqPrice(C81)</f>
        <v>#NAME?</v>
      </c>
      <c r="E81" s="9" t="e">
        <f t="shared" ca="1" si="10"/>
        <v>#NAME?</v>
      </c>
      <c r="F81" s="9" t="e">
        <f t="shared" ca="1" si="11"/>
        <v>#NAME?</v>
      </c>
      <c r="G81" s="8" t="e">
        <f t="shared" ca="1" si="12"/>
        <v>#NAME?</v>
      </c>
      <c r="H81" s="8" t="e">
        <f t="shared" ca="1" si="13"/>
        <v>#NAME?</v>
      </c>
      <c r="I81" s="8" t="e">
        <f t="shared" ca="1" si="14"/>
        <v>#NAME?</v>
      </c>
      <c r="J81" s="6" t="e">
        <f ca="1">_xll.xlqxhSMA($C81,$L$4,$J$7,$K$3)</f>
        <v>#NAME?</v>
      </c>
      <c r="K81" s="7" t="e">
        <f ca="1">_xll.xlqhClose($C81,K$8,$K$3)</f>
        <v>#NAME?</v>
      </c>
      <c r="L81" s="7" t="e">
        <f ca="1">_xll.xlqhClose($C81,L$8,$K$3)</f>
        <v>#NAME?</v>
      </c>
      <c r="N81" s="9" t="e">
        <f t="shared" ca="1" si="15"/>
        <v>#NAME?</v>
      </c>
      <c r="O81" s="9" t="e">
        <f t="shared" ca="1" si="16"/>
        <v>#NAME?</v>
      </c>
      <c r="P81" s="9" t="e">
        <f t="shared" ca="1" si="17"/>
        <v>#NAME?</v>
      </c>
      <c r="Q81" s="9" t="e">
        <f t="shared" ca="1" si="18"/>
        <v>#NAME?</v>
      </c>
      <c r="R81" s="9" t="e">
        <f t="shared" ca="1" si="19"/>
        <v>#NAME?</v>
      </c>
    </row>
    <row r="82" spans="1:18" x14ac:dyDescent="0.25">
      <c r="A82" s="18"/>
      <c r="B82" s="19" t="s">
        <v>192</v>
      </c>
      <c r="C82" s="5" t="s">
        <v>193</v>
      </c>
      <c r="D82" s="7" t="e">
        <f ca="1">_xll.xlqPrice(C82)</f>
        <v>#NAME?</v>
      </c>
      <c r="E82" s="9" t="e">
        <f t="shared" ca="1" si="10"/>
        <v>#NAME?</v>
      </c>
      <c r="F82" s="9" t="e">
        <f t="shared" ca="1" si="11"/>
        <v>#NAME?</v>
      </c>
      <c r="G82" s="8" t="e">
        <f t="shared" ca="1" si="12"/>
        <v>#NAME?</v>
      </c>
      <c r="H82" s="8" t="e">
        <f t="shared" ca="1" si="13"/>
        <v>#NAME?</v>
      </c>
      <c r="I82" s="8" t="e">
        <f t="shared" ca="1" si="14"/>
        <v>#NAME?</v>
      </c>
      <c r="J82" s="6" t="e">
        <f ca="1">_xll.xlqxhSMA($C82,$L$4,$J$7,$K$3)</f>
        <v>#NAME?</v>
      </c>
      <c r="K82" s="7" t="e">
        <f ca="1">_xll.xlqhClose($C82,K$8,$K$3)</f>
        <v>#NAME?</v>
      </c>
      <c r="L82" s="7" t="e">
        <f ca="1">_xll.xlqhClose($C82,L$8,$K$3)</f>
        <v>#NAME?</v>
      </c>
      <c r="N82" s="9" t="e">
        <f t="shared" ca="1" si="15"/>
        <v>#NAME?</v>
      </c>
      <c r="O82" s="9" t="e">
        <f t="shared" ca="1" si="16"/>
        <v>#NAME?</v>
      </c>
      <c r="P82" s="9" t="e">
        <f t="shared" ca="1" si="17"/>
        <v>#NAME?</v>
      </c>
      <c r="Q82" s="9" t="e">
        <f t="shared" ca="1" si="18"/>
        <v>#NAME?</v>
      </c>
      <c r="R82" s="9" t="e">
        <f t="shared" ca="1" si="19"/>
        <v>#NAME?</v>
      </c>
    </row>
    <row r="83" spans="1:18" x14ac:dyDescent="0.25">
      <c r="A83" s="18"/>
      <c r="B83" s="19" t="s">
        <v>230</v>
      </c>
      <c r="C83" s="5" t="s">
        <v>231</v>
      </c>
      <c r="D83" s="7" t="e">
        <f ca="1">_xll.xlqPrice(C83)</f>
        <v>#NAME?</v>
      </c>
      <c r="E83" s="9" t="e">
        <f t="shared" ca="1" si="10"/>
        <v>#NAME?</v>
      </c>
      <c r="F83" s="9" t="e">
        <f t="shared" ca="1" si="11"/>
        <v>#NAME?</v>
      </c>
      <c r="G83" s="8" t="e">
        <f t="shared" ca="1" si="12"/>
        <v>#NAME?</v>
      </c>
      <c r="H83" s="8" t="e">
        <f t="shared" ca="1" si="13"/>
        <v>#NAME?</v>
      </c>
      <c r="I83" s="8" t="e">
        <f t="shared" ca="1" si="14"/>
        <v>#NAME?</v>
      </c>
      <c r="J83" s="6" t="e">
        <f ca="1">_xll.xlqxhSMA($C83,$L$4,$J$7,$K$3)</f>
        <v>#NAME?</v>
      </c>
      <c r="K83" s="7" t="e">
        <f ca="1">_xll.xlqhClose($C83,K$8,$K$3)</f>
        <v>#NAME?</v>
      </c>
      <c r="L83" s="7" t="e">
        <f ca="1">_xll.xlqhClose($C83,L$8,$K$3)</f>
        <v>#NAME?</v>
      </c>
      <c r="N83" s="9" t="e">
        <f t="shared" ca="1" si="15"/>
        <v>#NAME?</v>
      </c>
      <c r="O83" s="9" t="e">
        <f t="shared" ca="1" si="16"/>
        <v>#NAME?</v>
      </c>
      <c r="P83" s="9" t="e">
        <f t="shared" ca="1" si="17"/>
        <v>#NAME?</v>
      </c>
      <c r="Q83" s="9" t="e">
        <f t="shared" ca="1" si="18"/>
        <v>#NAME?</v>
      </c>
      <c r="R83" s="9" t="e">
        <f t="shared" ca="1" si="19"/>
        <v>#NAME?</v>
      </c>
    </row>
    <row r="84" spans="1:18" x14ac:dyDescent="0.25">
      <c r="A84" s="18"/>
      <c r="B84" s="19" t="s">
        <v>292</v>
      </c>
      <c r="C84" s="5" t="s">
        <v>293</v>
      </c>
      <c r="D84" s="7" t="e">
        <f ca="1">_xll.xlqPrice(C84)</f>
        <v>#NAME?</v>
      </c>
      <c r="E84" s="9" t="e">
        <f t="shared" ca="1" si="10"/>
        <v>#NAME?</v>
      </c>
      <c r="F84" s="9" t="e">
        <f t="shared" ca="1" si="11"/>
        <v>#NAME?</v>
      </c>
      <c r="G84" s="8" t="e">
        <f t="shared" ca="1" si="12"/>
        <v>#NAME?</v>
      </c>
      <c r="H84" s="8" t="e">
        <f t="shared" ca="1" si="13"/>
        <v>#NAME?</v>
      </c>
      <c r="I84" s="8" t="e">
        <f t="shared" ca="1" si="14"/>
        <v>#NAME?</v>
      </c>
      <c r="J84" s="6" t="e">
        <f ca="1">_xll.xlqxhSMA($C84,$L$4,$J$7,$K$3)</f>
        <v>#NAME?</v>
      </c>
      <c r="K84" s="7" t="e">
        <f ca="1">_xll.xlqhClose($C84,K$8,$K$3)</f>
        <v>#NAME?</v>
      </c>
      <c r="L84" s="7" t="e">
        <f ca="1">_xll.xlqhClose($C84,L$8,$K$3)</f>
        <v>#NAME?</v>
      </c>
      <c r="N84" s="9" t="e">
        <f t="shared" ca="1" si="15"/>
        <v>#NAME?</v>
      </c>
      <c r="O84" s="9" t="e">
        <f t="shared" ca="1" si="16"/>
        <v>#NAME?</v>
      </c>
      <c r="P84" s="9" t="e">
        <f t="shared" ca="1" si="17"/>
        <v>#NAME?</v>
      </c>
      <c r="Q84" s="9" t="e">
        <f t="shared" ca="1" si="18"/>
        <v>#NAME?</v>
      </c>
      <c r="R84" s="9" t="e">
        <f t="shared" ca="1" si="19"/>
        <v>#NAME?</v>
      </c>
    </row>
    <row r="85" spans="1:18" x14ac:dyDescent="0.25">
      <c r="A85" s="18"/>
      <c r="B85" s="19" t="s">
        <v>264</v>
      </c>
      <c r="C85" s="5" t="s">
        <v>265</v>
      </c>
      <c r="D85" s="7" t="e">
        <f ca="1">_xll.xlqPrice(C85)</f>
        <v>#NAME?</v>
      </c>
      <c r="E85" s="9" t="e">
        <f t="shared" ca="1" si="10"/>
        <v>#NAME?</v>
      </c>
      <c r="F85" s="9" t="e">
        <f t="shared" ca="1" si="11"/>
        <v>#NAME?</v>
      </c>
      <c r="G85" s="8" t="e">
        <f t="shared" ca="1" si="12"/>
        <v>#NAME?</v>
      </c>
      <c r="H85" s="8" t="e">
        <f t="shared" ca="1" si="13"/>
        <v>#NAME?</v>
      </c>
      <c r="I85" s="8" t="e">
        <f t="shared" ca="1" si="14"/>
        <v>#NAME?</v>
      </c>
      <c r="J85" s="6" t="e">
        <f ca="1">_xll.xlqxhSMA($C85,$L$4,$J$7,$K$3)</f>
        <v>#NAME?</v>
      </c>
      <c r="K85" s="7" t="e">
        <f ca="1">_xll.xlqhClose($C85,K$8,$K$3)</f>
        <v>#NAME?</v>
      </c>
      <c r="L85" s="7" t="e">
        <f ca="1">_xll.xlqhClose($C85,L$8,$K$3)</f>
        <v>#NAME?</v>
      </c>
      <c r="N85" s="9" t="e">
        <f t="shared" ca="1" si="15"/>
        <v>#NAME?</v>
      </c>
      <c r="O85" s="9" t="e">
        <f t="shared" ca="1" si="16"/>
        <v>#NAME?</v>
      </c>
      <c r="P85" s="9" t="e">
        <f t="shared" ca="1" si="17"/>
        <v>#NAME?</v>
      </c>
      <c r="Q85" s="9" t="e">
        <f t="shared" ca="1" si="18"/>
        <v>#NAME?</v>
      </c>
      <c r="R85" s="9" t="e">
        <f t="shared" ca="1" si="19"/>
        <v>#NAME?</v>
      </c>
    </row>
    <row r="86" spans="1:18" x14ac:dyDescent="0.25">
      <c r="A86" s="18"/>
      <c r="B86" s="19" t="s">
        <v>460</v>
      </c>
      <c r="C86" s="5" t="s">
        <v>461</v>
      </c>
      <c r="D86" s="7" t="e">
        <f ca="1">_xll.xlqPrice(C86)</f>
        <v>#NAME?</v>
      </c>
      <c r="E86" s="9" t="e">
        <f t="shared" ca="1" si="10"/>
        <v>#NAME?</v>
      </c>
      <c r="F86" s="9" t="e">
        <f t="shared" ca="1" si="11"/>
        <v>#NAME?</v>
      </c>
      <c r="G86" s="8" t="e">
        <f t="shared" ca="1" si="12"/>
        <v>#NAME?</v>
      </c>
      <c r="H86" s="8" t="e">
        <f t="shared" ca="1" si="13"/>
        <v>#NAME?</v>
      </c>
      <c r="I86" s="8" t="e">
        <f t="shared" ca="1" si="14"/>
        <v>#NAME?</v>
      </c>
      <c r="J86" s="6" t="e">
        <f ca="1">_xll.xlqxhSMA($C86,$L$4,$J$7,$K$3)</f>
        <v>#NAME?</v>
      </c>
      <c r="K86" s="7" t="e">
        <f ca="1">_xll.xlqhClose($C86,K$8,$K$3)</f>
        <v>#NAME?</v>
      </c>
      <c r="L86" s="7" t="e">
        <f ca="1">_xll.xlqhClose($C86,L$8,$K$3)</f>
        <v>#NAME?</v>
      </c>
      <c r="N86" s="9" t="e">
        <f t="shared" ca="1" si="15"/>
        <v>#NAME?</v>
      </c>
      <c r="O86" s="9" t="e">
        <f t="shared" ca="1" si="16"/>
        <v>#NAME?</v>
      </c>
      <c r="P86" s="9" t="e">
        <f t="shared" ca="1" si="17"/>
        <v>#NAME?</v>
      </c>
      <c r="Q86" s="9" t="e">
        <f t="shared" ca="1" si="18"/>
        <v>#NAME?</v>
      </c>
      <c r="R86" s="9" t="e">
        <f t="shared" ca="1" si="19"/>
        <v>#NAME?</v>
      </c>
    </row>
    <row r="87" spans="1:18" x14ac:dyDescent="0.25">
      <c r="A87" s="18"/>
      <c r="B87" s="19" t="s">
        <v>38</v>
      </c>
      <c r="C87" s="5" t="s">
        <v>9</v>
      </c>
      <c r="D87" s="7" t="e">
        <f ca="1">_xll.xlqPrice(C87)</f>
        <v>#NAME?</v>
      </c>
      <c r="E87" s="9" t="e">
        <f t="shared" ca="1" si="10"/>
        <v>#NAME?</v>
      </c>
      <c r="F87" s="9" t="e">
        <f t="shared" ca="1" si="11"/>
        <v>#NAME?</v>
      </c>
      <c r="G87" s="8" t="e">
        <f t="shared" ca="1" si="12"/>
        <v>#NAME?</v>
      </c>
      <c r="H87" s="8" t="e">
        <f t="shared" ca="1" si="13"/>
        <v>#NAME?</v>
      </c>
      <c r="I87" s="8" t="e">
        <f t="shared" ca="1" si="14"/>
        <v>#NAME?</v>
      </c>
      <c r="J87" s="6" t="e">
        <f ca="1">_xll.xlqxhSMA($C87,$L$4,$J$7,$K$3)</f>
        <v>#NAME?</v>
      </c>
      <c r="K87" s="7" t="e">
        <f ca="1">_xll.xlqhClose($C87,K$8,$K$3)</f>
        <v>#NAME?</v>
      </c>
      <c r="L87" s="7" t="e">
        <f ca="1">_xll.xlqhClose($C87,L$8,$K$3)</f>
        <v>#NAME?</v>
      </c>
      <c r="N87" s="9" t="e">
        <f t="shared" ca="1" si="15"/>
        <v>#NAME?</v>
      </c>
      <c r="O87" s="9" t="e">
        <f t="shared" ca="1" si="16"/>
        <v>#NAME?</v>
      </c>
      <c r="P87" s="9" t="e">
        <f t="shared" ca="1" si="17"/>
        <v>#NAME?</v>
      </c>
      <c r="Q87" s="9" t="e">
        <f t="shared" ca="1" si="18"/>
        <v>#NAME?</v>
      </c>
      <c r="R87" s="9" t="e">
        <f t="shared" ca="1" si="19"/>
        <v>#NAME?</v>
      </c>
    </row>
    <row r="88" spans="1:18" x14ac:dyDescent="0.25">
      <c r="A88" s="18"/>
      <c r="B88" s="19" t="s">
        <v>196</v>
      </c>
      <c r="C88" s="5" t="s">
        <v>197</v>
      </c>
      <c r="D88" s="7" t="e">
        <f ca="1">_xll.xlqPrice(C88)</f>
        <v>#NAME?</v>
      </c>
      <c r="E88" s="9" t="e">
        <f t="shared" ca="1" si="10"/>
        <v>#NAME?</v>
      </c>
      <c r="F88" s="9" t="e">
        <f t="shared" ca="1" si="11"/>
        <v>#NAME?</v>
      </c>
      <c r="G88" s="8" t="e">
        <f t="shared" ca="1" si="12"/>
        <v>#NAME?</v>
      </c>
      <c r="H88" s="8" t="e">
        <f t="shared" ca="1" si="13"/>
        <v>#NAME?</v>
      </c>
      <c r="I88" s="8" t="e">
        <f t="shared" ca="1" si="14"/>
        <v>#NAME?</v>
      </c>
      <c r="J88" s="6" t="e">
        <f ca="1">_xll.xlqxhSMA($C88,$L$4,$J$7,$K$3)</f>
        <v>#NAME?</v>
      </c>
      <c r="K88" s="7" t="e">
        <f ca="1">_xll.xlqhClose($C88,K$8,$K$3)</f>
        <v>#NAME?</v>
      </c>
      <c r="L88" s="7" t="e">
        <f ca="1">_xll.xlqhClose($C88,L$8,$K$3)</f>
        <v>#NAME?</v>
      </c>
      <c r="N88" s="9" t="e">
        <f t="shared" ca="1" si="15"/>
        <v>#NAME?</v>
      </c>
      <c r="O88" s="9" t="e">
        <f t="shared" ca="1" si="16"/>
        <v>#NAME?</v>
      </c>
      <c r="P88" s="9" t="e">
        <f t="shared" ca="1" si="17"/>
        <v>#NAME?</v>
      </c>
      <c r="Q88" s="9" t="e">
        <f t="shared" ca="1" si="18"/>
        <v>#NAME?</v>
      </c>
      <c r="R88" s="9" t="e">
        <f t="shared" ca="1" si="19"/>
        <v>#NAME?</v>
      </c>
    </row>
    <row r="89" spans="1:18" x14ac:dyDescent="0.25">
      <c r="A89" s="18"/>
      <c r="B89" s="19" t="s">
        <v>442</v>
      </c>
      <c r="C89" s="5" t="s">
        <v>443</v>
      </c>
      <c r="D89" s="7" t="e">
        <f ca="1">_xll.xlqPrice(C89)</f>
        <v>#NAME?</v>
      </c>
      <c r="E89" s="9" t="e">
        <f t="shared" ca="1" si="10"/>
        <v>#NAME?</v>
      </c>
      <c r="F89" s="9" t="e">
        <f t="shared" ca="1" si="11"/>
        <v>#NAME?</v>
      </c>
      <c r="G89" s="8" t="e">
        <f t="shared" ca="1" si="12"/>
        <v>#NAME?</v>
      </c>
      <c r="H89" s="8" t="e">
        <f t="shared" ca="1" si="13"/>
        <v>#NAME?</v>
      </c>
      <c r="I89" s="8" t="e">
        <f t="shared" ca="1" si="14"/>
        <v>#NAME?</v>
      </c>
      <c r="J89" s="6" t="e">
        <f ca="1">_xll.xlqxhSMA($C89,$L$4,$J$7,$K$3)</f>
        <v>#NAME?</v>
      </c>
      <c r="K89" s="7" t="e">
        <f ca="1">_xll.xlqhClose($C89,K$8,$K$3)</f>
        <v>#NAME?</v>
      </c>
      <c r="L89" s="7" t="e">
        <f ca="1">_xll.xlqhClose($C89,L$8,$K$3)</f>
        <v>#NAME?</v>
      </c>
      <c r="N89" s="9" t="e">
        <f t="shared" ca="1" si="15"/>
        <v>#NAME?</v>
      </c>
      <c r="O89" s="9" t="e">
        <f t="shared" ca="1" si="16"/>
        <v>#NAME?</v>
      </c>
      <c r="P89" s="9" t="e">
        <f t="shared" ca="1" si="17"/>
        <v>#NAME?</v>
      </c>
      <c r="Q89" s="9" t="e">
        <f t="shared" ca="1" si="18"/>
        <v>#NAME?</v>
      </c>
      <c r="R89" s="9" t="e">
        <f t="shared" ca="1" si="19"/>
        <v>#NAME?</v>
      </c>
    </row>
    <row r="90" spans="1:18" x14ac:dyDescent="0.25">
      <c r="A90" s="18"/>
      <c r="B90" s="19" t="s">
        <v>340</v>
      </c>
      <c r="C90" s="5" t="s">
        <v>341</v>
      </c>
      <c r="D90" s="7" t="e">
        <f ca="1">_xll.xlqPrice(C90)</f>
        <v>#NAME?</v>
      </c>
      <c r="E90" s="9" t="e">
        <f t="shared" ca="1" si="10"/>
        <v>#NAME?</v>
      </c>
      <c r="F90" s="9" t="e">
        <f t="shared" ca="1" si="11"/>
        <v>#NAME?</v>
      </c>
      <c r="G90" s="8" t="e">
        <f t="shared" ca="1" si="12"/>
        <v>#NAME?</v>
      </c>
      <c r="H90" s="8" t="e">
        <f t="shared" ca="1" si="13"/>
        <v>#NAME?</v>
      </c>
      <c r="I90" s="8" t="e">
        <f t="shared" ca="1" si="14"/>
        <v>#NAME?</v>
      </c>
      <c r="J90" s="6" t="e">
        <f ca="1">_xll.xlqxhSMA($C90,$L$4,$J$7,$K$3)</f>
        <v>#NAME?</v>
      </c>
      <c r="K90" s="7" t="e">
        <f ca="1">_xll.xlqhClose($C90,K$8,$K$3)</f>
        <v>#NAME?</v>
      </c>
      <c r="L90" s="7" t="e">
        <f ca="1">_xll.xlqhClose($C90,L$8,$K$3)</f>
        <v>#NAME?</v>
      </c>
      <c r="N90" s="9" t="e">
        <f t="shared" ca="1" si="15"/>
        <v>#NAME?</v>
      </c>
      <c r="O90" s="9" t="e">
        <f t="shared" ca="1" si="16"/>
        <v>#NAME?</v>
      </c>
      <c r="P90" s="9" t="e">
        <f t="shared" ca="1" si="17"/>
        <v>#NAME?</v>
      </c>
      <c r="Q90" s="9" t="e">
        <f t="shared" ca="1" si="18"/>
        <v>#NAME?</v>
      </c>
      <c r="R90" s="9" t="e">
        <f t="shared" ca="1" si="19"/>
        <v>#NAME?</v>
      </c>
    </row>
    <row r="91" spans="1:18" x14ac:dyDescent="0.25">
      <c r="A91" s="18"/>
      <c r="B91" s="19" t="s">
        <v>488</v>
      </c>
      <c r="C91" s="5" t="s">
        <v>489</v>
      </c>
      <c r="D91" s="7" t="e">
        <f ca="1">_xll.xlqPrice(C91)</f>
        <v>#NAME?</v>
      </c>
      <c r="E91" s="9" t="e">
        <f t="shared" ca="1" si="10"/>
        <v>#NAME?</v>
      </c>
      <c r="F91" s="9" t="e">
        <f t="shared" ca="1" si="11"/>
        <v>#NAME?</v>
      </c>
      <c r="G91" s="8" t="e">
        <f t="shared" ca="1" si="12"/>
        <v>#NAME?</v>
      </c>
      <c r="H91" s="8" t="e">
        <f t="shared" ca="1" si="13"/>
        <v>#NAME?</v>
      </c>
      <c r="I91" s="8" t="e">
        <f t="shared" ca="1" si="14"/>
        <v>#NAME?</v>
      </c>
      <c r="J91" s="6" t="e">
        <f ca="1">_xll.xlqxhSMA($C91,$L$4,$J$7,$K$3)</f>
        <v>#NAME?</v>
      </c>
      <c r="K91" s="7" t="e">
        <f ca="1">_xll.xlqhClose($C91,K$8,$K$3)</f>
        <v>#NAME?</v>
      </c>
      <c r="L91" s="7" t="e">
        <f ca="1">_xll.xlqhClose($C91,L$8,$K$3)</f>
        <v>#NAME?</v>
      </c>
      <c r="N91" s="9" t="e">
        <f t="shared" ca="1" si="15"/>
        <v>#NAME?</v>
      </c>
      <c r="O91" s="9" t="e">
        <f t="shared" ca="1" si="16"/>
        <v>#NAME?</v>
      </c>
      <c r="P91" s="9" t="e">
        <f t="shared" ca="1" si="17"/>
        <v>#NAME?</v>
      </c>
      <c r="Q91" s="9" t="e">
        <f t="shared" ca="1" si="18"/>
        <v>#NAME?</v>
      </c>
      <c r="R91" s="9" t="e">
        <f t="shared" ca="1" si="19"/>
        <v>#NAME?</v>
      </c>
    </row>
    <row r="92" spans="1:18" x14ac:dyDescent="0.25">
      <c r="A92" s="18"/>
      <c r="B92" s="19" t="s">
        <v>496</v>
      </c>
      <c r="C92" s="5" t="s">
        <v>497</v>
      </c>
      <c r="D92" s="7" t="e">
        <f ca="1">_xll.xlqPrice(C92)</f>
        <v>#NAME?</v>
      </c>
      <c r="E92" s="9" t="e">
        <f t="shared" ca="1" si="10"/>
        <v>#NAME?</v>
      </c>
      <c r="F92" s="9" t="e">
        <f t="shared" ca="1" si="11"/>
        <v>#NAME?</v>
      </c>
      <c r="G92" s="8" t="e">
        <f t="shared" ca="1" si="12"/>
        <v>#NAME?</v>
      </c>
      <c r="H92" s="8" t="e">
        <f t="shared" ca="1" si="13"/>
        <v>#NAME?</v>
      </c>
      <c r="I92" s="8" t="e">
        <f t="shared" ca="1" si="14"/>
        <v>#NAME?</v>
      </c>
      <c r="J92" s="6" t="e">
        <f ca="1">_xll.xlqxhSMA($C92,$L$4,$J$7,$K$3)</f>
        <v>#NAME?</v>
      </c>
      <c r="K92" s="7" t="e">
        <f ca="1">_xll.xlqhClose($C92,K$8,$K$3)</f>
        <v>#NAME?</v>
      </c>
      <c r="L92" s="7" t="e">
        <f ca="1">_xll.xlqhClose($C92,L$8,$K$3)</f>
        <v>#NAME?</v>
      </c>
      <c r="N92" s="9" t="e">
        <f t="shared" ca="1" si="15"/>
        <v>#NAME?</v>
      </c>
      <c r="O92" s="9" t="e">
        <f t="shared" ca="1" si="16"/>
        <v>#NAME?</v>
      </c>
      <c r="P92" s="9" t="e">
        <f t="shared" ca="1" si="17"/>
        <v>#NAME?</v>
      </c>
      <c r="Q92" s="9" t="e">
        <f t="shared" ca="1" si="18"/>
        <v>#NAME?</v>
      </c>
      <c r="R92" s="9" t="e">
        <f t="shared" ca="1" si="19"/>
        <v>#NAME?</v>
      </c>
    </row>
    <row r="93" spans="1:18" x14ac:dyDescent="0.25">
      <c r="A93" s="18"/>
      <c r="B93" s="19" t="s">
        <v>158</v>
      </c>
      <c r="C93" s="5" t="s">
        <v>159</v>
      </c>
      <c r="D93" s="7" t="e">
        <f ca="1">_xll.xlqPrice(C93)</f>
        <v>#NAME?</v>
      </c>
      <c r="E93" s="9" t="e">
        <f t="shared" ca="1" si="10"/>
        <v>#NAME?</v>
      </c>
      <c r="F93" s="9" t="e">
        <f t="shared" ca="1" si="11"/>
        <v>#NAME?</v>
      </c>
      <c r="G93" s="8" t="e">
        <f t="shared" ca="1" si="12"/>
        <v>#NAME?</v>
      </c>
      <c r="H93" s="8" t="e">
        <f t="shared" ca="1" si="13"/>
        <v>#NAME?</v>
      </c>
      <c r="I93" s="8" t="e">
        <f t="shared" ca="1" si="14"/>
        <v>#NAME?</v>
      </c>
      <c r="J93" s="6" t="e">
        <f ca="1">_xll.xlqxhSMA($C93,$L$4,$J$7,$K$3)</f>
        <v>#NAME?</v>
      </c>
      <c r="K93" s="7" t="e">
        <f ca="1">_xll.xlqhClose($C93,K$8,$K$3)</f>
        <v>#NAME?</v>
      </c>
      <c r="L93" s="7" t="e">
        <f ca="1">_xll.xlqhClose($C93,L$8,$K$3)</f>
        <v>#NAME?</v>
      </c>
      <c r="N93" s="9" t="e">
        <f t="shared" ca="1" si="15"/>
        <v>#NAME?</v>
      </c>
      <c r="O93" s="9" t="e">
        <f t="shared" ca="1" si="16"/>
        <v>#NAME?</v>
      </c>
      <c r="P93" s="9" t="e">
        <f t="shared" ca="1" si="17"/>
        <v>#NAME?</v>
      </c>
      <c r="Q93" s="9" t="e">
        <f t="shared" ca="1" si="18"/>
        <v>#NAME?</v>
      </c>
      <c r="R93" s="9" t="e">
        <f t="shared" ca="1" si="19"/>
        <v>#NAME?</v>
      </c>
    </row>
    <row r="94" spans="1:18" x14ac:dyDescent="0.25">
      <c r="A94" s="18"/>
      <c r="B94" s="19" t="s">
        <v>444</v>
      </c>
      <c r="C94" s="5" t="s">
        <v>445</v>
      </c>
      <c r="D94" s="7" t="e">
        <f ca="1">_xll.xlqPrice(C94)</f>
        <v>#NAME?</v>
      </c>
      <c r="E94" s="9" t="e">
        <f t="shared" ca="1" si="10"/>
        <v>#NAME?</v>
      </c>
      <c r="F94" s="9" t="e">
        <f t="shared" ca="1" si="11"/>
        <v>#NAME?</v>
      </c>
      <c r="G94" s="8" t="e">
        <f t="shared" ca="1" si="12"/>
        <v>#NAME?</v>
      </c>
      <c r="H94" s="8" t="e">
        <f t="shared" ca="1" si="13"/>
        <v>#NAME?</v>
      </c>
      <c r="I94" s="8" t="e">
        <f t="shared" ca="1" si="14"/>
        <v>#NAME?</v>
      </c>
      <c r="J94" s="6" t="e">
        <f ca="1">_xll.xlqxhSMA($C94,$L$4,$J$7,$K$3)</f>
        <v>#NAME?</v>
      </c>
      <c r="K94" s="7" t="e">
        <f ca="1">_xll.xlqhClose($C94,K$8,$K$3)</f>
        <v>#NAME?</v>
      </c>
      <c r="L94" s="7" t="e">
        <f ca="1">_xll.xlqhClose($C94,L$8,$K$3)</f>
        <v>#NAME?</v>
      </c>
      <c r="N94" s="9" t="e">
        <f t="shared" ca="1" si="15"/>
        <v>#NAME?</v>
      </c>
      <c r="O94" s="9" t="e">
        <f t="shared" ca="1" si="16"/>
        <v>#NAME?</v>
      </c>
      <c r="P94" s="9" t="e">
        <f t="shared" ca="1" si="17"/>
        <v>#NAME?</v>
      </c>
      <c r="Q94" s="9" t="e">
        <f t="shared" ca="1" si="18"/>
        <v>#NAME?</v>
      </c>
      <c r="R94" s="9" t="e">
        <f t="shared" ca="1" si="19"/>
        <v>#NAME?</v>
      </c>
    </row>
    <row r="95" spans="1:18" x14ac:dyDescent="0.25">
      <c r="A95" s="18"/>
      <c r="B95" s="19" t="s">
        <v>362</v>
      </c>
      <c r="C95" s="5" t="s">
        <v>363</v>
      </c>
      <c r="D95" s="7" t="e">
        <f ca="1">_xll.xlqPrice(C95)</f>
        <v>#NAME?</v>
      </c>
      <c r="E95" s="9" t="e">
        <f t="shared" ca="1" si="10"/>
        <v>#NAME?</v>
      </c>
      <c r="F95" s="9" t="e">
        <f t="shared" ca="1" si="11"/>
        <v>#NAME?</v>
      </c>
      <c r="G95" s="8" t="e">
        <f t="shared" ca="1" si="12"/>
        <v>#NAME?</v>
      </c>
      <c r="H95" s="8" t="e">
        <f t="shared" ca="1" si="13"/>
        <v>#NAME?</v>
      </c>
      <c r="I95" s="8" t="e">
        <f t="shared" ca="1" si="14"/>
        <v>#NAME?</v>
      </c>
      <c r="J95" s="6" t="e">
        <f ca="1">_xll.xlqxhSMA($C95,$L$4,$J$7,$K$3)</f>
        <v>#NAME?</v>
      </c>
      <c r="K95" s="7" t="e">
        <f ca="1">_xll.xlqhClose($C95,K$8,$K$3)</f>
        <v>#NAME?</v>
      </c>
      <c r="L95" s="7" t="e">
        <f ca="1">_xll.xlqhClose($C95,L$8,$K$3)</f>
        <v>#NAME?</v>
      </c>
      <c r="N95" s="9" t="e">
        <f t="shared" ca="1" si="15"/>
        <v>#NAME?</v>
      </c>
      <c r="O95" s="9" t="e">
        <f t="shared" ca="1" si="16"/>
        <v>#NAME?</v>
      </c>
      <c r="P95" s="9" t="e">
        <f t="shared" ca="1" si="17"/>
        <v>#NAME?</v>
      </c>
      <c r="Q95" s="9" t="e">
        <f t="shared" ca="1" si="18"/>
        <v>#NAME?</v>
      </c>
      <c r="R95" s="9" t="e">
        <f t="shared" ca="1" si="19"/>
        <v>#NAME?</v>
      </c>
    </row>
    <row r="96" spans="1:18" x14ac:dyDescent="0.25">
      <c r="A96" s="18"/>
      <c r="B96" s="19" t="s">
        <v>254</v>
      </c>
      <c r="C96" s="5" t="s">
        <v>255</v>
      </c>
      <c r="D96" s="7" t="e">
        <f ca="1">_xll.xlqPrice(C96)</f>
        <v>#NAME?</v>
      </c>
      <c r="E96" s="9" t="e">
        <f t="shared" ca="1" si="10"/>
        <v>#NAME?</v>
      </c>
      <c r="F96" s="9" t="e">
        <f t="shared" ca="1" si="11"/>
        <v>#NAME?</v>
      </c>
      <c r="G96" s="8" t="e">
        <f t="shared" ca="1" si="12"/>
        <v>#NAME?</v>
      </c>
      <c r="H96" s="8" t="e">
        <f t="shared" ca="1" si="13"/>
        <v>#NAME?</v>
      </c>
      <c r="I96" s="8" t="e">
        <f t="shared" ca="1" si="14"/>
        <v>#NAME?</v>
      </c>
      <c r="J96" s="6" t="e">
        <f ca="1">_xll.xlqxhSMA($C96,$L$4,$J$7,$K$3)</f>
        <v>#NAME?</v>
      </c>
      <c r="K96" s="7" t="e">
        <f ca="1">_xll.xlqhClose($C96,K$8,$K$3)</f>
        <v>#NAME?</v>
      </c>
      <c r="L96" s="7" t="e">
        <f ca="1">_xll.xlqhClose($C96,L$8,$K$3)</f>
        <v>#NAME?</v>
      </c>
      <c r="N96" s="9" t="e">
        <f t="shared" ca="1" si="15"/>
        <v>#NAME?</v>
      </c>
      <c r="O96" s="9" t="e">
        <f t="shared" ca="1" si="16"/>
        <v>#NAME?</v>
      </c>
      <c r="P96" s="9" t="e">
        <f t="shared" ca="1" si="17"/>
        <v>#NAME?</v>
      </c>
      <c r="Q96" s="9" t="e">
        <f t="shared" ca="1" si="18"/>
        <v>#NAME?</v>
      </c>
      <c r="R96" s="9" t="e">
        <f t="shared" ca="1" si="19"/>
        <v>#NAME?</v>
      </c>
    </row>
    <row r="97" spans="1:18" x14ac:dyDescent="0.25">
      <c r="A97" s="18"/>
      <c r="B97" s="19" t="s">
        <v>452</v>
      </c>
      <c r="C97" s="5" t="s">
        <v>453</v>
      </c>
      <c r="D97" s="7" t="e">
        <f ca="1">_xll.xlqPrice(C97)</f>
        <v>#NAME?</v>
      </c>
      <c r="E97" s="9" t="e">
        <f t="shared" ca="1" si="10"/>
        <v>#NAME?</v>
      </c>
      <c r="F97" s="9" t="e">
        <f t="shared" ca="1" si="11"/>
        <v>#NAME?</v>
      </c>
      <c r="G97" s="8" t="e">
        <f t="shared" ca="1" si="12"/>
        <v>#NAME?</v>
      </c>
      <c r="H97" s="8" t="e">
        <f t="shared" ca="1" si="13"/>
        <v>#NAME?</v>
      </c>
      <c r="I97" s="8" t="e">
        <f t="shared" ca="1" si="14"/>
        <v>#NAME?</v>
      </c>
      <c r="J97" s="6" t="e">
        <f ca="1">_xll.xlqxhSMA($C97,$L$4,$J$7,$K$3)</f>
        <v>#NAME?</v>
      </c>
      <c r="K97" s="7" t="e">
        <f ca="1">_xll.xlqhClose($C97,K$8,$K$3)</f>
        <v>#NAME?</v>
      </c>
      <c r="L97" s="7" t="e">
        <f ca="1">_xll.xlqhClose($C97,L$8,$K$3)</f>
        <v>#NAME?</v>
      </c>
      <c r="N97" s="9" t="e">
        <f t="shared" ca="1" si="15"/>
        <v>#NAME?</v>
      </c>
      <c r="O97" s="9" t="e">
        <f t="shared" ca="1" si="16"/>
        <v>#NAME?</v>
      </c>
      <c r="P97" s="9" t="e">
        <f t="shared" ca="1" si="17"/>
        <v>#NAME?</v>
      </c>
      <c r="Q97" s="9" t="e">
        <f t="shared" ca="1" si="18"/>
        <v>#NAME?</v>
      </c>
      <c r="R97" s="9" t="e">
        <f t="shared" ca="1" si="19"/>
        <v>#NAME?</v>
      </c>
    </row>
    <row r="98" spans="1:18" x14ac:dyDescent="0.25">
      <c r="A98" s="18"/>
      <c r="B98" s="19" t="s">
        <v>450</v>
      </c>
      <c r="C98" s="5" t="s">
        <v>451</v>
      </c>
      <c r="D98" s="7" t="e">
        <f ca="1">_xll.xlqPrice(C98)</f>
        <v>#NAME?</v>
      </c>
      <c r="E98" s="9" t="e">
        <f t="shared" ca="1" si="10"/>
        <v>#NAME?</v>
      </c>
      <c r="F98" s="9" t="e">
        <f t="shared" ca="1" si="11"/>
        <v>#NAME?</v>
      </c>
      <c r="G98" s="8" t="e">
        <f t="shared" ca="1" si="12"/>
        <v>#NAME?</v>
      </c>
      <c r="H98" s="8" t="e">
        <f t="shared" ca="1" si="13"/>
        <v>#NAME?</v>
      </c>
      <c r="I98" s="8" t="e">
        <f t="shared" ca="1" si="14"/>
        <v>#NAME?</v>
      </c>
      <c r="J98" s="6" t="e">
        <f ca="1">_xll.xlqxhSMA($C98,$L$4,$J$7,$K$3)</f>
        <v>#NAME?</v>
      </c>
      <c r="K98" s="7" t="e">
        <f ca="1">_xll.xlqhClose($C98,K$8,$K$3)</f>
        <v>#NAME?</v>
      </c>
      <c r="L98" s="7" t="e">
        <f ca="1">_xll.xlqhClose($C98,L$8,$K$3)</f>
        <v>#NAME?</v>
      </c>
      <c r="N98" s="9" t="e">
        <f t="shared" ca="1" si="15"/>
        <v>#NAME?</v>
      </c>
      <c r="O98" s="9" t="e">
        <f t="shared" ca="1" si="16"/>
        <v>#NAME?</v>
      </c>
      <c r="P98" s="9" t="e">
        <f t="shared" ca="1" si="17"/>
        <v>#NAME?</v>
      </c>
      <c r="Q98" s="9" t="e">
        <f t="shared" ca="1" si="18"/>
        <v>#NAME?</v>
      </c>
      <c r="R98" s="9" t="e">
        <f t="shared" ca="1" si="19"/>
        <v>#NAME?</v>
      </c>
    </row>
    <row r="99" spans="1:18" x14ac:dyDescent="0.25">
      <c r="A99" s="18"/>
      <c r="B99" s="19" t="s">
        <v>43</v>
      </c>
      <c r="C99" s="5" t="s">
        <v>22</v>
      </c>
      <c r="D99" s="7" t="e">
        <f ca="1">_xll.xlqPrice(C99)</f>
        <v>#NAME?</v>
      </c>
      <c r="E99" s="9" t="e">
        <f t="shared" ca="1" si="10"/>
        <v>#NAME?</v>
      </c>
      <c r="F99" s="9" t="e">
        <f t="shared" ca="1" si="11"/>
        <v>#NAME?</v>
      </c>
      <c r="G99" s="8" t="e">
        <f t="shared" ca="1" si="12"/>
        <v>#NAME?</v>
      </c>
      <c r="H99" s="8" t="e">
        <f t="shared" ca="1" si="13"/>
        <v>#NAME?</v>
      </c>
      <c r="I99" s="8" t="e">
        <f t="shared" ca="1" si="14"/>
        <v>#NAME?</v>
      </c>
      <c r="J99" s="6" t="e">
        <f ca="1">_xll.xlqxhSMA($C99,$L$4,$J$7,$K$3)</f>
        <v>#NAME?</v>
      </c>
      <c r="K99" s="7" t="e">
        <f ca="1">_xll.xlqhClose($C99,K$8,$K$3)</f>
        <v>#NAME?</v>
      </c>
      <c r="L99" s="7" t="e">
        <f ca="1">_xll.xlqhClose($C99,L$8,$K$3)</f>
        <v>#NAME?</v>
      </c>
      <c r="N99" s="9" t="e">
        <f t="shared" ca="1" si="15"/>
        <v>#NAME?</v>
      </c>
      <c r="O99" s="9" t="e">
        <f t="shared" ca="1" si="16"/>
        <v>#NAME?</v>
      </c>
      <c r="P99" s="9" t="e">
        <f t="shared" ca="1" si="17"/>
        <v>#NAME?</v>
      </c>
      <c r="Q99" s="9" t="e">
        <f t="shared" ca="1" si="18"/>
        <v>#NAME?</v>
      </c>
      <c r="R99" s="9" t="e">
        <f t="shared" ca="1" si="19"/>
        <v>#NAME?</v>
      </c>
    </row>
    <row r="100" spans="1:18" x14ac:dyDescent="0.25">
      <c r="A100" s="18"/>
      <c r="B100" s="19" t="s">
        <v>226</v>
      </c>
      <c r="C100" s="5" t="s">
        <v>227</v>
      </c>
      <c r="D100" s="7" t="e">
        <f ca="1">_xll.xlqPrice(C100)</f>
        <v>#NAME?</v>
      </c>
      <c r="E100" s="9" t="e">
        <f t="shared" ca="1" si="10"/>
        <v>#NAME?</v>
      </c>
      <c r="F100" s="9" t="e">
        <f t="shared" ca="1" si="11"/>
        <v>#NAME?</v>
      </c>
      <c r="G100" s="8" t="e">
        <f t="shared" ca="1" si="12"/>
        <v>#NAME?</v>
      </c>
      <c r="H100" s="8" t="e">
        <f t="shared" ca="1" si="13"/>
        <v>#NAME?</v>
      </c>
      <c r="I100" s="8" t="e">
        <f t="shared" ca="1" si="14"/>
        <v>#NAME?</v>
      </c>
      <c r="J100" s="6" t="e">
        <f ca="1">_xll.xlqxhSMA($C100,$L$4,$J$7,$K$3)</f>
        <v>#NAME?</v>
      </c>
      <c r="K100" s="7" t="e">
        <f ca="1">_xll.xlqhClose($C100,K$8,$K$3)</f>
        <v>#NAME?</v>
      </c>
      <c r="L100" s="7" t="e">
        <f ca="1">_xll.xlqhClose($C100,L$8,$K$3)</f>
        <v>#NAME?</v>
      </c>
      <c r="N100" s="9" t="e">
        <f t="shared" ca="1" si="15"/>
        <v>#NAME?</v>
      </c>
      <c r="O100" s="9" t="e">
        <f t="shared" ca="1" si="16"/>
        <v>#NAME?</v>
      </c>
      <c r="P100" s="9" t="e">
        <f t="shared" ca="1" si="17"/>
        <v>#NAME?</v>
      </c>
      <c r="Q100" s="9" t="e">
        <f t="shared" ca="1" si="18"/>
        <v>#NAME?</v>
      </c>
      <c r="R100" s="9" t="e">
        <f t="shared" ca="1" si="19"/>
        <v>#NAME?</v>
      </c>
    </row>
    <row r="101" spans="1:18" x14ac:dyDescent="0.25">
      <c r="A101" s="18"/>
      <c r="B101" s="19" t="s">
        <v>422</v>
      </c>
      <c r="C101" s="5" t="s">
        <v>423</v>
      </c>
      <c r="D101" s="7" t="e">
        <f ca="1">_xll.xlqPrice(C101)</f>
        <v>#NAME?</v>
      </c>
      <c r="E101" s="9" t="e">
        <f t="shared" ca="1" si="10"/>
        <v>#NAME?</v>
      </c>
      <c r="F101" s="9" t="e">
        <f t="shared" ca="1" si="11"/>
        <v>#NAME?</v>
      </c>
      <c r="G101" s="8" t="e">
        <f t="shared" ca="1" si="12"/>
        <v>#NAME?</v>
      </c>
      <c r="H101" s="8" t="e">
        <f t="shared" ca="1" si="13"/>
        <v>#NAME?</v>
      </c>
      <c r="I101" s="8" t="e">
        <f t="shared" ca="1" si="14"/>
        <v>#NAME?</v>
      </c>
      <c r="J101" s="6" t="e">
        <f ca="1">_xll.xlqxhSMA($C101,$L$4,$J$7,$K$3)</f>
        <v>#NAME?</v>
      </c>
      <c r="K101" s="7" t="e">
        <f ca="1">_xll.xlqhClose($C101,K$8,$K$3)</f>
        <v>#NAME?</v>
      </c>
      <c r="L101" s="7" t="e">
        <f ca="1">_xll.xlqhClose($C101,L$8,$K$3)</f>
        <v>#NAME?</v>
      </c>
      <c r="N101" s="9" t="e">
        <f t="shared" ca="1" si="15"/>
        <v>#NAME?</v>
      </c>
      <c r="O101" s="9" t="e">
        <f t="shared" ca="1" si="16"/>
        <v>#NAME?</v>
      </c>
      <c r="P101" s="9" t="e">
        <f t="shared" ca="1" si="17"/>
        <v>#NAME?</v>
      </c>
      <c r="Q101" s="9" t="e">
        <f t="shared" ca="1" si="18"/>
        <v>#NAME?</v>
      </c>
      <c r="R101" s="9" t="e">
        <f t="shared" ca="1" si="19"/>
        <v>#NAME?</v>
      </c>
    </row>
    <row r="102" spans="1:18" x14ac:dyDescent="0.25">
      <c r="A102" s="18"/>
      <c r="B102" s="19" t="s">
        <v>480</v>
      </c>
      <c r="C102" s="5" t="s">
        <v>481</v>
      </c>
      <c r="D102" s="7" t="e">
        <f ca="1">_xll.xlqPrice(C102)</f>
        <v>#NAME?</v>
      </c>
      <c r="E102" s="9" t="e">
        <f t="shared" ca="1" si="10"/>
        <v>#NAME?</v>
      </c>
      <c r="F102" s="9" t="e">
        <f t="shared" ca="1" si="11"/>
        <v>#NAME?</v>
      </c>
      <c r="G102" s="8" t="e">
        <f t="shared" ca="1" si="12"/>
        <v>#NAME?</v>
      </c>
      <c r="H102" s="8" t="e">
        <f t="shared" ca="1" si="13"/>
        <v>#NAME?</v>
      </c>
      <c r="I102" s="8" t="e">
        <f t="shared" ca="1" si="14"/>
        <v>#NAME?</v>
      </c>
      <c r="J102" s="6" t="e">
        <f ca="1">_xll.xlqxhSMA($C102,$L$4,$J$7,$K$3)</f>
        <v>#NAME?</v>
      </c>
      <c r="K102" s="7" t="e">
        <f ca="1">_xll.xlqhClose($C102,K$8,$K$3)</f>
        <v>#NAME?</v>
      </c>
      <c r="L102" s="7" t="e">
        <f ca="1">_xll.xlqhClose($C102,L$8,$K$3)</f>
        <v>#NAME?</v>
      </c>
      <c r="N102" s="9" t="e">
        <f t="shared" ca="1" si="15"/>
        <v>#NAME?</v>
      </c>
      <c r="O102" s="9" t="e">
        <f t="shared" ca="1" si="16"/>
        <v>#NAME?</v>
      </c>
      <c r="P102" s="9" t="e">
        <f t="shared" ca="1" si="17"/>
        <v>#NAME?</v>
      </c>
      <c r="Q102" s="9" t="e">
        <f t="shared" ca="1" si="18"/>
        <v>#NAME?</v>
      </c>
      <c r="R102" s="9" t="e">
        <f t="shared" ca="1" si="19"/>
        <v>#NAME?</v>
      </c>
    </row>
    <row r="103" spans="1:18" x14ac:dyDescent="0.25">
      <c r="A103" s="18"/>
      <c r="B103" s="19" t="s">
        <v>164</v>
      </c>
      <c r="C103" s="5" t="s">
        <v>165</v>
      </c>
      <c r="D103" s="7" t="e">
        <f ca="1">_xll.xlqPrice(C103)</f>
        <v>#NAME?</v>
      </c>
      <c r="E103" s="9" t="e">
        <f t="shared" ca="1" si="10"/>
        <v>#NAME?</v>
      </c>
      <c r="F103" s="9" t="e">
        <f t="shared" ca="1" si="11"/>
        <v>#NAME?</v>
      </c>
      <c r="G103" s="8" t="e">
        <f t="shared" ca="1" si="12"/>
        <v>#NAME?</v>
      </c>
      <c r="H103" s="8" t="e">
        <f t="shared" ca="1" si="13"/>
        <v>#NAME?</v>
      </c>
      <c r="I103" s="8" t="e">
        <f t="shared" ca="1" si="14"/>
        <v>#NAME?</v>
      </c>
      <c r="J103" s="6" t="e">
        <f ca="1">_xll.xlqxhSMA($C103,$L$4,$J$7,$K$3)</f>
        <v>#NAME?</v>
      </c>
      <c r="K103" s="7" t="e">
        <f ca="1">_xll.xlqhClose($C103,K$8,$K$3)</f>
        <v>#NAME?</v>
      </c>
      <c r="L103" s="7" t="e">
        <f ca="1">_xll.xlqhClose($C103,L$8,$K$3)</f>
        <v>#NAME?</v>
      </c>
      <c r="N103" s="9" t="e">
        <f t="shared" ca="1" si="15"/>
        <v>#NAME?</v>
      </c>
      <c r="O103" s="9" t="e">
        <f t="shared" ca="1" si="16"/>
        <v>#NAME?</v>
      </c>
      <c r="P103" s="9" t="e">
        <f t="shared" ca="1" si="17"/>
        <v>#NAME?</v>
      </c>
      <c r="Q103" s="9" t="e">
        <f t="shared" ca="1" si="18"/>
        <v>#NAME?</v>
      </c>
      <c r="R103" s="9" t="e">
        <f t="shared" ca="1" si="19"/>
        <v>#NAME?</v>
      </c>
    </row>
    <row r="104" spans="1:18" x14ac:dyDescent="0.25">
      <c r="A104" s="18"/>
      <c r="B104" s="19" t="s">
        <v>448</v>
      </c>
      <c r="C104" s="5" t="s">
        <v>449</v>
      </c>
      <c r="D104" s="7" t="e">
        <f ca="1">_xll.xlqPrice(C104)</f>
        <v>#NAME?</v>
      </c>
      <c r="E104" s="9" t="e">
        <f t="shared" ca="1" si="10"/>
        <v>#NAME?</v>
      </c>
      <c r="F104" s="9" t="e">
        <f t="shared" ca="1" si="11"/>
        <v>#NAME?</v>
      </c>
      <c r="G104" s="8" t="e">
        <f t="shared" ca="1" si="12"/>
        <v>#NAME?</v>
      </c>
      <c r="H104" s="8" t="e">
        <f t="shared" ca="1" si="13"/>
        <v>#NAME?</v>
      </c>
      <c r="I104" s="8" t="e">
        <f t="shared" ca="1" si="14"/>
        <v>#NAME?</v>
      </c>
      <c r="J104" s="6" t="e">
        <f ca="1">_xll.xlqxhSMA($C104,$L$4,$J$7,$K$3)</f>
        <v>#NAME?</v>
      </c>
      <c r="K104" s="7" t="e">
        <f ca="1">_xll.xlqhClose($C104,K$8,$K$3)</f>
        <v>#NAME?</v>
      </c>
      <c r="L104" s="7" t="e">
        <f ca="1">_xll.xlqhClose($C104,L$8,$K$3)</f>
        <v>#NAME?</v>
      </c>
      <c r="N104" s="9" t="e">
        <f t="shared" ca="1" si="15"/>
        <v>#NAME?</v>
      </c>
      <c r="O104" s="9" t="e">
        <f t="shared" ca="1" si="16"/>
        <v>#NAME?</v>
      </c>
      <c r="P104" s="9" t="e">
        <f t="shared" ca="1" si="17"/>
        <v>#NAME?</v>
      </c>
      <c r="Q104" s="9" t="e">
        <f t="shared" ca="1" si="18"/>
        <v>#NAME?</v>
      </c>
      <c r="R104" s="9" t="e">
        <f t="shared" ca="1" si="19"/>
        <v>#NAME?</v>
      </c>
    </row>
    <row r="105" spans="1:18" x14ac:dyDescent="0.25">
      <c r="A105" s="18"/>
      <c r="B105" s="19" t="s">
        <v>170</v>
      </c>
      <c r="C105" s="5" t="s">
        <v>171</v>
      </c>
      <c r="D105" s="7" t="e">
        <f ca="1">_xll.xlqPrice(C105)</f>
        <v>#NAME?</v>
      </c>
      <c r="E105" s="9" t="e">
        <f t="shared" ca="1" si="10"/>
        <v>#NAME?</v>
      </c>
      <c r="F105" s="9" t="e">
        <f t="shared" ca="1" si="11"/>
        <v>#NAME?</v>
      </c>
      <c r="G105" s="8" t="e">
        <f t="shared" ca="1" si="12"/>
        <v>#NAME?</v>
      </c>
      <c r="H105" s="8" t="e">
        <f t="shared" ca="1" si="13"/>
        <v>#NAME?</v>
      </c>
      <c r="I105" s="8" t="e">
        <f t="shared" ca="1" si="14"/>
        <v>#NAME?</v>
      </c>
      <c r="J105" s="6" t="e">
        <f ca="1">_xll.xlqxhSMA($C105,$L$4,$J$7,$K$3)</f>
        <v>#NAME?</v>
      </c>
      <c r="K105" s="7" t="e">
        <f ca="1">_xll.xlqhClose($C105,K$8,$K$3)</f>
        <v>#NAME?</v>
      </c>
      <c r="L105" s="7" t="e">
        <f ca="1">_xll.xlqhClose($C105,L$8,$K$3)</f>
        <v>#NAME?</v>
      </c>
      <c r="N105" s="9" t="e">
        <f t="shared" ca="1" si="15"/>
        <v>#NAME?</v>
      </c>
      <c r="O105" s="9" t="e">
        <f t="shared" ca="1" si="16"/>
        <v>#NAME?</v>
      </c>
      <c r="P105" s="9" t="e">
        <f t="shared" ca="1" si="17"/>
        <v>#NAME?</v>
      </c>
      <c r="Q105" s="9" t="e">
        <f t="shared" ca="1" si="18"/>
        <v>#NAME?</v>
      </c>
      <c r="R105" s="9" t="e">
        <f t="shared" ca="1" si="19"/>
        <v>#NAME?</v>
      </c>
    </row>
    <row r="106" spans="1:18" x14ac:dyDescent="0.25">
      <c r="A106" s="18"/>
      <c r="B106" s="19" t="s">
        <v>238</v>
      </c>
      <c r="C106" s="5" t="s">
        <v>239</v>
      </c>
      <c r="D106" s="7" t="e">
        <f ca="1">_xll.xlqPrice(C106)</f>
        <v>#NAME?</v>
      </c>
      <c r="E106" s="9" t="e">
        <f t="shared" ca="1" si="10"/>
        <v>#NAME?</v>
      </c>
      <c r="F106" s="9" t="e">
        <f t="shared" ca="1" si="11"/>
        <v>#NAME?</v>
      </c>
      <c r="G106" s="8" t="e">
        <f t="shared" ca="1" si="12"/>
        <v>#NAME?</v>
      </c>
      <c r="H106" s="8" t="e">
        <f t="shared" ca="1" si="13"/>
        <v>#NAME?</v>
      </c>
      <c r="I106" s="8" t="e">
        <f t="shared" ca="1" si="14"/>
        <v>#NAME?</v>
      </c>
      <c r="J106" s="6" t="e">
        <f ca="1">_xll.xlqxhSMA($C106,$L$4,$J$7,$K$3)</f>
        <v>#NAME?</v>
      </c>
      <c r="K106" s="7" t="e">
        <f ca="1">_xll.xlqhClose($C106,K$8,$K$3)</f>
        <v>#NAME?</v>
      </c>
      <c r="L106" s="7" t="e">
        <f ca="1">_xll.xlqhClose($C106,L$8,$K$3)</f>
        <v>#NAME?</v>
      </c>
      <c r="N106" s="9" t="e">
        <f t="shared" ca="1" si="15"/>
        <v>#NAME?</v>
      </c>
      <c r="O106" s="9" t="e">
        <f t="shared" ca="1" si="16"/>
        <v>#NAME?</v>
      </c>
      <c r="P106" s="9" t="e">
        <f t="shared" ca="1" si="17"/>
        <v>#NAME?</v>
      </c>
      <c r="Q106" s="9" t="e">
        <f t="shared" ca="1" si="18"/>
        <v>#NAME?</v>
      </c>
      <c r="R106" s="9" t="e">
        <f t="shared" ca="1" si="19"/>
        <v>#NAME?</v>
      </c>
    </row>
    <row r="107" spans="1:18" x14ac:dyDescent="0.25">
      <c r="A107" s="18"/>
      <c r="B107" s="19" t="s">
        <v>298</v>
      </c>
      <c r="C107" s="5" t="s">
        <v>299</v>
      </c>
      <c r="D107" s="7" t="e">
        <f ca="1">_xll.xlqPrice(C107)</f>
        <v>#NAME?</v>
      </c>
      <c r="E107" s="9" t="e">
        <f t="shared" ca="1" si="10"/>
        <v>#NAME?</v>
      </c>
      <c r="F107" s="9" t="e">
        <f t="shared" ca="1" si="11"/>
        <v>#NAME?</v>
      </c>
      <c r="G107" s="8" t="e">
        <f t="shared" ca="1" si="12"/>
        <v>#NAME?</v>
      </c>
      <c r="H107" s="8" t="e">
        <f t="shared" ca="1" si="13"/>
        <v>#NAME?</v>
      </c>
      <c r="I107" s="8" t="e">
        <f t="shared" ca="1" si="14"/>
        <v>#NAME?</v>
      </c>
      <c r="J107" s="6" t="e">
        <f ca="1">_xll.xlqxhSMA($C107,$L$4,$J$7,$K$3)</f>
        <v>#NAME?</v>
      </c>
      <c r="K107" s="7" t="e">
        <f ca="1">_xll.xlqhClose($C107,K$8,$K$3)</f>
        <v>#NAME?</v>
      </c>
      <c r="L107" s="7" t="e">
        <f ca="1">_xll.xlqhClose($C107,L$8,$K$3)</f>
        <v>#NAME?</v>
      </c>
      <c r="N107" s="9" t="e">
        <f t="shared" ca="1" si="15"/>
        <v>#NAME?</v>
      </c>
      <c r="O107" s="9" t="e">
        <f t="shared" ca="1" si="16"/>
        <v>#NAME?</v>
      </c>
      <c r="P107" s="9" t="e">
        <f t="shared" ca="1" si="17"/>
        <v>#NAME?</v>
      </c>
      <c r="Q107" s="9" t="e">
        <f t="shared" ca="1" si="18"/>
        <v>#NAME?</v>
      </c>
      <c r="R107" s="9" t="e">
        <f t="shared" ca="1" si="19"/>
        <v>#NAME?</v>
      </c>
    </row>
    <row r="108" spans="1:18" x14ac:dyDescent="0.25">
      <c r="A108" s="18"/>
      <c r="B108" s="19" t="s">
        <v>202</v>
      </c>
      <c r="C108" s="5" t="s">
        <v>203</v>
      </c>
      <c r="D108" s="7" t="e">
        <f ca="1">_xll.xlqPrice(C108)</f>
        <v>#NAME?</v>
      </c>
      <c r="E108" s="9" t="e">
        <f t="shared" ca="1" si="10"/>
        <v>#NAME?</v>
      </c>
      <c r="F108" s="9" t="e">
        <f t="shared" ca="1" si="11"/>
        <v>#NAME?</v>
      </c>
      <c r="G108" s="8" t="e">
        <f t="shared" ca="1" si="12"/>
        <v>#NAME?</v>
      </c>
      <c r="H108" s="8" t="e">
        <f t="shared" ca="1" si="13"/>
        <v>#NAME?</v>
      </c>
      <c r="I108" s="8" t="e">
        <f t="shared" ca="1" si="14"/>
        <v>#NAME?</v>
      </c>
      <c r="J108" s="6" t="e">
        <f ca="1">_xll.xlqxhSMA($C108,$L$4,$J$7,$K$3)</f>
        <v>#NAME?</v>
      </c>
      <c r="K108" s="7" t="e">
        <f ca="1">_xll.xlqhClose($C108,K$8,$K$3)</f>
        <v>#NAME?</v>
      </c>
      <c r="L108" s="7" t="e">
        <f ca="1">_xll.xlqhClose($C108,L$8,$K$3)</f>
        <v>#NAME?</v>
      </c>
      <c r="N108" s="9" t="e">
        <f t="shared" ca="1" si="15"/>
        <v>#NAME?</v>
      </c>
      <c r="O108" s="9" t="e">
        <f t="shared" ca="1" si="16"/>
        <v>#NAME?</v>
      </c>
      <c r="P108" s="9" t="e">
        <f t="shared" ca="1" si="17"/>
        <v>#NAME?</v>
      </c>
      <c r="Q108" s="9" t="e">
        <f t="shared" ca="1" si="18"/>
        <v>#NAME?</v>
      </c>
      <c r="R108" s="9" t="e">
        <f t="shared" ca="1" si="19"/>
        <v>#NAME?</v>
      </c>
    </row>
    <row r="109" spans="1:18" x14ac:dyDescent="0.25">
      <c r="A109" s="18"/>
      <c r="B109" s="19" t="s">
        <v>462</v>
      </c>
      <c r="C109" s="5" t="s">
        <v>463</v>
      </c>
      <c r="D109" s="7" t="e">
        <f ca="1">_xll.xlqPrice(C109)</f>
        <v>#NAME?</v>
      </c>
      <c r="E109" s="9" t="e">
        <f t="shared" ca="1" si="10"/>
        <v>#NAME?</v>
      </c>
      <c r="F109" s="9" t="e">
        <f t="shared" ca="1" si="11"/>
        <v>#NAME?</v>
      </c>
      <c r="G109" s="8" t="e">
        <f t="shared" ca="1" si="12"/>
        <v>#NAME?</v>
      </c>
      <c r="H109" s="8" t="e">
        <f t="shared" ca="1" si="13"/>
        <v>#NAME?</v>
      </c>
      <c r="I109" s="8" t="e">
        <f t="shared" ca="1" si="14"/>
        <v>#NAME?</v>
      </c>
      <c r="J109" s="6" t="e">
        <f ca="1">_xll.xlqxhSMA($C109,$L$4,$J$7,$K$3)</f>
        <v>#NAME?</v>
      </c>
      <c r="K109" s="7" t="e">
        <f ca="1">_xll.xlqhClose($C109,K$8,$K$3)</f>
        <v>#NAME?</v>
      </c>
      <c r="L109" s="7" t="e">
        <f ca="1">_xll.xlqhClose($C109,L$8,$K$3)</f>
        <v>#NAME?</v>
      </c>
      <c r="N109" s="9" t="e">
        <f t="shared" ca="1" si="15"/>
        <v>#NAME?</v>
      </c>
      <c r="O109" s="9" t="e">
        <f t="shared" ca="1" si="16"/>
        <v>#NAME?</v>
      </c>
      <c r="P109" s="9" t="e">
        <f t="shared" ca="1" si="17"/>
        <v>#NAME?</v>
      </c>
      <c r="Q109" s="9" t="e">
        <f t="shared" ca="1" si="18"/>
        <v>#NAME?</v>
      </c>
      <c r="R109" s="9" t="e">
        <f t="shared" ca="1" si="19"/>
        <v>#NAME?</v>
      </c>
    </row>
    <row r="110" spans="1:18" x14ac:dyDescent="0.25">
      <c r="A110" s="18"/>
      <c r="B110" s="19" t="s">
        <v>252</v>
      </c>
      <c r="C110" s="5" t="s">
        <v>253</v>
      </c>
      <c r="D110" s="7" t="e">
        <f ca="1">_xll.xlqPrice(C110)</f>
        <v>#NAME?</v>
      </c>
      <c r="E110" s="9" t="e">
        <f t="shared" ca="1" si="10"/>
        <v>#NAME?</v>
      </c>
      <c r="F110" s="9" t="e">
        <f t="shared" ca="1" si="11"/>
        <v>#NAME?</v>
      </c>
      <c r="G110" s="8" t="e">
        <f t="shared" ca="1" si="12"/>
        <v>#NAME?</v>
      </c>
      <c r="H110" s="8" t="e">
        <f t="shared" ca="1" si="13"/>
        <v>#NAME?</v>
      </c>
      <c r="I110" s="8" t="e">
        <f t="shared" ca="1" si="14"/>
        <v>#NAME?</v>
      </c>
      <c r="J110" s="6" t="e">
        <f ca="1">_xll.xlqxhSMA($C110,$L$4,$J$7,$K$3)</f>
        <v>#NAME?</v>
      </c>
      <c r="K110" s="7" t="e">
        <f ca="1">_xll.xlqhClose($C110,K$8,$K$3)</f>
        <v>#NAME?</v>
      </c>
      <c r="L110" s="7" t="e">
        <f ca="1">_xll.xlqhClose($C110,L$8,$K$3)</f>
        <v>#NAME?</v>
      </c>
      <c r="N110" s="9" t="e">
        <f t="shared" ca="1" si="15"/>
        <v>#NAME?</v>
      </c>
      <c r="O110" s="9" t="e">
        <f t="shared" ca="1" si="16"/>
        <v>#NAME?</v>
      </c>
      <c r="P110" s="9" t="e">
        <f t="shared" ca="1" si="17"/>
        <v>#NAME?</v>
      </c>
      <c r="Q110" s="9" t="e">
        <f t="shared" ca="1" si="18"/>
        <v>#NAME?</v>
      </c>
      <c r="R110" s="9" t="e">
        <f t="shared" ca="1" si="19"/>
        <v>#NAME?</v>
      </c>
    </row>
    <row r="111" spans="1:18" x14ac:dyDescent="0.25">
      <c r="A111" s="18"/>
      <c r="B111" s="19" t="s">
        <v>392</v>
      </c>
      <c r="C111" s="5" t="s">
        <v>393</v>
      </c>
      <c r="D111" s="7" t="e">
        <f ca="1">_xll.xlqPrice(C111)</f>
        <v>#NAME?</v>
      </c>
      <c r="E111" s="9" t="e">
        <f t="shared" ca="1" si="10"/>
        <v>#NAME?</v>
      </c>
      <c r="F111" s="9" t="e">
        <f t="shared" ca="1" si="11"/>
        <v>#NAME?</v>
      </c>
      <c r="G111" s="8" t="e">
        <f t="shared" ca="1" si="12"/>
        <v>#NAME?</v>
      </c>
      <c r="H111" s="8" t="e">
        <f t="shared" ca="1" si="13"/>
        <v>#NAME?</v>
      </c>
      <c r="I111" s="8" t="e">
        <f t="shared" ca="1" si="14"/>
        <v>#NAME?</v>
      </c>
      <c r="J111" s="6" t="e">
        <f ca="1">_xll.xlqxhSMA($C111,$L$4,$J$7,$K$3)</f>
        <v>#NAME?</v>
      </c>
      <c r="K111" s="7" t="e">
        <f ca="1">_xll.xlqhClose($C111,K$8,$K$3)</f>
        <v>#NAME?</v>
      </c>
      <c r="L111" s="7" t="e">
        <f ca="1">_xll.xlqhClose($C111,L$8,$K$3)</f>
        <v>#NAME?</v>
      </c>
      <c r="N111" s="9" t="e">
        <f t="shared" ca="1" si="15"/>
        <v>#NAME?</v>
      </c>
      <c r="O111" s="9" t="e">
        <f t="shared" ca="1" si="16"/>
        <v>#NAME?</v>
      </c>
      <c r="P111" s="9" t="e">
        <f t="shared" ca="1" si="17"/>
        <v>#NAME?</v>
      </c>
      <c r="Q111" s="9" t="e">
        <f t="shared" ca="1" si="18"/>
        <v>#NAME?</v>
      </c>
      <c r="R111" s="9" t="e">
        <f t="shared" ca="1" si="19"/>
        <v>#NAME?</v>
      </c>
    </row>
    <row r="112" spans="1:18" x14ac:dyDescent="0.25">
      <c r="A112" s="18"/>
      <c r="B112" s="19" t="s">
        <v>256</v>
      </c>
      <c r="C112" s="5" t="s">
        <v>257</v>
      </c>
      <c r="D112" s="7" t="e">
        <f ca="1">_xll.xlqPrice(C112)</f>
        <v>#NAME?</v>
      </c>
      <c r="E112" s="9" t="e">
        <f t="shared" ca="1" si="10"/>
        <v>#NAME?</v>
      </c>
      <c r="F112" s="9" t="e">
        <f t="shared" ca="1" si="11"/>
        <v>#NAME?</v>
      </c>
      <c r="G112" s="8" t="e">
        <f t="shared" ca="1" si="12"/>
        <v>#NAME?</v>
      </c>
      <c r="H112" s="8" t="e">
        <f t="shared" ca="1" si="13"/>
        <v>#NAME?</v>
      </c>
      <c r="I112" s="8" t="e">
        <f t="shared" ca="1" si="14"/>
        <v>#NAME?</v>
      </c>
      <c r="J112" s="6" t="e">
        <f ca="1">_xll.xlqxhSMA($C112,$L$4,$J$7,$K$3)</f>
        <v>#NAME?</v>
      </c>
      <c r="K112" s="7" t="e">
        <f ca="1">_xll.xlqhClose($C112,K$8,$K$3)</f>
        <v>#NAME?</v>
      </c>
      <c r="L112" s="7" t="e">
        <f ca="1">_xll.xlqhClose($C112,L$8,$K$3)</f>
        <v>#NAME?</v>
      </c>
      <c r="N112" s="9" t="e">
        <f t="shared" ca="1" si="15"/>
        <v>#NAME?</v>
      </c>
      <c r="O112" s="9" t="e">
        <f t="shared" ca="1" si="16"/>
        <v>#NAME?</v>
      </c>
      <c r="P112" s="9" t="e">
        <f t="shared" ca="1" si="17"/>
        <v>#NAME?</v>
      </c>
      <c r="Q112" s="9" t="e">
        <f t="shared" ca="1" si="18"/>
        <v>#NAME?</v>
      </c>
      <c r="R112" s="9" t="e">
        <f t="shared" ca="1" si="19"/>
        <v>#NAME?</v>
      </c>
    </row>
    <row r="113" spans="1:18" x14ac:dyDescent="0.25">
      <c r="A113" s="18"/>
      <c r="B113" s="19" t="s">
        <v>322</v>
      </c>
      <c r="C113" s="5" t="s">
        <v>323</v>
      </c>
      <c r="D113" s="7" t="e">
        <f ca="1">_xll.xlqPrice(C113)</f>
        <v>#NAME?</v>
      </c>
      <c r="E113" s="9" t="e">
        <f t="shared" ca="1" si="10"/>
        <v>#NAME?</v>
      </c>
      <c r="F113" s="9" t="e">
        <f t="shared" ca="1" si="11"/>
        <v>#NAME?</v>
      </c>
      <c r="G113" s="8" t="e">
        <f t="shared" ca="1" si="12"/>
        <v>#NAME?</v>
      </c>
      <c r="H113" s="8" t="e">
        <f t="shared" ca="1" si="13"/>
        <v>#NAME?</v>
      </c>
      <c r="I113" s="8" t="e">
        <f t="shared" ca="1" si="14"/>
        <v>#NAME?</v>
      </c>
      <c r="J113" s="6" t="e">
        <f ca="1">_xll.xlqxhSMA($C113,$L$4,$J$7,$K$3)</f>
        <v>#NAME?</v>
      </c>
      <c r="K113" s="7" t="e">
        <f ca="1">_xll.xlqhClose($C113,K$8,$K$3)</f>
        <v>#NAME?</v>
      </c>
      <c r="L113" s="7" t="e">
        <f ca="1">_xll.xlqhClose($C113,L$8,$K$3)</f>
        <v>#NAME?</v>
      </c>
      <c r="N113" s="9" t="e">
        <f t="shared" ca="1" si="15"/>
        <v>#NAME?</v>
      </c>
      <c r="O113" s="9" t="e">
        <f t="shared" ca="1" si="16"/>
        <v>#NAME?</v>
      </c>
      <c r="P113" s="9" t="e">
        <f t="shared" ca="1" si="17"/>
        <v>#NAME?</v>
      </c>
      <c r="Q113" s="9" t="e">
        <f t="shared" ca="1" si="18"/>
        <v>#NAME?</v>
      </c>
      <c r="R113" s="9" t="e">
        <f t="shared" ca="1" si="19"/>
        <v>#NAME?</v>
      </c>
    </row>
    <row r="114" spans="1:18" x14ac:dyDescent="0.25">
      <c r="A114" s="18"/>
      <c r="B114" s="19" t="s">
        <v>144</v>
      </c>
      <c r="C114" s="5" t="s">
        <v>145</v>
      </c>
      <c r="D114" s="7" t="e">
        <f ca="1">_xll.xlqPrice(C114)</f>
        <v>#NAME?</v>
      </c>
      <c r="E114" s="9" t="e">
        <f t="shared" ca="1" si="10"/>
        <v>#NAME?</v>
      </c>
      <c r="F114" s="9" t="e">
        <f t="shared" ca="1" si="11"/>
        <v>#NAME?</v>
      </c>
      <c r="G114" s="8" t="e">
        <f t="shared" ca="1" si="12"/>
        <v>#NAME?</v>
      </c>
      <c r="H114" s="8" t="e">
        <f t="shared" ca="1" si="13"/>
        <v>#NAME?</v>
      </c>
      <c r="I114" s="8" t="e">
        <f t="shared" ca="1" si="14"/>
        <v>#NAME?</v>
      </c>
      <c r="J114" s="6" t="e">
        <f ca="1">_xll.xlqxhSMA($C114,$L$4,$J$7,$K$3)</f>
        <v>#NAME?</v>
      </c>
      <c r="K114" s="7" t="e">
        <f ca="1">_xll.xlqhClose($C114,K$8,$K$3)</f>
        <v>#NAME?</v>
      </c>
      <c r="L114" s="7" t="e">
        <f ca="1">_xll.xlqhClose($C114,L$8,$K$3)</f>
        <v>#NAME?</v>
      </c>
      <c r="N114" s="9" t="e">
        <f t="shared" ca="1" si="15"/>
        <v>#NAME?</v>
      </c>
      <c r="O114" s="9" t="e">
        <f t="shared" ca="1" si="16"/>
        <v>#NAME?</v>
      </c>
      <c r="P114" s="9" t="e">
        <f t="shared" ca="1" si="17"/>
        <v>#NAME?</v>
      </c>
      <c r="Q114" s="9" t="e">
        <f t="shared" ca="1" si="18"/>
        <v>#NAME?</v>
      </c>
      <c r="R114" s="9" t="e">
        <f t="shared" ca="1" si="19"/>
        <v>#NAME?</v>
      </c>
    </row>
    <row r="115" spans="1:18" x14ac:dyDescent="0.25">
      <c r="A115" s="18"/>
      <c r="B115" s="19" t="s">
        <v>67</v>
      </c>
      <c r="C115" s="5" t="s">
        <v>68</v>
      </c>
      <c r="D115" s="7" t="e">
        <f ca="1">_xll.xlqPrice(C115)</f>
        <v>#NAME?</v>
      </c>
      <c r="E115" s="9" t="e">
        <f t="shared" ca="1" si="10"/>
        <v>#NAME?</v>
      </c>
      <c r="F115" s="9" t="e">
        <f t="shared" ca="1" si="11"/>
        <v>#NAME?</v>
      </c>
      <c r="G115" s="8" t="e">
        <f t="shared" ca="1" si="12"/>
        <v>#NAME?</v>
      </c>
      <c r="H115" s="8" t="e">
        <f t="shared" ca="1" si="13"/>
        <v>#NAME?</v>
      </c>
      <c r="I115" s="8" t="e">
        <f t="shared" ca="1" si="14"/>
        <v>#NAME?</v>
      </c>
      <c r="J115" s="6" t="e">
        <f ca="1">_xll.xlqxhSMA($C115,$L$4,$J$7,$K$3)</f>
        <v>#NAME?</v>
      </c>
      <c r="K115" s="7" t="e">
        <f ca="1">_xll.xlqhClose($C115,K$8,$K$3)</f>
        <v>#NAME?</v>
      </c>
      <c r="L115" s="7" t="e">
        <f ca="1">_xll.xlqhClose($C115,L$8,$K$3)</f>
        <v>#NAME?</v>
      </c>
      <c r="N115" s="9" t="e">
        <f t="shared" ca="1" si="15"/>
        <v>#NAME?</v>
      </c>
      <c r="O115" s="9" t="e">
        <f t="shared" ca="1" si="16"/>
        <v>#NAME?</v>
      </c>
      <c r="P115" s="9" t="e">
        <f t="shared" ca="1" si="17"/>
        <v>#NAME?</v>
      </c>
      <c r="Q115" s="9" t="e">
        <f t="shared" ca="1" si="18"/>
        <v>#NAME?</v>
      </c>
      <c r="R115" s="9" t="e">
        <f t="shared" ca="1" si="19"/>
        <v>#NAME?</v>
      </c>
    </row>
    <row r="116" spans="1:18" x14ac:dyDescent="0.25">
      <c r="A116" s="18"/>
      <c r="B116" s="19" t="s">
        <v>268</v>
      </c>
      <c r="C116" s="5" t="s">
        <v>269</v>
      </c>
      <c r="D116" s="7" t="e">
        <f ca="1">_xll.xlqPrice(C116)</f>
        <v>#NAME?</v>
      </c>
      <c r="E116" s="9" t="e">
        <f t="shared" ca="1" si="10"/>
        <v>#NAME?</v>
      </c>
      <c r="F116" s="9" t="e">
        <f t="shared" ca="1" si="11"/>
        <v>#NAME?</v>
      </c>
      <c r="G116" s="8" t="e">
        <f t="shared" ca="1" si="12"/>
        <v>#NAME?</v>
      </c>
      <c r="H116" s="8" t="e">
        <f t="shared" ca="1" si="13"/>
        <v>#NAME?</v>
      </c>
      <c r="I116" s="8" t="e">
        <f t="shared" ca="1" si="14"/>
        <v>#NAME?</v>
      </c>
      <c r="J116" s="6" t="e">
        <f ca="1">_xll.xlqxhSMA($C116,$L$4,$J$7,$K$3)</f>
        <v>#NAME?</v>
      </c>
      <c r="K116" s="7" t="e">
        <f ca="1">_xll.xlqhClose($C116,K$8,$K$3)</f>
        <v>#NAME?</v>
      </c>
      <c r="L116" s="7" t="e">
        <f ca="1">_xll.xlqhClose($C116,L$8,$K$3)</f>
        <v>#NAME?</v>
      </c>
      <c r="N116" s="9" t="e">
        <f t="shared" ca="1" si="15"/>
        <v>#NAME?</v>
      </c>
      <c r="O116" s="9" t="e">
        <f t="shared" ca="1" si="16"/>
        <v>#NAME?</v>
      </c>
      <c r="P116" s="9" t="e">
        <f t="shared" ca="1" si="17"/>
        <v>#NAME?</v>
      </c>
      <c r="Q116" s="9" t="e">
        <f t="shared" ca="1" si="18"/>
        <v>#NAME?</v>
      </c>
      <c r="R116" s="9" t="e">
        <f t="shared" ca="1" si="19"/>
        <v>#NAME?</v>
      </c>
    </row>
    <row r="117" spans="1:18" x14ac:dyDescent="0.25">
      <c r="A117" s="18"/>
      <c r="B117" s="19" t="s">
        <v>504</v>
      </c>
      <c r="C117" s="5" t="s">
        <v>505</v>
      </c>
      <c r="D117" s="7" t="e">
        <f ca="1">_xll.xlqPrice(C117)</f>
        <v>#NAME?</v>
      </c>
      <c r="E117" s="9" t="e">
        <f t="shared" ca="1" si="10"/>
        <v>#NAME?</v>
      </c>
      <c r="F117" s="9" t="e">
        <f t="shared" ca="1" si="11"/>
        <v>#NAME?</v>
      </c>
      <c r="G117" s="8" t="e">
        <f t="shared" ca="1" si="12"/>
        <v>#NAME?</v>
      </c>
      <c r="H117" s="8" t="e">
        <f t="shared" ca="1" si="13"/>
        <v>#NAME?</v>
      </c>
      <c r="I117" s="8" t="e">
        <f t="shared" ca="1" si="14"/>
        <v>#NAME?</v>
      </c>
      <c r="J117" s="6" t="e">
        <f ca="1">_xll.xlqxhSMA($C117,$L$4,$J$7,$K$3)</f>
        <v>#NAME?</v>
      </c>
      <c r="K117" s="7" t="e">
        <f ca="1">_xll.xlqhClose($C117,K$8,$K$3)</f>
        <v>#NAME?</v>
      </c>
      <c r="L117" s="7" t="e">
        <f ca="1">_xll.xlqhClose($C117,L$8,$K$3)</f>
        <v>#NAME?</v>
      </c>
      <c r="N117" s="9" t="e">
        <f t="shared" ca="1" si="15"/>
        <v>#NAME?</v>
      </c>
      <c r="O117" s="9" t="e">
        <f t="shared" ca="1" si="16"/>
        <v>#NAME?</v>
      </c>
      <c r="P117" s="9" t="e">
        <f t="shared" ca="1" si="17"/>
        <v>#NAME?</v>
      </c>
      <c r="Q117" s="9" t="e">
        <f t="shared" ca="1" si="18"/>
        <v>#NAME?</v>
      </c>
      <c r="R117" s="9" t="e">
        <f t="shared" ca="1" si="19"/>
        <v>#NAME?</v>
      </c>
    </row>
    <row r="118" spans="1:18" x14ac:dyDescent="0.25">
      <c r="A118" s="18"/>
      <c r="B118" s="19" t="s">
        <v>300</v>
      </c>
      <c r="C118" s="5" t="s">
        <v>301</v>
      </c>
      <c r="D118" s="7" t="e">
        <f ca="1">_xll.xlqPrice(C118)</f>
        <v>#NAME?</v>
      </c>
      <c r="E118" s="9" t="e">
        <f t="shared" ca="1" si="10"/>
        <v>#NAME?</v>
      </c>
      <c r="F118" s="9" t="e">
        <f t="shared" ca="1" si="11"/>
        <v>#NAME?</v>
      </c>
      <c r="G118" s="8" t="e">
        <f t="shared" ca="1" si="12"/>
        <v>#NAME?</v>
      </c>
      <c r="H118" s="8" t="e">
        <f t="shared" ca="1" si="13"/>
        <v>#NAME?</v>
      </c>
      <c r="I118" s="8" t="e">
        <f t="shared" ca="1" si="14"/>
        <v>#NAME?</v>
      </c>
      <c r="J118" s="6" t="e">
        <f ca="1">_xll.xlqxhSMA($C118,$L$4,$J$7,$K$3)</f>
        <v>#NAME?</v>
      </c>
      <c r="K118" s="7" t="e">
        <f ca="1">_xll.xlqhClose($C118,K$8,$K$3)</f>
        <v>#NAME?</v>
      </c>
      <c r="L118" s="7" t="e">
        <f ca="1">_xll.xlqhClose($C118,L$8,$K$3)</f>
        <v>#NAME?</v>
      </c>
      <c r="N118" s="9" t="e">
        <f t="shared" ca="1" si="15"/>
        <v>#NAME?</v>
      </c>
      <c r="O118" s="9" t="e">
        <f t="shared" ca="1" si="16"/>
        <v>#NAME?</v>
      </c>
      <c r="P118" s="9" t="e">
        <f t="shared" ca="1" si="17"/>
        <v>#NAME?</v>
      </c>
      <c r="Q118" s="9" t="e">
        <f t="shared" ca="1" si="18"/>
        <v>#NAME?</v>
      </c>
      <c r="R118" s="9" t="e">
        <f t="shared" ca="1" si="19"/>
        <v>#NAME?</v>
      </c>
    </row>
    <row r="119" spans="1:18" x14ac:dyDescent="0.25">
      <c r="A119" s="18"/>
      <c r="B119" s="19" t="s">
        <v>232</v>
      </c>
      <c r="C119" s="5" t="s">
        <v>233</v>
      </c>
      <c r="D119" s="7" t="e">
        <f ca="1">_xll.xlqPrice(C119)</f>
        <v>#NAME?</v>
      </c>
      <c r="E119" s="9" t="e">
        <f t="shared" ca="1" si="10"/>
        <v>#NAME?</v>
      </c>
      <c r="F119" s="9" t="e">
        <f t="shared" ca="1" si="11"/>
        <v>#NAME?</v>
      </c>
      <c r="G119" s="8" t="e">
        <f t="shared" ca="1" si="12"/>
        <v>#NAME?</v>
      </c>
      <c r="H119" s="8" t="e">
        <f t="shared" ca="1" si="13"/>
        <v>#NAME?</v>
      </c>
      <c r="I119" s="8" t="e">
        <f t="shared" ca="1" si="14"/>
        <v>#NAME?</v>
      </c>
      <c r="J119" s="6" t="e">
        <f ca="1">_xll.xlqxhSMA($C119,$L$4,$J$7,$K$3)</f>
        <v>#NAME?</v>
      </c>
      <c r="K119" s="7" t="e">
        <f ca="1">_xll.xlqhClose($C119,K$8,$K$3)</f>
        <v>#NAME?</v>
      </c>
      <c r="L119" s="7" t="e">
        <f ca="1">_xll.xlqhClose($C119,L$8,$K$3)</f>
        <v>#NAME?</v>
      </c>
      <c r="N119" s="9" t="e">
        <f t="shared" ca="1" si="15"/>
        <v>#NAME?</v>
      </c>
      <c r="O119" s="9" t="e">
        <f t="shared" ca="1" si="16"/>
        <v>#NAME?</v>
      </c>
      <c r="P119" s="9" t="e">
        <f t="shared" ca="1" si="17"/>
        <v>#NAME?</v>
      </c>
      <c r="Q119" s="9" t="e">
        <f t="shared" ca="1" si="18"/>
        <v>#NAME?</v>
      </c>
      <c r="R119" s="9" t="e">
        <f t="shared" ca="1" si="19"/>
        <v>#NAME?</v>
      </c>
    </row>
    <row r="120" spans="1:18" x14ac:dyDescent="0.25">
      <c r="A120" s="18"/>
      <c r="B120" s="19" t="s">
        <v>424</v>
      </c>
      <c r="C120" s="5" t="s">
        <v>425</v>
      </c>
      <c r="D120" s="7" t="e">
        <f ca="1">_xll.xlqPrice(C120)</f>
        <v>#NAME?</v>
      </c>
      <c r="E120" s="9" t="e">
        <f t="shared" ca="1" si="10"/>
        <v>#NAME?</v>
      </c>
      <c r="F120" s="9" t="e">
        <f t="shared" ca="1" si="11"/>
        <v>#NAME?</v>
      </c>
      <c r="G120" s="8" t="e">
        <f t="shared" ca="1" si="12"/>
        <v>#NAME?</v>
      </c>
      <c r="H120" s="8" t="e">
        <f t="shared" ca="1" si="13"/>
        <v>#NAME?</v>
      </c>
      <c r="I120" s="8" t="e">
        <f t="shared" ca="1" si="14"/>
        <v>#NAME?</v>
      </c>
      <c r="J120" s="6" t="e">
        <f ca="1">_xll.xlqxhSMA($C120,$L$4,$J$7,$K$3)</f>
        <v>#NAME?</v>
      </c>
      <c r="K120" s="7" t="e">
        <f ca="1">_xll.xlqhClose($C120,K$8,$K$3)</f>
        <v>#NAME?</v>
      </c>
      <c r="L120" s="7" t="e">
        <f ca="1">_xll.xlqhClose($C120,L$8,$K$3)</f>
        <v>#NAME?</v>
      </c>
      <c r="N120" s="9" t="e">
        <f t="shared" ca="1" si="15"/>
        <v>#NAME?</v>
      </c>
      <c r="O120" s="9" t="e">
        <f t="shared" ca="1" si="16"/>
        <v>#NAME?</v>
      </c>
      <c r="P120" s="9" t="e">
        <f t="shared" ca="1" si="17"/>
        <v>#NAME?</v>
      </c>
      <c r="Q120" s="9" t="e">
        <f t="shared" ca="1" si="18"/>
        <v>#NAME?</v>
      </c>
      <c r="R120" s="9" t="e">
        <f t="shared" ca="1" si="19"/>
        <v>#NAME?</v>
      </c>
    </row>
    <row r="121" spans="1:18" x14ac:dyDescent="0.25">
      <c r="A121" s="18"/>
      <c r="B121" s="19" t="s">
        <v>40</v>
      </c>
      <c r="C121" s="5" t="s">
        <v>16</v>
      </c>
      <c r="D121" s="7" t="e">
        <f ca="1">_xll.xlqPrice(C121)</f>
        <v>#NAME?</v>
      </c>
      <c r="E121" s="9" t="e">
        <f t="shared" ca="1" si="10"/>
        <v>#NAME?</v>
      </c>
      <c r="F121" s="9" t="e">
        <f t="shared" ca="1" si="11"/>
        <v>#NAME?</v>
      </c>
      <c r="G121" s="8" t="e">
        <f t="shared" ca="1" si="12"/>
        <v>#NAME?</v>
      </c>
      <c r="H121" s="8" t="e">
        <f t="shared" ca="1" si="13"/>
        <v>#NAME?</v>
      </c>
      <c r="I121" s="8" t="e">
        <f t="shared" ca="1" si="14"/>
        <v>#NAME?</v>
      </c>
      <c r="J121" s="6" t="e">
        <f ca="1">_xll.xlqxhSMA($C121,$L$4,$J$7,$K$3)</f>
        <v>#NAME?</v>
      </c>
      <c r="K121" s="7" t="e">
        <f ca="1">_xll.xlqhClose($C121,K$8,$K$3)</f>
        <v>#NAME?</v>
      </c>
      <c r="L121" s="7" t="e">
        <f ca="1">_xll.xlqhClose($C121,L$8,$K$3)</f>
        <v>#NAME?</v>
      </c>
      <c r="N121" s="9" t="e">
        <f t="shared" ca="1" si="15"/>
        <v>#NAME?</v>
      </c>
      <c r="O121" s="9" t="e">
        <f t="shared" ca="1" si="16"/>
        <v>#NAME?</v>
      </c>
      <c r="P121" s="9" t="e">
        <f t="shared" ca="1" si="17"/>
        <v>#NAME?</v>
      </c>
      <c r="Q121" s="9" t="e">
        <f t="shared" ca="1" si="18"/>
        <v>#NAME?</v>
      </c>
      <c r="R121" s="9" t="e">
        <f t="shared" ca="1" si="19"/>
        <v>#NAME?</v>
      </c>
    </row>
    <row r="122" spans="1:18" x14ac:dyDescent="0.25">
      <c r="A122" s="18"/>
      <c r="B122" s="19" t="s">
        <v>172</v>
      </c>
      <c r="C122" s="5" t="s">
        <v>173</v>
      </c>
      <c r="D122" s="7" t="e">
        <f ca="1">_xll.xlqPrice(C122)</f>
        <v>#NAME?</v>
      </c>
      <c r="E122" s="9" t="e">
        <f t="shared" ca="1" si="10"/>
        <v>#NAME?</v>
      </c>
      <c r="F122" s="9" t="e">
        <f t="shared" ca="1" si="11"/>
        <v>#NAME?</v>
      </c>
      <c r="G122" s="8" t="e">
        <f t="shared" ca="1" si="12"/>
        <v>#NAME?</v>
      </c>
      <c r="H122" s="8" t="e">
        <f t="shared" ca="1" si="13"/>
        <v>#NAME?</v>
      </c>
      <c r="I122" s="8" t="e">
        <f t="shared" ca="1" si="14"/>
        <v>#NAME?</v>
      </c>
      <c r="J122" s="6" t="e">
        <f ca="1">_xll.xlqxhSMA($C122,$L$4,$J$7,$K$3)</f>
        <v>#NAME?</v>
      </c>
      <c r="K122" s="7" t="e">
        <f ca="1">_xll.xlqhClose($C122,K$8,$K$3)</f>
        <v>#NAME?</v>
      </c>
      <c r="L122" s="7" t="e">
        <f ca="1">_xll.xlqhClose($C122,L$8,$K$3)</f>
        <v>#NAME?</v>
      </c>
      <c r="N122" s="9" t="e">
        <f t="shared" ca="1" si="15"/>
        <v>#NAME?</v>
      </c>
      <c r="O122" s="9" t="e">
        <f t="shared" ca="1" si="16"/>
        <v>#NAME?</v>
      </c>
      <c r="P122" s="9" t="e">
        <f t="shared" ca="1" si="17"/>
        <v>#NAME?</v>
      </c>
      <c r="Q122" s="9" t="e">
        <f t="shared" ca="1" si="18"/>
        <v>#NAME?</v>
      </c>
      <c r="R122" s="9" t="e">
        <f t="shared" ca="1" si="19"/>
        <v>#NAME?</v>
      </c>
    </row>
    <row r="123" spans="1:18" x14ac:dyDescent="0.25">
      <c r="A123" s="18"/>
      <c r="B123" s="19" t="s">
        <v>334</v>
      </c>
      <c r="C123" s="5" t="s">
        <v>335</v>
      </c>
      <c r="D123" s="7" t="e">
        <f ca="1">_xll.xlqPrice(C123)</f>
        <v>#NAME?</v>
      </c>
      <c r="E123" s="9" t="e">
        <f t="shared" ca="1" si="10"/>
        <v>#NAME?</v>
      </c>
      <c r="F123" s="9" t="e">
        <f t="shared" ca="1" si="11"/>
        <v>#NAME?</v>
      </c>
      <c r="G123" s="8" t="e">
        <f t="shared" ca="1" si="12"/>
        <v>#NAME?</v>
      </c>
      <c r="H123" s="8" t="e">
        <f t="shared" ca="1" si="13"/>
        <v>#NAME?</v>
      </c>
      <c r="I123" s="8" t="e">
        <f t="shared" ca="1" si="14"/>
        <v>#NAME?</v>
      </c>
      <c r="J123" s="6" t="e">
        <f ca="1">_xll.xlqxhSMA($C123,$L$4,$J$7,$K$3)</f>
        <v>#NAME?</v>
      </c>
      <c r="K123" s="7" t="e">
        <f ca="1">_xll.xlqhClose($C123,K$8,$K$3)</f>
        <v>#NAME?</v>
      </c>
      <c r="L123" s="7" t="e">
        <f ca="1">_xll.xlqhClose($C123,L$8,$K$3)</f>
        <v>#NAME?</v>
      </c>
      <c r="N123" s="9" t="e">
        <f t="shared" ca="1" si="15"/>
        <v>#NAME?</v>
      </c>
      <c r="O123" s="9" t="e">
        <f t="shared" ca="1" si="16"/>
        <v>#NAME?</v>
      </c>
      <c r="P123" s="9" t="e">
        <f t="shared" ca="1" si="17"/>
        <v>#NAME?</v>
      </c>
      <c r="Q123" s="9" t="e">
        <f t="shared" ca="1" si="18"/>
        <v>#NAME?</v>
      </c>
      <c r="R123" s="9" t="e">
        <f t="shared" ca="1" si="19"/>
        <v>#NAME?</v>
      </c>
    </row>
    <row r="124" spans="1:18" x14ac:dyDescent="0.25">
      <c r="A124" s="18"/>
      <c r="B124" s="19" t="s">
        <v>286</v>
      </c>
      <c r="C124" s="5" t="s">
        <v>287</v>
      </c>
      <c r="D124" s="7" t="e">
        <f ca="1">_xll.xlqPrice(C124)</f>
        <v>#NAME?</v>
      </c>
      <c r="E124" s="9" t="e">
        <f t="shared" ca="1" si="10"/>
        <v>#NAME?</v>
      </c>
      <c r="F124" s="9" t="e">
        <f t="shared" ca="1" si="11"/>
        <v>#NAME?</v>
      </c>
      <c r="G124" s="8" t="e">
        <f t="shared" ca="1" si="12"/>
        <v>#NAME?</v>
      </c>
      <c r="H124" s="8" t="e">
        <f t="shared" ca="1" si="13"/>
        <v>#NAME?</v>
      </c>
      <c r="I124" s="8" t="e">
        <f t="shared" ca="1" si="14"/>
        <v>#NAME?</v>
      </c>
      <c r="J124" s="6" t="e">
        <f ca="1">_xll.xlqxhSMA($C124,$L$4,$J$7,$K$3)</f>
        <v>#NAME?</v>
      </c>
      <c r="K124" s="7" t="e">
        <f ca="1">_xll.xlqhClose($C124,K$8,$K$3)</f>
        <v>#NAME?</v>
      </c>
      <c r="L124" s="7" t="e">
        <f ca="1">_xll.xlqhClose($C124,L$8,$K$3)</f>
        <v>#NAME?</v>
      </c>
      <c r="N124" s="9" t="e">
        <f t="shared" ca="1" si="15"/>
        <v>#NAME?</v>
      </c>
      <c r="O124" s="9" t="e">
        <f t="shared" ca="1" si="16"/>
        <v>#NAME?</v>
      </c>
      <c r="P124" s="9" t="e">
        <f t="shared" ca="1" si="17"/>
        <v>#NAME?</v>
      </c>
      <c r="Q124" s="9" t="e">
        <f t="shared" ca="1" si="18"/>
        <v>#NAME?</v>
      </c>
      <c r="R124" s="9" t="e">
        <f t="shared" ca="1" si="19"/>
        <v>#NAME?</v>
      </c>
    </row>
    <row r="125" spans="1:18" x14ac:dyDescent="0.25">
      <c r="A125" s="18"/>
      <c r="B125" s="19" t="s">
        <v>214</v>
      </c>
      <c r="C125" s="5" t="s">
        <v>215</v>
      </c>
      <c r="D125" s="7" t="e">
        <f ca="1">_xll.xlqPrice(C125)</f>
        <v>#NAME?</v>
      </c>
      <c r="E125" s="9" t="e">
        <f t="shared" ca="1" si="10"/>
        <v>#NAME?</v>
      </c>
      <c r="F125" s="9" t="e">
        <f t="shared" ca="1" si="11"/>
        <v>#NAME?</v>
      </c>
      <c r="G125" s="8" t="e">
        <f t="shared" ca="1" si="12"/>
        <v>#NAME?</v>
      </c>
      <c r="H125" s="8" t="e">
        <f t="shared" ca="1" si="13"/>
        <v>#NAME?</v>
      </c>
      <c r="I125" s="8" t="e">
        <f t="shared" ca="1" si="14"/>
        <v>#NAME?</v>
      </c>
      <c r="J125" s="6" t="e">
        <f ca="1">_xll.xlqxhSMA($C125,$L$4,$J$7,$K$3)</f>
        <v>#NAME?</v>
      </c>
      <c r="K125" s="7" t="e">
        <f ca="1">_xll.xlqhClose($C125,K$8,$K$3)</f>
        <v>#NAME?</v>
      </c>
      <c r="L125" s="7" t="e">
        <f ca="1">_xll.xlqhClose($C125,L$8,$K$3)</f>
        <v>#NAME?</v>
      </c>
      <c r="N125" s="9" t="e">
        <f t="shared" ca="1" si="15"/>
        <v>#NAME?</v>
      </c>
      <c r="O125" s="9" t="e">
        <f t="shared" ca="1" si="16"/>
        <v>#NAME?</v>
      </c>
      <c r="P125" s="9" t="e">
        <f t="shared" ca="1" si="17"/>
        <v>#NAME?</v>
      </c>
      <c r="Q125" s="9" t="e">
        <f t="shared" ca="1" si="18"/>
        <v>#NAME?</v>
      </c>
      <c r="R125" s="9" t="e">
        <f t="shared" ca="1" si="19"/>
        <v>#NAME?</v>
      </c>
    </row>
    <row r="126" spans="1:18" x14ac:dyDescent="0.25">
      <c r="A126" s="18"/>
      <c r="B126" s="19" t="s">
        <v>468</v>
      </c>
      <c r="C126" s="5" t="s">
        <v>469</v>
      </c>
      <c r="D126" s="7" t="e">
        <f ca="1">_xll.xlqPrice(C126)</f>
        <v>#NAME?</v>
      </c>
      <c r="E126" s="9" t="e">
        <f t="shared" ca="1" si="10"/>
        <v>#NAME?</v>
      </c>
      <c r="F126" s="9" t="e">
        <f t="shared" ca="1" si="11"/>
        <v>#NAME?</v>
      </c>
      <c r="G126" s="8" t="e">
        <f t="shared" ca="1" si="12"/>
        <v>#NAME?</v>
      </c>
      <c r="H126" s="8" t="e">
        <f t="shared" ca="1" si="13"/>
        <v>#NAME?</v>
      </c>
      <c r="I126" s="8" t="e">
        <f t="shared" ca="1" si="14"/>
        <v>#NAME?</v>
      </c>
      <c r="J126" s="6" t="e">
        <f ca="1">_xll.xlqxhSMA($C126,$L$4,$J$7,$K$3)</f>
        <v>#NAME?</v>
      </c>
      <c r="K126" s="7" t="e">
        <f ca="1">_xll.xlqhClose($C126,K$8,$K$3)</f>
        <v>#NAME?</v>
      </c>
      <c r="L126" s="7" t="e">
        <f ca="1">_xll.xlqhClose($C126,L$8,$K$3)</f>
        <v>#NAME?</v>
      </c>
      <c r="N126" s="9" t="e">
        <f t="shared" ca="1" si="15"/>
        <v>#NAME?</v>
      </c>
      <c r="O126" s="9" t="e">
        <f t="shared" ca="1" si="16"/>
        <v>#NAME?</v>
      </c>
      <c r="P126" s="9" t="e">
        <f t="shared" ca="1" si="17"/>
        <v>#NAME?</v>
      </c>
      <c r="Q126" s="9" t="e">
        <f t="shared" ca="1" si="18"/>
        <v>#NAME?</v>
      </c>
      <c r="R126" s="9" t="e">
        <f t="shared" ca="1" si="19"/>
        <v>#NAME?</v>
      </c>
    </row>
    <row r="127" spans="1:18" x14ac:dyDescent="0.25">
      <c r="A127" s="18"/>
      <c r="B127" s="19" t="s">
        <v>358</v>
      </c>
      <c r="C127" s="5" t="s">
        <v>359</v>
      </c>
      <c r="D127" s="7" t="e">
        <f ca="1">_xll.xlqPrice(C127)</f>
        <v>#NAME?</v>
      </c>
      <c r="E127" s="9" t="e">
        <f t="shared" ca="1" si="10"/>
        <v>#NAME?</v>
      </c>
      <c r="F127" s="9" t="e">
        <f t="shared" ca="1" si="11"/>
        <v>#NAME?</v>
      </c>
      <c r="G127" s="8" t="e">
        <f t="shared" ca="1" si="12"/>
        <v>#NAME?</v>
      </c>
      <c r="H127" s="8" t="e">
        <f t="shared" ca="1" si="13"/>
        <v>#NAME?</v>
      </c>
      <c r="I127" s="8" t="e">
        <f t="shared" ca="1" si="14"/>
        <v>#NAME?</v>
      </c>
      <c r="J127" s="6" t="e">
        <f ca="1">_xll.xlqxhSMA($C127,$L$4,$J$7,$K$3)</f>
        <v>#NAME?</v>
      </c>
      <c r="K127" s="7" t="e">
        <f ca="1">_xll.xlqhClose($C127,K$8,$K$3)</f>
        <v>#NAME?</v>
      </c>
      <c r="L127" s="7" t="e">
        <f ca="1">_xll.xlqhClose($C127,L$8,$K$3)</f>
        <v>#NAME?</v>
      </c>
      <c r="N127" s="9" t="e">
        <f t="shared" ca="1" si="15"/>
        <v>#NAME?</v>
      </c>
      <c r="O127" s="9" t="e">
        <f t="shared" ca="1" si="16"/>
        <v>#NAME?</v>
      </c>
      <c r="P127" s="9" t="e">
        <f t="shared" ca="1" si="17"/>
        <v>#NAME?</v>
      </c>
      <c r="Q127" s="9" t="e">
        <f t="shared" ca="1" si="18"/>
        <v>#NAME?</v>
      </c>
      <c r="R127" s="9" t="e">
        <f t="shared" ca="1" si="19"/>
        <v>#NAME?</v>
      </c>
    </row>
    <row r="128" spans="1:18" x14ac:dyDescent="0.25">
      <c r="A128" s="18"/>
      <c r="B128" s="19" t="s">
        <v>290</v>
      </c>
      <c r="C128" s="5" t="s">
        <v>291</v>
      </c>
      <c r="D128" s="7" t="e">
        <f ca="1">_xll.xlqPrice(C128)</f>
        <v>#NAME?</v>
      </c>
      <c r="E128" s="9" t="e">
        <f t="shared" ca="1" si="10"/>
        <v>#NAME?</v>
      </c>
      <c r="F128" s="9" t="e">
        <f t="shared" ca="1" si="11"/>
        <v>#NAME?</v>
      </c>
      <c r="G128" s="8" t="e">
        <f t="shared" ca="1" si="12"/>
        <v>#NAME?</v>
      </c>
      <c r="H128" s="8" t="e">
        <f t="shared" ca="1" si="13"/>
        <v>#NAME?</v>
      </c>
      <c r="I128" s="8" t="e">
        <f t="shared" ca="1" si="14"/>
        <v>#NAME?</v>
      </c>
      <c r="J128" s="6" t="e">
        <f ca="1">_xll.xlqxhSMA($C128,$L$4,$J$7,$K$3)</f>
        <v>#NAME?</v>
      </c>
      <c r="K128" s="7" t="e">
        <f ca="1">_xll.xlqhClose($C128,K$8,$K$3)</f>
        <v>#NAME?</v>
      </c>
      <c r="L128" s="7" t="e">
        <f ca="1">_xll.xlqhClose($C128,L$8,$K$3)</f>
        <v>#NAME?</v>
      </c>
      <c r="N128" s="9" t="e">
        <f t="shared" ca="1" si="15"/>
        <v>#NAME?</v>
      </c>
      <c r="O128" s="9" t="e">
        <f t="shared" ca="1" si="16"/>
        <v>#NAME?</v>
      </c>
      <c r="P128" s="9" t="e">
        <f t="shared" ca="1" si="17"/>
        <v>#NAME?</v>
      </c>
      <c r="Q128" s="9" t="e">
        <f t="shared" ca="1" si="18"/>
        <v>#NAME?</v>
      </c>
      <c r="R128" s="9" t="e">
        <f t="shared" ca="1" si="19"/>
        <v>#NAME?</v>
      </c>
    </row>
    <row r="129" spans="1:18" x14ac:dyDescent="0.25">
      <c r="A129" s="18"/>
      <c r="B129" s="19" t="s">
        <v>174</v>
      </c>
      <c r="C129" s="5" t="s">
        <v>175</v>
      </c>
      <c r="D129" s="7" t="e">
        <f ca="1">_xll.xlqPrice(C129)</f>
        <v>#NAME?</v>
      </c>
      <c r="E129" s="9" t="e">
        <f t="shared" ca="1" si="10"/>
        <v>#NAME?</v>
      </c>
      <c r="F129" s="9" t="e">
        <f t="shared" ca="1" si="11"/>
        <v>#NAME?</v>
      </c>
      <c r="G129" s="8" t="e">
        <f t="shared" ca="1" si="12"/>
        <v>#NAME?</v>
      </c>
      <c r="H129" s="8" t="e">
        <f t="shared" ca="1" si="13"/>
        <v>#NAME?</v>
      </c>
      <c r="I129" s="8" t="e">
        <f t="shared" ca="1" si="14"/>
        <v>#NAME?</v>
      </c>
      <c r="J129" s="6" t="e">
        <f ca="1">_xll.xlqxhSMA($C129,$L$4,$J$7,$K$3)</f>
        <v>#NAME?</v>
      </c>
      <c r="K129" s="7" t="e">
        <f ca="1">_xll.xlqhClose($C129,K$8,$K$3)</f>
        <v>#NAME?</v>
      </c>
      <c r="L129" s="7" t="e">
        <f ca="1">_xll.xlqhClose($C129,L$8,$K$3)</f>
        <v>#NAME?</v>
      </c>
      <c r="N129" s="9" t="e">
        <f t="shared" ca="1" si="15"/>
        <v>#NAME?</v>
      </c>
      <c r="O129" s="9" t="e">
        <f t="shared" ca="1" si="16"/>
        <v>#NAME?</v>
      </c>
      <c r="P129" s="9" t="e">
        <f t="shared" ca="1" si="17"/>
        <v>#NAME?</v>
      </c>
      <c r="Q129" s="9" t="e">
        <f t="shared" ca="1" si="18"/>
        <v>#NAME?</v>
      </c>
      <c r="R129" s="9" t="e">
        <f t="shared" ca="1" si="19"/>
        <v>#NAME?</v>
      </c>
    </row>
    <row r="130" spans="1:18" x14ac:dyDescent="0.25">
      <c r="A130" s="18"/>
      <c r="B130" s="19" t="s">
        <v>368</v>
      </c>
      <c r="C130" s="5" t="s">
        <v>369</v>
      </c>
      <c r="D130" s="7" t="e">
        <f ca="1">_xll.xlqPrice(C130)</f>
        <v>#NAME?</v>
      </c>
      <c r="E130" s="9" t="e">
        <f t="shared" ca="1" si="10"/>
        <v>#NAME?</v>
      </c>
      <c r="F130" s="9" t="e">
        <f t="shared" ca="1" si="11"/>
        <v>#NAME?</v>
      </c>
      <c r="G130" s="8" t="e">
        <f t="shared" ca="1" si="12"/>
        <v>#NAME?</v>
      </c>
      <c r="H130" s="8" t="e">
        <f t="shared" ca="1" si="13"/>
        <v>#NAME?</v>
      </c>
      <c r="I130" s="8" t="e">
        <f t="shared" ca="1" si="14"/>
        <v>#NAME?</v>
      </c>
      <c r="J130" s="6" t="e">
        <f ca="1">_xll.xlqxhSMA($C130,$L$4,$J$7,$K$3)</f>
        <v>#NAME?</v>
      </c>
      <c r="K130" s="7" t="e">
        <f ca="1">_xll.xlqhClose($C130,K$8,$K$3)</f>
        <v>#NAME?</v>
      </c>
      <c r="L130" s="7" t="e">
        <f ca="1">_xll.xlqhClose($C130,L$8,$K$3)</f>
        <v>#NAME?</v>
      </c>
      <c r="N130" s="9" t="e">
        <f t="shared" ca="1" si="15"/>
        <v>#NAME?</v>
      </c>
      <c r="O130" s="9" t="e">
        <f t="shared" ca="1" si="16"/>
        <v>#NAME?</v>
      </c>
      <c r="P130" s="9" t="e">
        <f t="shared" ca="1" si="17"/>
        <v>#NAME?</v>
      </c>
      <c r="Q130" s="9" t="e">
        <f t="shared" ca="1" si="18"/>
        <v>#NAME?</v>
      </c>
      <c r="R130" s="9" t="e">
        <f t="shared" ca="1" si="19"/>
        <v>#NAME?</v>
      </c>
    </row>
    <row r="131" spans="1:18" x14ac:dyDescent="0.25">
      <c r="A131" s="18"/>
      <c r="B131" s="19" t="s">
        <v>360</v>
      </c>
      <c r="C131" s="5" t="s">
        <v>361</v>
      </c>
      <c r="D131" s="7" t="e">
        <f ca="1">_xll.xlqPrice(C131)</f>
        <v>#NAME?</v>
      </c>
      <c r="E131" s="9" t="e">
        <f t="shared" ca="1" si="10"/>
        <v>#NAME?</v>
      </c>
      <c r="F131" s="9" t="e">
        <f t="shared" ca="1" si="11"/>
        <v>#NAME?</v>
      </c>
      <c r="G131" s="8" t="e">
        <f t="shared" ca="1" si="12"/>
        <v>#NAME?</v>
      </c>
      <c r="H131" s="8" t="e">
        <f t="shared" ca="1" si="13"/>
        <v>#NAME?</v>
      </c>
      <c r="I131" s="8" t="e">
        <f t="shared" ca="1" si="14"/>
        <v>#NAME?</v>
      </c>
      <c r="J131" s="6" t="e">
        <f ca="1">_xll.xlqxhSMA($C131,$L$4,$J$7,$K$3)</f>
        <v>#NAME?</v>
      </c>
      <c r="K131" s="7" t="e">
        <f ca="1">_xll.xlqhClose($C131,K$8,$K$3)</f>
        <v>#NAME?</v>
      </c>
      <c r="L131" s="7" t="e">
        <f ca="1">_xll.xlqhClose($C131,L$8,$K$3)</f>
        <v>#NAME?</v>
      </c>
      <c r="N131" s="9" t="e">
        <f t="shared" ca="1" si="15"/>
        <v>#NAME?</v>
      </c>
      <c r="O131" s="9" t="e">
        <f t="shared" ca="1" si="16"/>
        <v>#NAME?</v>
      </c>
      <c r="P131" s="9" t="e">
        <f t="shared" ca="1" si="17"/>
        <v>#NAME?</v>
      </c>
      <c r="Q131" s="9" t="e">
        <f t="shared" ca="1" si="18"/>
        <v>#NAME?</v>
      </c>
      <c r="R131" s="9" t="e">
        <f t="shared" ca="1" si="19"/>
        <v>#NAME?</v>
      </c>
    </row>
    <row r="132" spans="1:18" x14ac:dyDescent="0.25">
      <c r="A132" s="18"/>
      <c r="B132" s="19" t="s">
        <v>474</v>
      </c>
      <c r="C132" s="5" t="s">
        <v>475</v>
      </c>
      <c r="D132" s="7" t="e">
        <f ca="1">_xll.xlqPrice(C132)</f>
        <v>#NAME?</v>
      </c>
      <c r="E132" s="9" t="e">
        <f t="shared" ca="1" si="10"/>
        <v>#NAME?</v>
      </c>
      <c r="F132" s="9" t="e">
        <f t="shared" ca="1" si="11"/>
        <v>#NAME?</v>
      </c>
      <c r="G132" s="8" t="e">
        <f t="shared" ca="1" si="12"/>
        <v>#NAME?</v>
      </c>
      <c r="H132" s="8" t="e">
        <f t="shared" ca="1" si="13"/>
        <v>#NAME?</v>
      </c>
      <c r="I132" s="8" t="e">
        <f t="shared" ca="1" si="14"/>
        <v>#NAME?</v>
      </c>
      <c r="J132" s="6" t="e">
        <f ca="1">_xll.xlqxhSMA($C132,$L$4,$J$7,$K$3)</f>
        <v>#NAME?</v>
      </c>
      <c r="K132" s="7" t="e">
        <f ca="1">_xll.xlqhClose($C132,K$8,$K$3)</f>
        <v>#NAME?</v>
      </c>
      <c r="L132" s="7" t="e">
        <f ca="1">_xll.xlqhClose($C132,L$8,$K$3)</f>
        <v>#NAME?</v>
      </c>
      <c r="N132" s="9" t="e">
        <f t="shared" ca="1" si="15"/>
        <v>#NAME?</v>
      </c>
      <c r="O132" s="9" t="e">
        <f t="shared" ca="1" si="16"/>
        <v>#NAME?</v>
      </c>
      <c r="P132" s="9" t="e">
        <f t="shared" ca="1" si="17"/>
        <v>#NAME?</v>
      </c>
      <c r="Q132" s="9" t="e">
        <f t="shared" ca="1" si="18"/>
        <v>#NAME?</v>
      </c>
      <c r="R132" s="9" t="e">
        <f t="shared" ca="1" si="19"/>
        <v>#NAME?</v>
      </c>
    </row>
    <row r="133" spans="1:18" x14ac:dyDescent="0.25">
      <c r="A133" s="18"/>
      <c r="B133" s="19" t="s">
        <v>280</v>
      </c>
      <c r="C133" s="5" t="s">
        <v>281</v>
      </c>
      <c r="D133" s="7" t="e">
        <f ca="1">_xll.xlqPrice(C133)</f>
        <v>#NAME?</v>
      </c>
      <c r="E133" s="9" t="e">
        <f t="shared" ca="1" si="10"/>
        <v>#NAME?</v>
      </c>
      <c r="F133" s="9" t="e">
        <f t="shared" ca="1" si="11"/>
        <v>#NAME?</v>
      </c>
      <c r="G133" s="8" t="e">
        <f t="shared" ca="1" si="12"/>
        <v>#NAME?</v>
      </c>
      <c r="H133" s="8" t="e">
        <f t="shared" ca="1" si="13"/>
        <v>#NAME?</v>
      </c>
      <c r="I133" s="8" t="e">
        <f t="shared" ca="1" si="14"/>
        <v>#NAME?</v>
      </c>
      <c r="J133" s="6" t="e">
        <f ca="1">_xll.xlqxhSMA($C133,$L$4,$J$7,$K$3)</f>
        <v>#NAME?</v>
      </c>
      <c r="K133" s="7" t="e">
        <f ca="1">_xll.xlqhClose($C133,K$8,$K$3)</f>
        <v>#NAME?</v>
      </c>
      <c r="L133" s="7" t="e">
        <f ca="1">_xll.xlqhClose($C133,L$8,$K$3)</f>
        <v>#NAME?</v>
      </c>
      <c r="N133" s="9" t="e">
        <f t="shared" ca="1" si="15"/>
        <v>#NAME?</v>
      </c>
      <c r="O133" s="9" t="e">
        <f t="shared" ca="1" si="16"/>
        <v>#NAME?</v>
      </c>
      <c r="P133" s="9" t="e">
        <f t="shared" ca="1" si="17"/>
        <v>#NAME?</v>
      </c>
      <c r="Q133" s="9" t="e">
        <f t="shared" ca="1" si="18"/>
        <v>#NAME?</v>
      </c>
      <c r="R133" s="9" t="e">
        <f t="shared" ca="1" si="19"/>
        <v>#NAME?</v>
      </c>
    </row>
    <row r="134" spans="1:18" x14ac:dyDescent="0.25">
      <c r="A134" s="18"/>
      <c r="B134" s="19" t="s">
        <v>288</v>
      </c>
      <c r="C134" s="5" t="s">
        <v>289</v>
      </c>
      <c r="D134" s="7" t="e">
        <f ca="1">_xll.xlqPrice(C134)</f>
        <v>#NAME?</v>
      </c>
      <c r="E134" s="9" t="e">
        <f t="shared" ca="1" si="10"/>
        <v>#NAME?</v>
      </c>
      <c r="F134" s="9" t="e">
        <f t="shared" ca="1" si="11"/>
        <v>#NAME?</v>
      </c>
      <c r="G134" s="8" t="e">
        <f t="shared" ca="1" si="12"/>
        <v>#NAME?</v>
      </c>
      <c r="H134" s="8" t="e">
        <f t="shared" ca="1" si="13"/>
        <v>#NAME?</v>
      </c>
      <c r="I134" s="8" t="e">
        <f t="shared" ca="1" si="14"/>
        <v>#NAME?</v>
      </c>
      <c r="J134" s="6" t="e">
        <f ca="1">_xll.xlqxhSMA($C134,$L$4,$J$7,$K$3)</f>
        <v>#NAME?</v>
      </c>
      <c r="K134" s="7" t="e">
        <f ca="1">_xll.xlqhClose($C134,K$8,$K$3)</f>
        <v>#NAME?</v>
      </c>
      <c r="L134" s="7" t="e">
        <f ca="1">_xll.xlqhClose($C134,L$8,$K$3)</f>
        <v>#NAME?</v>
      </c>
      <c r="N134" s="9" t="e">
        <f t="shared" ca="1" si="15"/>
        <v>#NAME?</v>
      </c>
      <c r="O134" s="9" t="e">
        <f t="shared" ca="1" si="16"/>
        <v>#NAME?</v>
      </c>
      <c r="P134" s="9" t="e">
        <f t="shared" ca="1" si="17"/>
        <v>#NAME?</v>
      </c>
      <c r="Q134" s="9" t="e">
        <f t="shared" ca="1" si="18"/>
        <v>#NAME?</v>
      </c>
      <c r="R134" s="9" t="e">
        <f t="shared" ca="1" si="19"/>
        <v>#NAME?</v>
      </c>
    </row>
    <row r="135" spans="1:18" x14ac:dyDescent="0.25">
      <c r="A135" s="18"/>
      <c r="B135" s="19" t="s">
        <v>206</v>
      </c>
      <c r="C135" s="5" t="s">
        <v>207</v>
      </c>
      <c r="D135" s="7" t="e">
        <f ca="1">_xll.xlqPrice(C135)</f>
        <v>#NAME?</v>
      </c>
      <c r="E135" s="9" t="e">
        <f t="shared" ca="1" si="10"/>
        <v>#NAME?</v>
      </c>
      <c r="F135" s="9" t="e">
        <f t="shared" ca="1" si="11"/>
        <v>#NAME?</v>
      </c>
      <c r="G135" s="8" t="e">
        <f t="shared" ca="1" si="12"/>
        <v>#NAME?</v>
      </c>
      <c r="H135" s="8" t="e">
        <f t="shared" ca="1" si="13"/>
        <v>#NAME?</v>
      </c>
      <c r="I135" s="8" t="e">
        <f t="shared" ca="1" si="14"/>
        <v>#NAME?</v>
      </c>
      <c r="J135" s="6" t="e">
        <f ca="1">_xll.xlqxhSMA($C135,$L$4,$J$7,$K$3)</f>
        <v>#NAME?</v>
      </c>
      <c r="K135" s="7" t="e">
        <f ca="1">_xll.xlqhClose($C135,K$8,$K$3)</f>
        <v>#NAME?</v>
      </c>
      <c r="L135" s="7" t="e">
        <f ca="1">_xll.xlqhClose($C135,L$8,$K$3)</f>
        <v>#NAME?</v>
      </c>
      <c r="N135" s="9" t="e">
        <f t="shared" ca="1" si="15"/>
        <v>#NAME?</v>
      </c>
      <c r="O135" s="9" t="e">
        <f t="shared" ca="1" si="16"/>
        <v>#NAME?</v>
      </c>
      <c r="P135" s="9" t="e">
        <f t="shared" ca="1" si="17"/>
        <v>#NAME?</v>
      </c>
      <c r="Q135" s="9" t="e">
        <f t="shared" ca="1" si="18"/>
        <v>#NAME?</v>
      </c>
      <c r="R135" s="9" t="e">
        <f t="shared" ca="1" si="19"/>
        <v>#NAME?</v>
      </c>
    </row>
    <row r="136" spans="1:18" x14ac:dyDescent="0.25">
      <c r="A136" s="18"/>
      <c r="B136" s="19" t="s">
        <v>386</v>
      </c>
      <c r="C136" s="5" t="s">
        <v>387</v>
      </c>
      <c r="D136" s="7" t="e">
        <f ca="1">_xll.xlqPrice(C136)</f>
        <v>#NAME?</v>
      </c>
      <c r="E136" s="9" t="e">
        <f t="shared" ca="1" si="10"/>
        <v>#NAME?</v>
      </c>
      <c r="F136" s="9" t="e">
        <f t="shared" ca="1" si="11"/>
        <v>#NAME?</v>
      </c>
      <c r="G136" s="8" t="e">
        <f t="shared" ca="1" si="12"/>
        <v>#NAME?</v>
      </c>
      <c r="H136" s="8" t="e">
        <f t="shared" ca="1" si="13"/>
        <v>#NAME?</v>
      </c>
      <c r="I136" s="8" t="e">
        <f t="shared" ca="1" si="14"/>
        <v>#NAME?</v>
      </c>
      <c r="J136" s="6" t="e">
        <f ca="1">_xll.xlqxhSMA($C136,$L$4,$J$7,$K$3)</f>
        <v>#NAME?</v>
      </c>
      <c r="K136" s="7" t="e">
        <f ca="1">_xll.xlqhClose($C136,K$8,$K$3)</f>
        <v>#NAME?</v>
      </c>
      <c r="L136" s="7" t="e">
        <f ca="1">_xll.xlqhClose($C136,L$8,$K$3)</f>
        <v>#NAME?</v>
      </c>
      <c r="N136" s="9" t="e">
        <f t="shared" ca="1" si="15"/>
        <v>#NAME?</v>
      </c>
      <c r="O136" s="9" t="e">
        <f t="shared" ca="1" si="16"/>
        <v>#NAME?</v>
      </c>
      <c r="P136" s="9" t="e">
        <f t="shared" ca="1" si="17"/>
        <v>#NAME?</v>
      </c>
      <c r="Q136" s="9" t="e">
        <f t="shared" ca="1" si="18"/>
        <v>#NAME?</v>
      </c>
      <c r="R136" s="9" t="e">
        <f t="shared" ca="1" si="19"/>
        <v>#NAME?</v>
      </c>
    </row>
    <row r="137" spans="1:18" x14ac:dyDescent="0.25">
      <c r="A137" s="18"/>
      <c r="B137" s="19" t="s">
        <v>376</v>
      </c>
      <c r="C137" s="5" t="s">
        <v>377</v>
      </c>
      <c r="D137" s="7" t="e">
        <f ca="1">_xll.xlqPrice(C137)</f>
        <v>#NAME?</v>
      </c>
      <c r="E137" s="9" t="e">
        <f t="shared" ca="1" si="10"/>
        <v>#NAME?</v>
      </c>
      <c r="F137" s="9" t="e">
        <f t="shared" ca="1" si="11"/>
        <v>#NAME?</v>
      </c>
      <c r="G137" s="8" t="e">
        <f t="shared" ca="1" si="12"/>
        <v>#NAME?</v>
      </c>
      <c r="H137" s="8" t="e">
        <f t="shared" ca="1" si="13"/>
        <v>#NAME?</v>
      </c>
      <c r="I137" s="8" t="e">
        <f t="shared" ca="1" si="14"/>
        <v>#NAME?</v>
      </c>
      <c r="J137" s="6" t="e">
        <f ca="1">_xll.xlqxhSMA($C137,$L$4,$J$7,$K$3)</f>
        <v>#NAME?</v>
      </c>
      <c r="K137" s="7" t="e">
        <f ca="1">_xll.xlqhClose($C137,K$8,$K$3)</f>
        <v>#NAME?</v>
      </c>
      <c r="L137" s="7" t="e">
        <f ca="1">_xll.xlqhClose($C137,L$8,$K$3)</f>
        <v>#NAME?</v>
      </c>
      <c r="N137" s="9" t="e">
        <f t="shared" ca="1" si="15"/>
        <v>#NAME?</v>
      </c>
      <c r="O137" s="9" t="e">
        <f t="shared" ca="1" si="16"/>
        <v>#NAME?</v>
      </c>
      <c r="P137" s="9" t="e">
        <f t="shared" ca="1" si="17"/>
        <v>#NAME?</v>
      </c>
      <c r="Q137" s="9" t="e">
        <f t="shared" ca="1" si="18"/>
        <v>#NAME?</v>
      </c>
      <c r="R137" s="9" t="e">
        <f t="shared" ca="1" si="19"/>
        <v>#NAME?</v>
      </c>
    </row>
    <row r="138" spans="1:18" x14ac:dyDescent="0.25">
      <c r="A138" s="18"/>
      <c r="B138" s="19" t="s">
        <v>65</v>
      </c>
      <c r="C138" s="5" t="s">
        <v>66</v>
      </c>
      <c r="D138" s="7" t="e">
        <f ca="1">_xll.xlqPrice(C138)</f>
        <v>#NAME?</v>
      </c>
      <c r="E138" s="9" t="e">
        <f t="shared" ca="1" si="10"/>
        <v>#NAME?</v>
      </c>
      <c r="F138" s="9" t="e">
        <f t="shared" ca="1" si="11"/>
        <v>#NAME?</v>
      </c>
      <c r="G138" s="8" t="e">
        <f t="shared" ca="1" si="12"/>
        <v>#NAME?</v>
      </c>
      <c r="H138" s="8" t="e">
        <f t="shared" ca="1" si="13"/>
        <v>#NAME?</v>
      </c>
      <c r="I138" s="8" t="e">
        <f t="shared" ca="1" si="14"/>
        <v>#NAME?</v>
      </c>
      <c r="J138" s="6" t="e">
        <f ca="1">_xll.xlqxhSMA($C138,$L$4,$J$7,$K$3)</f>
        <v>#NAME?</v>
      </c>
      <c r="K138" s="7" t="e">
        <f ca="1">_xll.xlqhClose($C138,K$8,$K$3)</f>
        <v>#NAME?</v>
      </c>
      <c r="L138" s="7" t="e">
        <f ca="1">_xll.xlqhClose($C138,L$8,$K$3)</f>
        <v>#NAME?</v>
      </c>
      <c r="N138" s="9" t="e">
        <f t="shared" ca="1" si="15"/>
        <v>#NAME?</v>
      </c>
      <c r="O138" s="9" t="e">
        <f t="shared" ca="1" si="16"/>
        <v>#NAME?</v>
      </c>
      <c r="P138" s="9" t="e">
        <f t="shared" ca="1" si="17"/>
        <v>#NAME?</v>
      </c>
      <c r="Q138" s="9" t="e">
        <f t="shared" ca="1" si="18"/>
        <v>#NAME?</v>
      </c>
      <c r="R138" s="9" t="e">
        <f t="shared" ca="1" si="19"/>
        <v>#NAME?</v>
      </c>
    </row>
    <row r="139" spans="1:18" x14ac:dyDescent="0.25">
      <c r="A139" s="18"/>
      <c r="B139" s="19" t="s">
        <v>47</v>
      </c>
      <c r="C139" s="5" t="s">
        <v>15</v>
      </c>
      <c r="D139" s="7" t="e">
        <f ca="1">_xll.xlqPrice(C139)</f>
        <v>#NAME?</v>
      </c>
      <c r="E139" s="9" t="e">
        <f t="shared" ref="E139:E202" ca="1" si="20">IF(D139&gt;J139, "Buy","Cash")</f>
        <v>#NAME?</v>
      </c>
      <c r="F139" s="9" t="e">
        <f t="shared" ref="F139:F202" ca="1" si="21">RANK(I139,$I$11:$I$215,0)</f>
        <v>#NAME?</v>
      </c>
      <c r="G139" s="8" t="e">
        <f t="shared" ref="G139:G202" ca="1" si="22">($D139-K139)/K139</f>
        <v>#NAME?</v>
      </c>
      <c r="H139" s="8" t="e">
        <f t="shared" ref="H139:H202" ca="1" si="23">($D139-L139)/L139</f>
        <v>#NAME?</v>
      </c>
      <c r="I139" s="8" t="e">
        <f t="shared" ref="I139:I202" ca="1" si="24">(G139*$G$8) +(H139*$H$8)</f>
        <v>#NAME?</v>
      </c>
      <c r="J139" s="6" t="e">
        <f ca="1">_xll.xlqxhSMA($C139,$L$4,$J$7,$K$3)</f>
        <v>#NAME?</v>
      </c>
      <c r="K139" s="7" t="e">
        <f ca="1">_xll.xlqhClose($C139,K$8,$K$3)</f>
        <v>#NAME?</v>
      </c>
      <c r="L139" s="7" t="e">
        <f ca="1">_xll.xlqhClose($C139,L$8,$K$3)</f>
        <v>#NAME?</v>
      </c>
      <c r="N139" s="9" t="e">
        <f t="shared" ref="N139:N202" ca="1" si="25">RANK($G139,G$11:G$215,0)</f>
        <v>#NAME?</v>
      </c>
      <c r="O139" s="9" t="e">
        <f t="shared" ref="O139:O202" ca="1" si="26">RANK($H139,H$11:H$215,0)</f>
        <v>#NAME?</v>
      </c>
      <c r="P139" s="9" t="e">
        <f t="shared" ref="P139:P202" ca="1" si="27">(N139*$G$8)+(O139*$H$8)</f>
        <v>#NAME?</v>
      </c>
      <c r="Q139" s="9" t="e">
        <f t="shared" ref="Q139:Q202" ca="1" si="28">RANK($P139,P$11:P$215,1)</f>
        <v>#NAME?</v>
      </c>
      <c r="R139" s="9" t="e">
        <f t="shared" ref="R139:R202" ca="1" si="29">F139-Q139</f>
        <v>#NAME?</v>
      </c>
    </row>
    <row r="140" spans="1:18" x14ac:dyDescent="0.25">
      <c r="A140" s="18"/>
      <c r="B140" s="19" t="s">
        <v>156</v>
      </c>
      <c r="C140" s="5" t="s">
        <v>157</v>
      </c>
      <c r="D140" s="7" t="e">
        <f ca="1">_xll.xlqPrice(C140)</f>
        <v>#NAME?</v>
      </c>
      <c r="E140" s="9" t="e">
        <f t="shared" ca="1" si="20"/>
        <v>#NAME?</v>
      </c>
      <c r="F140" s="9" t="e">
        <f t="shared" ca="1" si="21"/>
        <v>#NAME?</v>
      </c>
      <c r="G140" s="8" t="e">
        <f t="shared" ca="1" si="22"/>
        <v>#NAME?</v>
      </c>
      <c r="H140" s="8" t="e">
        <f t="shared" ca="1" si="23"/>
        <v>#NAME?</v>
      </c>
      <c r="I140" s="8" t="e">
        <f t="shared" ca="1" si="24"/>
        <v>#NAME?</v>
      </c>
      <c r="J140" s="6" t="e">
        <f ca="1">_xll.xlqxhSMA($C140,$L$4,$J$7,$K$3)</f>
        <v>#NAME?</v>
      </c>
      <c r="K140" s="7" t="e">
        <f ca="1">_xll.xlqhClose($C140,K$8,$K$3)</f>
        <v>#NAME?</v>
      </c>
      <c r="L140" s="7" t="e">
        <f ca="1">_xll.xlqhClose($C140,L$8,$K$3)</f>
        <v>#NAME?</v>
      </c>
      <c r="N140" s="9" t="e">
        <f t="shared" ca="1" si="25"/>
        <v>#NAME?</v>
      </c>
      <c r="O140" s="9" t="e">
        <f t="shared" ca="1" si="26"/>
        <v>#NAME?</v>
      </c>
      <c r="P140" s="9" t="e">
        <f t="shared" ca="1" si="27"/>
        <v>#NAME?</v>
      </c>
      <c r="Q140" s="9" t="e">
        <f t="shared" ca="1" si="28"/>
        <v>#NAME?</v>
      </c>
      <c r="R140" s="9" t="e">
        <f t="shared" ca="1" si="29"/>
        <v>#NAME?</v>
      </c>
    </row>
    <row r="141" spans="1:18" x14ac:dyDescent="0.25">
      <c r="A141" s="18"/>
      <c r="B141" s="19" t="s">
        <v>346</v>
      </c>
      <c r="C141" s="5" t="s">
        <v>347</v>
      </c>
      <c r="D141" s="7" t="e">
        <f ca="1">_xll.xlqPrice(C141)</f>
        <v>#NAME?</v>
      </c>
      <c r="E141" s="9" t="e">
        <f t="shared" ca="1" si="20"/>
        <v>#NAME?</v>
      </c>
      <c r="F141" s="9" t="e">
        <f t="shared" ca="1" si="21"/>
        <v>#NAME?</v>
      </c>
      <c r="G141" s="8" t="e">
        <f t="shared" ca="1" si="22"/>
        <v>#NAME?</v>
      </c>
      <c r="H141" s="8" t="e">
        <f t="shared" ca="1" si="23"/>
        <v>#NAME?</v>
      </c>
      <c r="I141" s="8" t="e">
        <f t="shared" ca="1" si="24"/>
        <v>#NAME?</v>
      </c>
      <c r="J141" s="6" t="e">
        <f ca="1">_xll.xlqxhSMA($C141,$L$4,$J$7,$K$3)</f>
        <v>#NAME?</v>
      </c>
      <c r="K141" s="7" t="e">
        <f ca="1">_xll.xlqhClose($C141,K$8,$K$3)</f>
        <v>#NAME?</v>
      </c>
      <c r="L141" s="7" t="e">
        <f ca="1">_xll.xlqhClose($C141,L$8,$K$3)</f>
        <v>#NAME?</v>
      </c>
      <c r="N141" s="9" t="e">
        <f t="shared" ca="1" si="25"/>
        <v>#NAME?</v>
      </c>
      <c r="O141" s="9" t="e">
        <f t="shared" ca="1" si="26"/>
        <v>#NAME?</v>
      </c>
      <c r="P141" s="9" t="e">
        <f t="shared" ca="1" si="27"/>
        <v>#NAME?</v>
      </c>
      <c r="Q141" s="9" t="e">
        <f t="shared" ca="1" si="28"/>
        <v>#NAME?</v>
      </c>
      <c r="R141" s="9" t="e">
        <f t="shared" ca="1" si="29"/>
        <v>#NAME?</v>
      </c>
    </row>
    <row r="142" spans="1:18" x14ac:dyDescent="0.25">
      <c r="A142" s="18"/>
      <c r="B142" s="19" t="s">
        <v>430</v>
      </c>
      <c r="C142" s="5" t="s">
        <v>431</v>
      </c>
      <c r="D142" s="7" t="e">
        <f ca="1">_xll.xlqPrice(C142)</f>
        <v>#NAME?</v>
      </c>
      <c r="E142" s="9" t="e">
        <f t="shared" ca="1" si="20"/>
        <v>#NAME?</v>
      </c>
      <c r="F142" s="9" t="e">
        <f t="shared" ca="1" si="21"/>
        <v>#NAME?</v>
      </c>
      <c r="G142" s="8" t="e">
        <f t="shared" ca="1" si="22"/>
        <v>#NAME?</v>
      </c>
      <c r="H142" s="8" t="e">
        <f t="shared" ca="1" si="23"/>
        <v>#NAME?</v>
      </c>
      <c r="I142" s="8" t="e">
        <f t="shared" ca="1" si="24"/>
        <v>#NAME?</v>
      </c>
      <c r="J142" s="6" t="e">
        <f ca="1">_xll.xlqxhSMA($C142,$L$4,$J$7,$K$3)</f>
        <v>#NAME?</v>
      </c>
      <c r="K142" s="7" t="e">
        <f ca="1">_xll.xlqhClose($C142,K$8,$K$3)</f>
        <v>#NAME?</v>
      </c>
      <c r="L142" s="7" t="e">
        <f ca="1">_xll.xlqhClose($C142,L$8,$K$3)</f>
        <v>#NAME?</v>
      </c>
      <c r="N142" s="9" t="e">
        <f t="shared" ca="1" si="25"/>
        <v>#NAME?</v>
      </c>
      <c r="O142" s="9" t="e">
        <f t="shared" ca="1" si="26"/>
        <v>#NAME?</v>
      </c>
      <c r="P142" s="9" t="e">
        <f t="shared" ca="1" si="27"/>
        <v>#NAME?</v>
      </c>
      <c r="Q142" s="9" t="e">
        <f t="shared" ca="1" si="28"/>
        <v>#NAME?</v>
      </c>
      <c r="R142" s="9" t="e">
        <f t="shared" ca="1" si="29"/>
        <v>#NAME?</v>
      </c>
    </row>
    <row r="143" spans="1:18" x14ac:dyDescent="0.25">
      <c r="A143" s="18"/>
      <c r="B143" s="19" t="s">
        <v>220</v>
      </c>
      <c r="C143" s="5" t="s">
        <v>221</v>
      </c>
      <c r="D143" s="7" t="e">
        <f ca="1">_xll.xlqPrice(C143)</f>
        <v>#NAME?</v>
      </c>
      <c r="E143" s="9" t="e">
        <f t="shared" ca="1" si="20"/>
        <v>#NAME?</v>
      </c>
      <c r="F143" s="9" t="e">
        <f t="shared" ca="1" si="21"/>
        <v>#NAME?</v>
      </c>
      <c r="G143" s="8" t="e">
        <f t="shared" ca="1" si="22"/>
        <v>#NAME?</v>
      </c>
      <c r="H143" s="8" t="e">
        <f t="shared" ca="1" si="23"/>
        <v>#NAME?</v>
      </c>
      <c r="I143" s="8" t="e">
        <f t="shared" ca="1" si="24"/>
        <v>#NAME?</v>
      </c>
      <c r="J143" s="6" t="e">
        <f ca="1">_xll.xlqxhSMA($C143,$L$4,$J$7,$K$3)</f>
        <v>#NAME?</v>
      </c>
      <c r="K143" s="7" t="e">
        <f ca="1">_xll.xlqhClose($C143,K$8,$K$3)</f>
        <v>#NAME?</v>
      </c>
      <c r="L143" s="7" t="e">
        <f ca="1">_xll.xlqhClose($C143,L$8,$K$3)</f>
        <v>#NAME?</v>
      </c>
      <c r="N143" s="9" t="e">
        <f t="shared" ca="1" si="25"/>
        <v>#NAME?</v>
      </c>
      <c r="O143" s="9" t="e">
        <f t="shared" ca="1" si="26"/>
        <v>#NAME?</v>
      </c>
      <c r="P143" s="9" t="e">
        <f t="shared" ca="1" si="27"/>
        <v>#NAME?</v>
      </c>
      <c r="Q143" s="9" t="e">
        <f t="shared" ca="1" si="28"/>
        <v>#NAME?</v>
      </c>
      <c r="R143" s="9" t="e">
        <f t="shared" ca="1" si="29"/>
        <v>#NAME?</v>
      </c>
    </row>
    <row r="144" spans="1:18" x14ac:dyDescent="0.25">
      <c r="A144" s="18"/>
      <c r="B144" s="19" t="s">
        <v>176</v>
      </c>
      <c r="C144" s="5" t="s">
        <v>177</v>
      </c>
      <c r="D144" s="7" t="e">
        <f ca="1">_xll.xlqPrice(C144)</f>
        <v>#NAME?</v>
      </c>
      <c r="E144" s="9" t="e">
        <f t="shared" ca="1" si="20"/>
        <v>#NAME?</v>
      </c>
      <c r="F144" s="9" t="e">
        <f t="shared" ca="1" si="21"/>
        <v>#NAME?</v>
      </c>
      <c r="G144" s="8" t="e">
        <f t="shared" ca="1" si="22"/>
        <v>#NAME?</v>
      </c>
      <c r="H144" s="8" t="e">
        <f t="shared" ca="1" si="23"/>
        <v>#NAME?</v>
      </c>
      <c r="I144" s="8" t="e">
        <f t="shared" ca="1" si="24"/>
        <v>#NAME?</v>
      </c>
      <c r="J144" s="6" t="e">
        <f ca="1">_xll.xlqxhSMA($C144,$L$4,$J$7,$K$3)</f>
        <v>#NAME?</v>
      </c>
      <c r="K144" s="7" t="e">
        <f ca="1">_xll.xlqhClose($C144,K$8,$K$3)</f>
        <v>#NAME?</v>
      </c>
      <c r="L144" s="7" t="e">
        <f ca="1">_xll.xlqhClose($C144,L$8,$K$3)</f>
        <v>#NAME?</v>
      </c>
      <c r="N144" s="9" t="e">
        <f t="shared" ca="1" si="25"/>
        <v>#NAME?</v>
      </c>
      <c r="O144" s="9" t="e">
        <f t="shared" ca="1" si="26"/>
        <v>#NAME?</v>
      </c>
      <c r="P144" s="9" t="e">
        <f t="shared" ca="1" si="27"/>
        <v>#NAME?</v>
      </c>
      <c r="Q144" s="9" t="e">
        <f t="shared" ca="1" si="28"/>
        <v>#NAME?</v>
      </c>
      <c r="R144" s="9" t="e">
        <f t="shared" ca="1" si="29"/>
        <v>#NAME?</v>
      </c>
    </row>
    <row r="145" spans="1:18" x14ac:dyDescent="0.25">
      <c r="A145" s="18"/>
      <c r="B145" s="19" t="s">
        <v>162</v>
      </c>
      <c r="C145" s="5" t="s">
        <v>163</v>
      </c>
      <c r="D145" s="7" t="e">
        <f ca="1">_xll.xlqPrice(C145)</f>
        <v>#NAME?</v>
      </c>
      <c r="E145" s="9" t="e">
        <f t="shared" ca="1" si="20"/>
        <v>#NAME?</v>
      </c>
      <c r="F145" s="9" t="e">
        <f t="shared" ca="1" si="21"/>
        <v>#NAME?</v>
      </c>
      <c r="G145" s="8" t="e">
        <f t="shared" ca="1" si="22"/>
        <v>#NAME?</v>
      </c>
      <c r="H145" s="8" t="e">
        <f t="shared" ca="1" si="23"/>
        <v>#NAME?</v>
      </c>
      <c r="I145" s="8" t="e">
        <f t="shared" ca="1" si="24"/>
        <v>#NAME?</v>
      </c>
      <c r="J145" s="6" t="e">
        <f ca="1">_xll.xlqxhSMA($C145,$L$4,$J$7,$K$3)</f>
        <v>#NAME?</v>
      </c>
      <c r="K145" s="7" t="e">
        <f ca="1">_xll.xlqhClose($C145,K$8,$K$3)</f>
        <v>#NAME?</v>
      </c>
      <c r="L145" s="7" t="e">
        <f ca="1">_xll.xlqhClose($C145,L$8,$K$3)</f>
        <v>#NAME?</v>
      </c>
      <c r="N145" s="9" t="e">
        <f t="shared" ca="1" si="25"/>
        <v>#NAME?</v>
      </c>
      <c r="O145" s="9" t="e">
        <f t="shared" ca="1" si="26"/>
        <v>#NAME?</v>
      </c>
      <c r="P145" s="9" t="e">
        <f t="shared" ca="1" si="27"/>
        <v>#NAME?</v>
      </c>
      <c r="Q145" s="9" t="e">
        <f t="shared" ca="1" si="28"/>
        <v>#NAME?</v>
      </c>
      <c r="R145" s="9" t="e">
        <f t="shared" ca="1" si="29"/>
        <v>#NAME?</v>
      </c>
    </row>
    <row r="146" spans="1:18" x14ac:dyDescent="0.25">
      <c r="A146" s="18"/>
      <c r="B146" s="19" t="s">
        <v>454</v>
      </c>
      <c r="C146" s="5" t="s">
        <v>455</v>
      </c>
      <c r="D146" s="7" t="e">
        <f ca="1">_xll.xlqPrice(C146)</f>
        <v>#NAME?</v>
      </c>
      <c r="E146" s="9" t="e">
        <f t="shared" ca="1" si="20"/>
        <v>#NAME?</v>
      </c>
      <c r="F146" s="9" t="e">
        <f t="shared" ca="1" si="21"/>
        <v>#NAME?</v>
      </c>
      <c r="G146" s="8" t="e">
        <f t="shared" ca="1" si="22"/>
        <v>#NAME?</v>
      </c>
      <c r="H146" s="8" t="e">
        <f t="shared" ca="1" si="23"/>
        <v>#NAME?</v>
      </c>
      <c r="I146" s="8" t="e">
        <f t="shared" ca="1" si="24"/>
        <v>#NAME?</v>
      </c>
      <c r="J146" s="6" t="e">
        <f ca="1">_xll.xlqxhSMA($C146,$L$4,$J$7,$K$3)</f>
        <v>#NAME?</v>
      </c>
      <c r="K146" s="7" t="e">
        <f ca="1">_xll.xlqhClose($C146,K$8,$K$3)</f>
        <v>#NAME?</v>
      </c>
      <c r="L146" s="7" t="e">
        <f ca="1">_xll.xlqhClose($C146,L$8,$K$3)</f>
        <v>#NAME?</v>
      </c>
      <c r="N146" s="9" t="e">
        <f t="shared" ca="1" si="25"/>
        <v>#NAME?</v>
      </c>
      <c r="O146" s="9" t="e">
        <f t="shared" ca="1" si="26"/>
        <v>#NAME?</v>
      </c>
      <c r="P146" s="9" t="e">
        <f t="shared" ca="1" si="27"/>
        <v>#NAME?</v>
      </c>
      <c r="Q146" s="9" t="e">
        <f t="shared" ca="1" si="28"/>
        <v>#NAME?</v>
      </c>
      <c r="R146" s="9" t="e">
        <f t="shared" ca="1" si="29"/>
        <v>#NAME?</v>
      </c>
    </row>
    <row r="147" spans="1:18" x14ac:dyDescent="0.25">
      <c r="A147" s="18"/>
      <c r="B147" s="19" t="s">
        <v>296</v>
      </c>
      <c r="C147" s="5" t="s">
        <v>297</v>
      </c>
      <c r="D147" s="7" t="e">
        <f ca="1">_xll.xlqPrice(C147)</f>
        <v>#NAME?</v>
      </c>
      <c r="E147" s="9" t="e">
        <f t="shared" ca="1" si="20"/>
        <v>#NAME?</v>
      </c>
      <c r="F147" s="9" t="e">
        <f t="shared" ca="1" si="21"/>
        <v>#NAME?</v>
      </c>
      <c r="G147" s="8" t="e">
        <f t="shared" ca="1" si="22"/>
        <v>#NAME?</v>
      </c>
      <c r="H147" s="8" t="e">
        <f t="shared" ca="1" si="23"/>
        <v>#NAME?</v>
      </c>
      <c r="I147" s="8" t="e">
        <f t="shared" ca="1" si="24"/>
        <v>#NAME?</v>
      </c>
      <c r="J147" s="6" t="e">
        <f ca="1">_xll.xlqxhSMA($C147,$L$4,$J$7,$K$3)</f>
        <v>#NAME?</v>
      </c>
      <c r="K147" s="7" t="e">
        <f ca="1">_xll.xlqhClose($C147,K$8,$K$3)</f>
        <v>#NAME?</v>
      </c>
      <c r="L147" s="7" t="e">
        <f ca="1">_xll.xlqhClose($C147,L$8,$K$3)</f>
        <v>#NAME?</v>
      </c>
      <c r="N147" s="9" t="e">
        <f t="shared" ca="1" si="25"/>
        <v>#NAME?</v>
      </c>
      <c r="O147" s="9" t="e">
        <f t="shared" ca="1" si="26"/>
        <v>#NAME?</v>
      </c>
      <c r="P147" s="9" t="e">
        <f t="shared" ca="1" si="27"/>
        <v>#NAME?</v>
      </c>
      <c r="Q147" s="9" t="e">
        <f t="shared" ca="1" si="28"/>
        <v>#NAME?</v>
      </c>
      <c r="R147" s="9" t="e">
        <f t="shared" ca="1" si="29"/>
        <v>#NAME?</v>
      </c>
    </row>
    <row r="148" spans="1:18" x14ac:dyDescent="0.25">
      <c r="A148" s="18"/>
      <c r="B148" s="19" t="s">
        <v>55</v>
      </c>
      <c r="C148" s="5" t="s">
        <v>56</v>
      </c>
      <c r="D148" s="7" t="e">
        <f ca="1">_xll.xlqPrice(C148)</f>
        <v>#NAME?</v>
      </c>
      <c r="E148" s="9" t="e">
        <f t="shared" ca="1" si="20"/>
        <v>#NAME?</v>
      </c>
      <c r="F148" s="9" t="e">
        <f t="shared" ca="1" si="21"/>
        <v>#NAME?</v>
      </c>
      <c r="G148" s="8" t="e">
        <f t="shared" ca="1" si="22"/>
        <v>#NAME?</v>
      </c>
      <c r="H148" s="8" t="e">
        <f t="shared" ca="1" si="23"/>
        <v>#NAME?</v>
      </c>
      <c r="I148" s="8" t="e">
        <f t="shared" ca="1" si="24"/>
        <v>#NAME?</v>
      </c>
      <c r="J148" s="6" t="e">
        <f ca="1">_xll.xlqxhSMA($C148,$L$4,$J$7,$K$3)</f>
        <v>#NAME?</v>
      </c>
      <c r="K148" s="7" t="e">
        <f ca="1">_xll.xlqhClose($C148,K$8,$K$3)</f>
        <v>#NAME?</v>
      </c>
      <c r="L148" s="7" t="e">
        <f ca="1">_xll.xlqhClose($C148,L$8,$K$3)</f>
        <v>#NAME?</v>
      </c>
      <c r="N148" s="9" t="e">
        <f t="shared" ca="1" si="25"/>
        <v>#NAME?</v>
      </c>
      <c r="O148" s="9" t="e">
        <f t="shared" ca="1" si="26"/>
        <v>#NAME?</v>
      </c>
      <c r="P148" s="9" t="e">
        <f t="shared" ca="1" si="27"/>
        <v>#NAME?</v>
      </c>
      <c r="Q148" s="9" t="e">
        <f t="shared" ca="1" si="28"/>
        <v>#NAME?</v>
      </c>
      <c r="R148" s="9" t="e">
        <f t="shared" ca="1" si="29"/>
        <v>#NAME?</v>
      </c>
    </row>
    <row r="149" spans="1:18" x14ac:dyDescent="0.25">
      <c r="A149" s="18"/>
      <c r="B149" s="19" t="s">
        <v>350</v>
      </c>
      <c r="C149" s="5" t="s">
        <v>351</v>
      </c>
      <c r="D149" s="7" t="e">
        <f ca="1">_xll.xlqPrice(C149)</f>
        <v>#NAME?</v>
      </c>
      <c r="E149" s="9" t="e">
        <f t="shared" ca="1" si="20"/>
        <v>#NAME?</v>
      </c>
      <c r="F149" s="9" t="e">
        <f t="shared" ca="1" si="21"/>
        <v>#NAME?</v>
      </c>
      <c r="G149" s="8" t="e">
        <f t="shared" ca="1" si="22"/>
        <v>#NAME?</v>
      </c>
      <c r="H149" s="8" t="e">
        <f t="shared" ca="1" si="23"/>
        <v>#NAME?</v>
      </c>
      <c r="I149" s="8" t="e">
        <f t="shared" ca="1" si="24"/>
        <v>#NAME?</v>
      </c>
      <c r="J149" s="6" t="e">
        <f ca="1">_xll.xlqxhSMA($C149,$L$4,$J$7,$K$3)</f>
        <v>#NAME?</v>
      </c>
      <c r="K149" s="7" t="e">
        <f ca="1">_xll.xlqhClose($C149,K$8,$K$3)</f>
        <v>#NAME?</v>
      </c>
      <c r="L149" s="7" t="e">
        <f ca="1">_xll.xlqhClose($C149,L$8,$K$3)</f>
        <v>#NAME?</v>
      </c>
      <c r="N149" s="9" t="e">
        <f t="shared" ca="1" si="25"/>
        <v>#NAME?</v>
      </c>
      <c r="O149" s="9" t="e">
        <f t="shared" ca="1" si="26"/>
        <v>#NAME?</v>
      </c>
      <c r="P149" s="9" t="e">
        <f t="shared" ca="1" si="27"/>
        <v>#NAME?</v>
      </c>
      <c r="Q149" s="9" t="e">
        <f t="shared" ca="1" si="28"/>
        <v>#NAME?</v>
      </c>
      <c r="R149" s="9" t="e">
        <f t="shared" ca="1" si="29"/>
        <v>#NAME?</v>
      </c>
    </row>
    <row r="150" spans="1:18" x14ac:dyDescent="0.25">
      <c r="A150" s="18"/>
      <c r="B150" s="19" t="s">
        <v>456</v>
      </c>
      <c r="C150" s="5" t="s">
        <v>457</v>
      </c>
      <c r="D150" s="7" t="e">
        <f ca="1">_xll.xlqPrice(C150)</f>
        <v>#NAME?</v>
      </c>
      <c r="E150" s="9" t="e">
        <f t="shared" ca="1" si="20"/>
        <v>#NAME?</v>
      </c>
      <c r="F150" s="9" t="e">
        <f t="shared" ca="1" si="21"/>
        <v>#NAME?</v>
      </c>
      <c r="G150" s="8" t="e">
        <f t="shared" ca="1" si="22"/>
        <v>#NAME?</v>
      </c>
      <c r="H150" s="8" t="e">
        <f t="shared" ca="1" si="23"/>
        <v>#NAME?</v>
      </c>
      <c r="I150" s="8" t="e">
        <f t="shared" ca="1" si="24"/>
        <v>#NAME?</v>
      </c>
      <c r="J150" s="6" t="e">
        <f ca="1">_xll.xlqxhSMA($C150,$L$4,$J$7,$K$3)</f>
        <v>#NAME?</v>
      </c>
      <c r="K150" s="7" t="e">
        <f ca="1">_xll.xlqhClose($C150,K$8,$K$3)</f>
        <v>#NAME?</v>
      </c>
      <c r="L150" s="7" t="e">
        <f ca="1">_xll.xlqhClose($C150,L$8,$K$3)</f>
        <v>#NAME?</v>
      </c>
      <c r="N150" s="9" t="e">
        <f t="shared" ca="1" si="25"/>
        <v>#NAME?</v>
      </c>
      <c r="O150" s="9" t="e">
        <f t="shared" ca="1" si="26"/>
        <v>#NAME?</v>
      </c>
      <c r="P150" s="9" t="e">
        <f t="shared" ca="1" si="27"/>
        <v>#NAME?</v>
      </c>
      <c r="Q150" s="9" t="e">
        <f t="shared" ca="1" si="28"/>
        <v>#NAME?</v>
      </c>
      <c r="R150" s="9" t="e">
        <f t="shared" ca="1" si="29"/>
        <v>#NAME?</v>
      </c>
    </row>
    <row r="151" spans="1:18" x14ac:dyDescent="0.25">
      <c r="A151" s="18"/>
      <c r="B151" s="19" t="s">
        <v>168</v>
      </c>
      <c r="C151" s="5" t="s">
        <v>169</v>
      </c>
      <c r="D151" s="7" t="e">
        <f ca="1">_xll.xlqPrice(C151)</f>
        <v>#NAME?</v>
      </c>
      <c r="E151" s="9" t="e">
        <f t="shared" ca="1" si="20"/>
        <v>#NAME?</v>
      </c>
      <c r="F151" s="9" t="e">
        <f t="shared" ca="1" si="21"/>
        <v>#NAME?</v>
      </c>
      <c r="G151" s="8" t="e">
        <f t="shared" ca="1" si="22"/>
        <v>#NAME?</v>
      </c>
      <c r="H151" s="8" t="e">
        <f t="shared" ca="1" si="23"/>
        <v>#NAME?</v>
      </c>
      <c r="I151" s="8" t="e">
        <f t="shared" ca="1" si="24"/>
        <v>#NAME?</v>
      </c>
      <c r="J151" s="6" t="e">
        <f ca="1">_xll.xlqxhSMA($C151,$L$4,$J$7,$K$3)</f>
        <v>#NAME?</v>
      </c>
      <c r="K151" s="7" t="e">
        <f ca="1">_xll.xlqhClose($C151,K$8,$K$3)</f>
        <v>#NAME?</v>
      </c>
      <c r="L151" s="7" t="e">
        <f ca="1">_xll.xlqhClose($C151,L$8,$K$3)</f>
        <v>#NAME?</v>
      </c>
      <c r="N151" s="9" t="e">
        <f t="shared" ca="1" si="25"/>
        <v>#NAME?</v>
      </c>
      <c r="O151" s="9" t="e">
        <f t="shared" ca="1" si="26"/>
        <v>#NAME?</v>
      </c>
      <c r="P151" s="9" t="e">
        <f t="shared" ca="1" si="27"/>
        <v>#NAME?</v>
      </c>
      <c r="Q151" s="9" t="e">
        <f t="shared" ca="1" si="28"/>
        <v>#NAME?</v>
      </c>
      <c r="R151" s="9" t="e">
        <f t="shared" ca="1" si="29"/>
        <v>#NAME?</v>
      </c>
    </row>
    <row r="152" spans="1:18" x14ac:dyDescent="0.25">
      <c r="A152" s="18"/>
      <c r="B152" s="19" t="s">
        <v>344</v>
      </c>
      <c r="C152" s="5" t="s">
        <v>345</v>
      </c>
      <c r="D152" s="7" t="e">
        <f ca="1">_xll.xlqPrice(C152)</f>
        <v>#NAME?</v>
      </c>
      <c r="E152" s="9" t="e">
        <f t="shared" ca="1" si="20"/>
        <v>#NAME?</v>
      </c>
      <c r="F152" s="9" t="e">
        <f t="shared" ca="1" si="21"/>
        <v>#NAME?</v>
      </c>
      <c r="G152" s="8" t="e">
        <f t="shared" ca="1" si="22"/>
        <v>#NAME?</v>
      </c>
      <c r="H152" s="8" t="e">
        <f t="shared" ca="1" si="23"/>
        <v>#NAME?</v>
      </c>
      <c r="I152" s="8" t="e">
        <f t="shared" ca="1" si="24"/>
        <v>#NAME?</v>
      </c>
      <c r="J152" s="6" t="e">
        <f ca="1">_xll.xlqxhSMA($C152,$L$4,$J$7,$K$3)</f>
        <v>#NAME?</v>
      </c>
      <c r="K152" s="7" t="e">
        <f ca="1">_xll.xlqhClose($C152,K$8,$K$3)</f>
        <v>#NAME?</v>
      </c>
      <c r="L152" s="7" t="e">
        <f ca="1">_xll.xlqhClose($C152,L$8,$K$3)</f>
        <v>#NAME?</v>
      </c>
      <c r="N152" s="9" t="e">
        <f t="shared" ca="1" si="25"/>
        <v>#NAME?</v>
      </c>
      <c r="O152" s="9" t="e">
        <f t="shared" ca="1" si="26"/>
        <v>#NAME?</v>
      </c>
      <c r="P152" s="9" t="e">
        <f t="shared" ca="1" si="27"/>
        <v>#NAME?</v>
      </c>
      <c r="Q152" s="9" t="e">
        <f t="shared" ca="1" si="28"/>
        <v>#NAME?</v>
      </c>
      <c r="R152" s="9" t="e">
        <f t="shared" ca="1" si="29"/>
        <v>#NAME?</v>
      </c>
    </row>
    <row r="153" spans="1:18" x14ac:dyDescent="0.25">
      <c r="A153" s="18"/>
      <c r="B153" s="19" t="s">
        <v>63</v>
      </c>
      <c r="C153" s="5" t="s">
        <v>64</v>
      </c>
      <c r="D153" s="7" t="e">
        <f ca="1">_xll.xlqPrice(C153)</f>
        <v>#NAME?</v>
      </c>
      <c r="E153" s="9" t="e">
        <f t="shared" ca="1" si="20"/>
        <v>#NAME?</v>
      </c>
      <c r="F153" s="9" t="e">
        <f t="shared" ca="1" si="21"/>
        <v>#NAME?</v>
      </c>
      <c r="G153" s="8" t="e">
        <f t="shared" ca="1" si="22"/>
        <v>#NAME?</v>
      </c>
      <c r="H153" s="8" t="e">
        <f t="shared" ca="1" si="23"/>
        <v>#NAME?</v>
      </c>
      <c r="I153" s="8" t="e">
        <f t="shared" ca="1" si="24"/>
        <v>#NAME?</v>
      </c>
      <c r="J153" s="6" t="e">
        <f ca="1">_xll.xlqxhSMA($C153,$L$4,$J$7,$K$3)</f>
        <v>#NAME?</v>
      </c>
      <c r="K153" s="7" t="e">
        <f ca="1">_xll.xlqhClose($C153,K$8,$K$3)</f>
        <v>#NAME?</v>
      </c>
      <c r="L153" s="7" t="e">
        <f ca="1">_xll.xlqhClose($C153,L$8,$K$3)</f>
        <v>#NAME?</v>
      </c>
      <c r="N153" s="9" t="e">
        <f t="shared" ca="1" si="25"/>
        <v>#NAME?</v>
      </c>
      <c r="O153" s="9" t="e">
        <f t="shared" ca="1" si="26"/>
        <v>#NAME?</v>
      </c>
      <c r="P153" s="9" t="e">
        <f t="shared" ca="1" si="27"/>
        <v>#NAME?</v>
      </c>
      <c r="Q153" s="9" t="e">
        <f t="shared" ca="1" si="28"/>
        <v>#NAME?</v>
      </c>
      <c r="R153" s="9" t="e">
        <f t="shared" ca="1" si="29"/>
        <v>#NAME?</v>
      </c>
    </row>
    <row r="154" spans="1:18" x14ac:dyDescent="0.25">
      <c r="A154" s="18"/>
      <c r="B154" s="19" t="s">
        <v>314</v>
      </c>
      <c r="C154" s="5" t="s">
        <v>315</v>
      </c>
      <c r="D154" s="7" t="e">
        <f ca="1">_xll.xlqPrice(C154)</f>
        <v>#NAME?</v>
      </c>
      <c r="E154" s="9" t="e">
        <f t="shared" ca="1" si="20"/>
        <v>#NAME?</v>
      </c>
      <c r="F154" s="9" t="e">
        <f t="shared" ca="1" si="21"/>
        <v>#NAME?</v>
      </c>
      <c r="G154" s="8" t="e">
        <f t="shared" ca="1" si="22"/>
        <v>#NAME?</v>
      </c>
      <c r="H154" s="8" t="e">
        <f t="shared" ca="1" si="23"/>
        <v>#NAME?</v>
      </c>
      <c r="I154" s="8" t="e">
        <f t="shared" ca="1" si="24"/>
        <v>#NAME?</v>
      </c>
      <c r="J154" s="6" t="e">
        <f ca="1">_xll.xlqxhSMA($C154,$L$4,$J$7,$K$3)</f>
        <v>#NAME?</v>
      </c>
      <c r="K154" s="7" t="e">
        <f ca="1">_xll.xlqhClose($C154,K$8,$K$3)</f>
        <v>#NAME?</v>
      </c>
      <c r="L154" s="7" t="e">
        <f ca="1">_xll.xlqhClose($C154,L$8,$K$3)</f>
        <v>#NAME?</v>
      </c>
      <c r="N154" s="9" t="e">
        <f t="shared" ca="1" si="25"/>
        <v>#NAME?</v>
      </c>
      <c r="O154" s="9" t="e">
        <f t="shared" ca="1" si="26"/>
        <v>#NAME?</v>
      </c>
      <c r="P154" s="9" t="e">
        <f t="shared" ca="1" si="27"/>
        <v>#NAME?</v>
      </c>
      <c r="Q154" s="9" t="e">
        <f t="shared" ca="1" si="28"/>
        <v>#NAME?</v>
      </c>
      <c r="R154" s="9" t="e">
        <f t="shared" ca="1" si="29"/>
        <v>#NAME?</v>
      </c>
    </row>
    <row r="155" spans="1:18" x14ac:dyDescent="0.25">
      <c r="A155" s="18"/>
      <c r="B155" s="19" t="s">
        <v>318</v>
      </c>
      <c r="C155" s="5" t="s">
        <v>319</v>
      </c>
      <c r="D155" s="7" t="e">
        <f ca="1">_xll.xlqPrice(C155)</f>
        <v>#NAME?</v>
      </c>
      <c r="E155" s="9" t="e">
        <f t="shared" ca="1" si="20"/>
        <v>#NAME?</v>
      </c>
      <c r="F155" s="9" t="e">
        <f t="shared" ca="1" si="21"/>
        <v>#NAME?</v>
      </c>
      <c r="G155" s="8" t="e">
        <f t="shared" ca="1" si="22"/>
        <v>#NAME?</v>
      </c>
      <c r="H155" s="8" t="e">
        <f t="shared" ca="1" si="23"/>
        <v>#NAME?</v>
      </c>
      <c r="I155" s="8" t="e">
        <f t="shared" ca="1" si="24"/>
        <v>#NAME?</v>
      </c>
      <c r="J155" s="6" t="e">
        <f ca="1">_xll.xlqxhSMA($C155,$L$4,$J$7,$K$3)</f>
        <v>#NAME?</v>
      </c>
      <c r="K155" s="7" t="e">
        <f ca="1">_xll.xlqhClose($C155,K$8,$K$3)</f>
        <v>#NAME?</v>
      </c>
      <c r="L155" s="7" t="e">
        <f ca="1">_xll.xlqhClose($C155,L$8,$K$3)</f>
        <v>#NAME?</v>
      </c>
      <c r="N155" s="9" t="e">
        <f t="shared" ca="1" si="25"/>
        <v>#NAME?</v>
      </c>
      <c r="O155" s="9" t="e">
        <f t="shared" ca="1" si="26"/>
        <v>#NAME?</v>
      </c>
      <c r="P155" s="9" t="e">
        <f t="shared" ca="1" si="27"/>
        <v>#NAME?</v>
      </c>
      <c r="Q155" s="9" t="e">
        <f t="shared" ca="1" si="28"/>
        <v>#NAME?</v>
      </c>
      <c r="R155" s="9" t="e">
        <f t="shared" ca="1" si="29"/>
        <v>#NAME?</v>
      </c>
    </row>
    <row r="156" spans="1:18" x14ac:dyDescent="0.25">
      <c r="A156" s="18"/>
      <c r="B156" s="19" t="s">
        <v>180</v>
      </c>
      <c r="C156" s="5" t="s">
        <v>181</v>
      </c>
      <c r="D156" s="7" t="e">
        <f ca="1">_xll.xlqPrice(C156)</f>
        <v>#NAME?</v>
      </c>
      <c r="E156" s="9" t="e">
        <f t="shared" ca="1" si="20"/>
        <v>#NAME?</v>
      </c>
      <c r="F156" s="9" t="e">
        <f t="shared" ca="1" si="21"/>
        <v>#NAME?</v>
      </c>
      <c r="G156" s="8" t="e">
        <f t="shared" ca="1" si="22"/>
        <v>#NAME?</v>
      </c>
      <c r="H156" s="8" t="e">
        <f t="shared" ca="1" si="23"/>
        <v>#NAME?</v>
      </c>
      <c r="I156" s="8" t="e">
        <f t="shared" ca="1" si="24"/>
        <v>#NAME?</v>
      </c>
      <c r="J156" s="6" t="e">
        <f ca="1">_xll.xlqxhSMA($C156,$L$4,$J$7,$K$3)</f>
        <v>#NAME?</v>
      </c>
      <c r="K156" s="7" t="e">
        <f ca="1">_xll.xlqhClose($C156,K$8,$K$3)</f>
        <v>#NAME?</v>
      </c>
      <c r="L156" s="7" t="e">
        <f ca="1">_xll.xlqhClose($C156,L$8,$K$3)</f>
        <v>#NAME?</v>
      </c>
      <c r="N156" s="9" t="e">
        <f t="shared" ca="1" si="25"/>
        <v>#NAME?</v>
      </c>
      <c r="O156" s="9" t="e">
        <f t="shared" ca="1" si="26"/>
        <v>#NAME?</v>
      </c>
      <c r="P156" s="9" t="e">
        <f t="shared" ca="1" si="27"/>
        <v>#NAME?</v>
      </c>
      <c r="Q156" s="9" t="e">
        <f t="shared" ca="1" si="28"/>
        <v>#NAME?</v>
      </c>
      <c r="R156" s="9" t="e">
        <f t="shared" ca="1" si="29"/>
        <v>#NAME?</v>
      </c>
    </row>
    <row r="157" spans="1:18" x14ac:dyDescent="0.25">
      <c r="A157" s="18"/>
      <c r="B157" s="19" t="s">
        <v>364</v>
      </c>
      <c r="C157" s="5" t="s">
        <v>365</v>
      </c>
      <c r="D157" s="7" t="e">
        <f ca="1">_xll.xlqPrice(C157)</f>
        <v>#NAME?</v>
      </c>
      <c r="E157" s="9" t="e">
        <f t="shared" ca="1" si="20"/>
        <v>#NAME?</v>
      </c>
      <c r="F157" s="9" t="e">
        <f t="shared" ca="1" si="21"/>
        <v>#NAME?</v>
      </c>
      <c r="G157" s="8" t="e">
        <f t="shared" ca="1" si="22"/>
        <v>#NAME?</v>
      </c>
      <c r="H157" s="8" t="e">
        <f t="shared" ca="1" si="23"/>
        <v>#NAME?</v>
      </c>
      <c r="I157" s="8" t="e">
        <f t="shared" ca="1" si="24"/>
        <v>#NAME?</v>
      </c>
      <c r="J157" s="6" t="e">
        <f ca="1">_xll.xlqxhSMA($C157,$L$4,$J$7,$K$3)</f>
        <v>#NAME?</v>
      </c>
      <c r="K157" s="7" t="e">
        <f ca="1">_xll.xlqhClose($C157,K$8,$K$3)</f>
        <v>#NAME?</v>
      </c>
      <c r="L157" s="7" t="e">
        <f ca="1">_xll.xlqhClose($C157,L$8,$K$3)</f>
        <v>#NAME?</v>
      </c>
      <c r="N157" s="9" t="e">
        <f t="shared" ca="1" si="25"/>
        <v>#NAME?</v>
      </c>
      <c r="O157" s="9" t="e">
        <f t="shared" ca="1" si="26"/>
        <v>#NAME?</v>
      </c>
      <c r="P157" s="9" t="e">
        <f t="shared" ca="1" si="27"/>
        <v>#NAME?</v>
      </c>
      <c r="Q157" s="9" t="e">
        <f t="shared" ca="1" si="28"/>
        <v>#NAME?</v>
      </c>
      <c r="R157" s="9" t="e">
        <f t="shared" ca="1" si="29"/>
        <v>#NAME?</v>
      </c>
    </row>
    <row r="158" spans="1:18" x14ac:dyDescent="0.25">
      <c r="A158" s="18"/>
      <c r="B158" s="19" t="s">
        <v>490</v>
      </c>
      <c r="C158" s="5" t="s">
        <v>491</v>
      </c>
      <c r="D158" s="7" t="e">
        <f ca="1">_xll.xlqPrice(C158)</f>
        <v>#NAME?</v>
      </c>
      <c r="E158" s="9" t="e">
        <f t="shared" ca="1" si="20"/>
        <v>#NAME?</v>
      </c>
      <c r="F158" s="9" t="e">
        <f t="shared" ca="1" si="21"/>
        <v>#NAME?</v>
      </c>
      <c r="G158" s="8" t="e">
        <f t="shared" ca="1" si="22"/>
        <v>#NAME?</v>
      </c>
      <c r="H158" s="8" t="e">
        <f t="shared" ca="1" si="23"/>
        <v>#NAME?</v>
      </c>
      <c r="I158" s="8" t="e">
        <f t="shared" ca="1" si="24"/>
        <v>#NAME?</v>
      </c>
      <c r="J158" s="6" t="e">
        <f ca="1">_xll.xlqxhSMA($C158,$L$4,$J$7,$K$3)</f>
        <v>#NAME?</v>
      </c>
      <c r="K158" s="7" t="e">
        <f ca="1">_xll.xlqhClose($C158,K$8,$K$3)</f>
        <v>#NAME?</v>
      </c>
      <c r="L158" s="7" t="e">
        <f ca="1">_xll.xlqhClose($C158,L$8,$K$3)</f>
        <v>#NAME?</v>
      </c>
      <c r="N158" s="9" t="e">
        <f t="shared" ca="1" si="25"/>
        <v>#NAME?</v>
      </c>
      <c r="O158" s="9" t="e">
        <f t="shared" ca="1" si="26"/>
        <v>#NAME?</v>
      </c>
      <c r="P158" s="9" t="e">
        <f t="shared" ca="1" si="27"/>
        <v>#NAME?</v>
      </c>
      <c r="Q158" s="9" t="e">
        <f t="shared" ca="1" si="28"/>
        <v>#NAME?</v>
      </c>
      <c r="R158" s="9" t="e">
        <f t="shared" ca="1" si="29"/>
        <v>#NAME?</v>
      </c>
    </row>
    <row r="159" spans="1:18" x14ac:dyDescent="0.25">
      <c r="A159" s="18"/>
      <c r="B159" s="19" t="s">
        <v>49</v>
      </c>
      <c r="C159" s="5" t="s">
        <v>50</v>
      </c>
      <c r="D159" s="7" t="e">
        <f ca="1">_xll.xlqPrice(C159)</f>
        <v>#NAME?</v>
      </c>
      <c r="E159" s="9" t="e">
        <f t="shared" ca="1" si="20"/>
        <v>#NAME?</v>
      </c>
      <c r="F159" s="9" t="e">
        <f t="shared" ca="1" si="21"/>
        <v>#NAME?</v>
      </c>
      <c r="G159" s="8" t="e">
        <f t="shared" ca="1" si="22"/>
        <v>#NAME?</v>
      </c>
      <c r="H159" s="8" t="e">
        <f t="shared" ca="1" si="23"/>
        <v>#NAME?</v>
      </c>
      <c r="I159" s="8" t="e">
        <f t="shared" ca="1" si="24"/>
        <v>#NAME?</v>
      </c>
      <c r="J159" s="6" t="e">
        <f ca="1">_xll.xlqxhSMA($C159,$L$4,$J$7,$K$3)</f>
        <v>#NAME?</v>
      </c>
      <c r="K159" s="7" t="e">
        <f ca="1">_xll.xlqhClose($C159,K$8,$K$3)</f>
        <v>#NAME?</v>
      </c>
      <c r="L159" s="7" t="e">
        <f ca="1">_xll.xlqhClose($C159,L$8,$K$3)</f>
        <v>#NAME?</v>
      </c>
      <c r="N159" s="9" t="e">
        <f t="shared" ca="1" si="25"/>
        <v>#NAME?</v>
      </c>
      <c r="O159" s="9" t="e">
        <f t="shared" ca="1" si="26"/>
        <v>#NAME?</v>
      </c>
      <c r="P159" s="9" t="e">
        <f t="shared" ca="1" si="27"/>
        <v>#NAME?</v>
      </c>
      <c r="Q159" s="9" t="e">
        <f t="shared" ca="1" si="28"/>
        <v>#NAME?</v>
      </c>
      <c r="R159" s="9" t="e">
        <f t="shared" ca="1" si="29"/>
        <v>#NAME?</v>
      </c>
    </row>
    <row r="160" spans="1:18" x14ac:dyDescent="0.25">
      <c r="A160" s="18"/>
      <c r="B160" s="19" t="s">
        <v>282</v>
      </c>
      <c r="C160" s="5" t="s">
        <v>283</v>
      </c>
      <c r="D160" s="7" t="e">
        <f ca="1">_xll.xlqPrice(C160)</f>
        <v>#NAME?</v>
      </c>
      <c r="E160" s="9" t="e">
        <f t="shared" ca="1" si="20"/>
        <v>#NAME?</v>
      </c>
      <c r="F160" s="9" t="e">
        <f t="shared" ca="1" si="21"/>
        <v>#NAME?</v>
      </c>
      <c r="G160" s="8" t="e">
        <f t="shared" ca="1" si="22"/>
        <v>#NAME?</v>
      </c>
      <c r="H160" s="8" t="e">
        <f t="shared" ca="1" si="23"/>
        <v>#NAME?</v>
      </c>
      <c r="I160" s="8" t="e">
        <f t="shared" ca="1" si="24"/>
        <v>#NAME?</v>
      </c>
      <c r="J160" s="6" t="e">
        <f ca="1">_xll.xlqxhSMA($C160,$L$4,$J$7,$K$3)</f>
        <v>#NAME?</v>
      </c>
      <c r="K160" s="7" t="e">
        <f ca="1">_xll.xlqhClose($C160,K$8,$K$3)</f>
        <v>#NAME?</v>
      </c>
      <c r="L160" s="7" t="e">
        <f ca="1">_xll.xlqhClose($C160,L$8,$K$3)</f>
        <v>#NAME?</v>
      </c>
      <c r="N160" s="9" t="e">
        <f t="shared" ca="1" si="25"/>
        <v>#NAME?</v>
      </c>
      <c r="O160" s="9" t="e">
        <f t="shared" ca="1" si="26"/>
        <v>#NAME?</v>
      </c>
      <c r="P160" s="9" t="e">
        <f t="shared" ca="1" si="27"/>
        <v>#NAME?</v>
      </c>
      <c r="Q160" s="9" t="e">
        <f t="shared" ca="1" si="28"/>
        <v>#NAME?</v>
      </c>
      <c r="R160" s="9" t="e">
        <f t="shared" ca="1" si="29"/>
        <v>#NAME?</v>
      </c>
    </row>
    <row r="161" spans="1:18" x14ac:dyDescent="0.25">
      <c r="A161" s="18"/>
      <c r="B161" s="19" t="s">
        <v>400</v>
      </c>
      <c r="C161" s="5" t="s">
        <v>401</v>
      </c>
      <c r="D161" s="7" t="e">
        <f ca="1">_xll.xlqPrice(C161)</f>
        <v>#NAME?</v>
      </c>
      <c r="E161" s="9" t="e">
        <f t="shared" ca="1" si="20"/>
        <v>#NAME?</v>
      </c>
      <c r="F161" s="9" t="e">
        <f t="shared" ca="1" si="21"/>
        <v>#NAME?</v>
      </c>
      <c r="G161" s="8" t="e">
        <f t="shared" ca="1" si="22"/>
        <v>#NAME?</v>
      </c>
      <c r="H161" s="8" t="e">
        <f t="shared" ca="1" si="23"/>
        <v>#NAME?</v>
      </c>
      <c r="I161" s="8" t="e">
        <f t="shared" ca="1" si="24"/>
        <v>#NAME?</v>
      </c>
      <c r="J161" s="6" t="e">
        <f ca="1">_xll.xlqxhSMA($C161,$L$4,$J$7,$K$3)</f>
        <v>#NAME?</v>
      </c>
      <c r="K161" s="7" t="e">
        <f ca="1">_xll.xlqhClose($C161,K$8,$K$3)</f>
        <v>#NAME?</v>
      </c>
      <c r="L161" s="7" t="e">
        <f ca="1">_xll.xlqhClose($C161,L$8,$K$3)</f>
        <v>#NAME?</v>
      </c>
      <c r="N161" s="9" t="e">
        <f t="shared" ca="1" si="25"/>
        <v>#NAME?</v>
      </c>
      <c r="O161" s="9" t="e">
        <f t="shared" ca="1" si="26"/>
        <v>#NAME?</v>
      </c>
      <c r="P161" s="9" t="e">
        <f t="shared" ca="1" si="27"/>
        <v>#NAME?</v>
      </c>
      <c r="Q161" s="9" t="e">
        <f t="shared" ca="1" si="28"/>
        <v>#NAME?</v>
      </c>
      <c r="R161" s="9" t="e">
        <f t="shared" ca="1" si="29"/>
        <v>#NAME?</v>
      </c>
    </row>
    <row r="162" spans="1:18" x14ac:dyDescent="0.25">
      <c r="A162" s="18"/>
      <c r="B162" s="19" t="s">
        <v>380</v>
      </c>
      <c r="C162" s="5" t="s">
        <v>381</v>
      </c>
      <c r="D162" s="7" t="e">
        <f ca="1">_xll.xlqPrice(C162)</f>
        <v>#NAME?</v>
      </c>
      <c r="E162" s="9" t="e">
        <f t="shared" ca="1" si="20"/>
        <v>#NAME?</v>
      </c>
      <c r="F162" s="9" t="e">
        <f t="shared" ca="1" si="21"/>
        <v>#NAME?</v>
      </c>
      <c r="G162" s="8" t="e">
        <f t="shared" ca="1" si="22"/>
        <v>#NAME?</v>
      </c>
      <c r="H162" s="8" t="e">
        <f t="shared" ca="1" si="23"/>
        <v>#NAME?</v>
      </c>
      <c r="I162" s="8" t="e">
        <f t="shared" ca="1" si="24"/>
        <v>#NAME?</v>
      </c>
      <c r="J162" s="6" t="e">
        <f ca="1">_xll.xlqxhSMA($C162,$L$4,$J$7,$K$3)</f>
        <v>#NAME?</v>
      </c>
      <c r="K162" s="7" t="e">
        <f ca="1">_xll.xlqhClose($C162,K$8,$K$3)</f>
        <v>#NAME?</v>
      </c>
      <c r="L162" s="7" t="e">
        <f ca="1">_xll.xlqhClose($C162,L$8,$K$3)</f>
        <v>#NAME?</v>
      </c>
      <c r="N162" s="9" t="e">
        <f t="shared" ca="1" si="25"/>
        <v>#NAME?</v>
      </c>
      <c r="O162" s="9" t="e">
        <f t="shared" ca="1" si="26"/>
        <v>#NAME?</v>
      </c>
      <c r="P162" s="9" t="e">
        <f t="shared" ca="1" si="27"/>
        <v>#NAME?</v>
      </c>
      <c r="Q162" s="9" t="e">
        <f t="shared" ca="1" si="28"/>
        <v>#NAME?</v>
      </c>
      <c r="R162" s="9" t="e">
        <f t="shared" ca="1" si="29"/>
        <v>#NAME?</v>
      </c>
    </row>
    <row r="163" spans="1:18" x14ac:dyDescent="0.25">
      <c r="A163" s="18"/>
      <c r="B163" s="19" t="s">
        <v>470</v>
      </c>
      <c r="C163" s="5" t="s">
        <v>471</v>
      </c>
      <c r="D163" s="7" t="e">
        <f ca="1">_xll.xlqPrice(C163)</f>
        <v>#NAME?</v>
      </c>
      <c r="E163" s="9" t="e">
        <f t="shared" ca="1" si="20"/>
        <v>#NAME?</v>
      </c>
      <c r="F163" s="9" t="e">
        <f t="shared" ca="1" si="21"/>
        <v>#NAME?</v>
      </c>
      <c r="G163" s="8" t="e">
        <f t="shared" ca="1" si="22"/>
        <v>#NAME?</v>
      </c>
      <c r="H163" s="8" t="e">
        <f t="shared" ca="1" si="23"/>
        <v>#NAME?</v>
      </c>
      <c r="I163" s="8" t="e">
        <f t="shared" ca="1" si="24"/>
        <v>#NAME?</v>
      </c>
      <c r="J163" s="6" t="e">
        <f ca="1">_xll.xlqxhSMA($C163,$L$4,$J$7,$K$3)</f>
        <v>#NAME?</v>
      </c>
      <c r="K163" s="7" t="e">
        <f ca="1">_xll.xlqhClose($C163,K$8,$K$3)</f>
        <v>#NAME?</v>
      </c>
      <c r="L163" s="7" t="e">
        <f ca="1">_xll.xlqhClose($C163,L$8,$K$3)</f>
        <v>#NAME?</v>
      </c>
      <c r="N163" s="9" t="e">
        <f t="shared" ca="1" si="25"/>
        <v>#NAME?</v>
      </c>
      <c r="O163" s="9" t="e">
        <f t="shared" ca="1" si="26"/>
        <v>#NAME?</v>
      </c>
      <c r="P163" s="9" t="e">
        <f t="shared" ca="1" si="27"/>
        <v>#NAME?</v>
      </c>
      <c r="Q163" s="9" t="e">
        <f t="shared" ca="1" si="28"/>
        <v>#NAME?</v>
      </c>
      <c r="R163" s="9" t="e">
        <f t="shared" ca="1" si="29"/>
        <v>#NAME?</v>
      </c>
    </row>
    <row r="164" spans="1:18" x14ac:dyDescent="0.25">
      <c r="A164" s="18"/>
      <c r="B164" s="19" t="s">
        <v>154</v>
      </c>
      <c r="C164" s="5" t="s">
        <v>155</v>
      </c>
      <c r="D164" s="7" t="e">
        <f ca="1">_xll.xlqPrice(C164)</f>
        <v>#NAME?</v>
      </c>
      <c r="E164" s="9" t="e">
        <f t="shared" ca="1" si="20"/>
        <v>#NAME?</v>
      </c>
      <c r="F164" s="9" t="e">
        <f t="shared" ca="1" si="21"/>
        <v>#NAME?</v>
      </c>
      <c r="G164" s="8" t="e">
        <f t="shared" ca="1" si="22"/>
        <v>#NAME?</v>
      </c>
      <c r="H164" s="8" t="e">
        <f t="shared" ca="1" si="23"/>
        <v>#NAME?</v>
      </c>
      <c r="I164" s="8" t="e">
        <f t="shared" ca="1" si="24"/>
        <v>#NAME?</v>
      </c>
      <c r="J164" s="6" t="e">
        <f ca="1">_xll.xlqxhSMA($C164,$L$4,$J$7,$K$3)</f>
        <v>#NAME?</v>
      </c>
      <c r="K164" s="7" t="e">
        <f ca="1">_xll.xlqhClose($C164,K$8,$K$3)</f>
        <v>#NAME?</v>
      </c>
      <c r="L164" s="7" t="e">
        <f ca="1">_xll.xlqhClose($C164,L$8,$K$3)</f>
        <v>#NAME?</v>
      </c>
      <c r="N164" s="9" t="e">
        <f t="shared" ca="1" si="25"/>
        <v>#NAME?</v>
      </c>
      <c r="O164" s="9" t="e">
        <f t="shared" ca="1" si="26"/>
        <v>#NAME?</v>
      </c>
      <c r="P164" s="9" t="e">
        <f t="shared" ca="1" si="27"/>
        <v>#NAME?</v>
      </c>
      <c r="Q164" s="9" t="e">
        <f t="shared" ca="1" si="28"/>
        <v>#NAME?</v>
      </c>
      <c r="R164" s="9" t="e">
        <f t="shared" ca="1" si="29"/>
        <v>#NAME?</v>
      </c>
    </row>
    <row r="165" spans="1:18" x14ac:dyDescent="0.25">
      <c r="A165" s="18"/>
      <c r="B165" s="19" t="s">
        <v>390</v>
      </c>
      <c r="C165" s="5" t="s">
        <v>391</v>
      </c>
      <c r="D165" s="7" t="e">
        <f ca="1">_xll.xlqPrice(C165)</f>
        <v>#NAME?</v>
      </c>
      <c r="E165" s="9" t="e">
        <f t="shared" ca="1" si="20"/>
        <v>#NAME?</v>
      </c>
      <c r="F165" s="9" t="e">
        <f t="shared" ca="1" si="21"/>
        <v>#NAME?</v>
      </c>
      <c r="G165" s="8" t="e">
        <f t="shared" ca="1" si="22"/>
        <v>#NAME?</v>
      </c>
      <c r="H165" s="8" t="e">
        <f t="shared" ca="1" si="23"/>
        <v>#NAME?</v>
      </c>
      <c r="I165" s="8" t="e">
        <f t="shared" ca="1" si="24"/>
        <v>#NAME?</v>
      </c>
      <c r="J165" s="6" t="e">
        <f ca="1">_xll.xlqxhSMA($C165,$L$4,$J$7,$K$3)</f>
        <v>#NAME?</v>
      </c>
      <c r="K165" s="7" t="e">
        <f ca="1">_xll.xlqhClose($C165,K$8,$K$3)</f>
        <v>#NAME?</v>
      </c>
      <c r="L165" s="7" t="e">
        <f ca="1">_xll.xlqhClose($C165,L$8,$K$3)</f>
        <v>#NAME?</v>
      </c>
      <c r="N165" s="9" t="e">
        <f t="shared" ca="1" si="25"/>
        <v>#NAME?</v>
      </c>
      <c r="O165" s="9" t="e">
        <f t="shared" ca="1" si="26"/>
        <v>#NAME?</v>
      </c>
      <c r="P165" s="9" t="e">
        <f t="shared" ca="1" si="27"/>
        <v>#NAME?</v>
      </c>
      <c r="Q165" s="9" t="e">
        <f t="shared" ca="1" si="28"/>
        <v>#NAME?</v>
      </c>
      <c r="R165" s="9" t="e">
        <f t="shared" ca="1" si="29"/>
        <v>#NAME?</v>
      </c>
    </row>
    <row r="166" spans="1:18" x14ac:dyDescent="0.25">
      <c r="A166" s="18"/>
      <c r="B166" s="19" t="s">
        <v>428</v>
      </c>
      <c r="C166" s="5" t="s">
        <v>429</v>
      </c>
      <c r="D166" s="7" t="e">
        <f ca="1">_xll.xlqPrice(C166)</f>
        <v>#NAME?</v>
      </c>
      <c r="E166" s="9" t="e">
        <f t="shared" ca="1" si="20"/>
        <v>#NAME?</v>
      </c>
      <c r="F166" s="9" t="e">
        <f t="shared" ca="1" si="21"/>
        <v>#NAME?</v>
      </c>
      <c r="G166" s="8" t="e">
        <f t="shared" ca="1" si="22"/>
        <v>#NAME?</v>
      </c>
      <c r="H166" s="8" t="e">
        <f t="shared" ca="1" si="23"/>
        <v>#NAME?</v>
      </c>
      <c r="I166" s="8" t="e">
        <f t="shared" ca="1" si="24"/>
        <v>#NAME?</v>
      </c>
      <c r="J166" s="6" t="e">
        <f ca="1">_xll.xlqxhSMA($C166,$L$4,$J$7,$K$3)</f>
        <v>#NAME?</v>
      </c>
      <c r="K166" s="7" t="e">
        <f ca="1">_xll.xlqhClose($C166,K$8,$K$3)</f>
        <v>#NAME?</v>
      </c>
      <c r="L166" s="7" t="e">
        <f ca="1">_xll.xlqhClose($C166,L$8,$K$3)</f>
        <v>#NAME?</v>
      </c>
      <c r="N166" s="9" t="e">
        <f t="shared" ca="1" si="25"/>
        <v>#NAME?</v>
      </c>
      <c r="O166" s="9" t="e">
        <f t="shared" ca="1" si="26"/>
        <v>#NAME?</v>
      </c>
      <c r="P166" s="9" t="e">
        <f t="shared" ca="1" si="27"/>
        <v>#NAME?</v>
      </c>
      <c r="Q166" s="9" t="e">
        <f t="shared" ca="1" si="28"/>
        <v>#NAME?</v>
      </c>
      <c r="R166" s="9" t="e">
        <f t="shared" ca="1" si="29"/>
        <v>#NAME?</v>
      </c>
    </row>
    <row r="167" spans="1:18" x14ac:dyDescent="0.25">
      <c r="A167" s="18"/>
      <c r="B167" s="19" t="s">
        <v>466</v>
      </c>
      <c r="C167" s="5" t="s">
        <v>467</v>
      </c>
      <c r="D167" s="7" t="e">
        <f ca="1">_xll.xlqPrice(C167)</f>
        <v>#NAME?</v>
      </c>
      <c r="E167" s="9" t="e">
        <f t="shared" ca="1" si="20"/>
        <v>#NAME?</v>
      </c>
      <c r="F167" s="9" t="e">
        <f t="shared" ca="1" si="21"/>
        <v>#NAME?</v>
      </c>
      <c r="G167" s="8" t="e">
        <f t="shared" ca="1" si="22"/>
        <v>#NAME?</v>
      </c>
      <c r="H167" s="8" t="e">
        <f t="shared" ca="1" si="23"/>
        <v>#NAME?</v>
      </c>
      <c r="I167" s="8" t="e">
        <f t="shared" ca="1" si="24"/>
        <v>#NAME?</v>
      </c>
      <c r="J167" s="6" t="e">
        <f ca="1">_xll.xlqxhSMA($C167,$L$4,$J$7,$K$3)</f>
        <v>#NAME?</v>
      </c>
      <c r="K167" s="7" t="e">
        <f ca="1">_xll.xlqhClose($C167,K$8,$K$3)</f>
        <v>#NAME?</v>
      </c>
      <c r="L167" s="7" t="e">
        <f ca="1">_xll.xlqhClose($C167,L$8,$K$3)</f>
        <v>#NAME?</v>
      </c>
      <c r="N167" s="9" t="e">
        <f t="shared" ca="1" si="25"/>
        <v>#NAME?</v>
      </c>
      <c r="O167" s="9" t="e">
        <f t="shared" ca="1" si="26"/>
        <v>#NAME?</v>
      </c>
      <c r="P167" s="9" t="e">
        <f t="shared" ca="1" si="27"/>
        <v>#NAME?</v>
      </c>
      <c r="Q167" s="9" t="e">
        <f t="shared" ca="1" si="28"/>
        <v>#NAME?</v>
      </c>
      <c r="R167" s="9" t="e">
        <f t="shared" ca="1" si="29"/>
        <v>#NAME?</v>
      </c>
    </row>
    <row r="168" spans="1:18" x14ac:dyDescent="0.25">
      <c r="A168" s="18"/>
      <c r="B168" s="19" t="s">
        <v>366</v>
      </c>
      <c r="C168" s="5" t="s">
        <v>367</v>
      </c>
      <c r="D168" s="7" t="e">
        <f ca="1">_xll.xlqPrice(C168)</f>
        <v>#NAME?</v>
      </c>
      <c r="E168" s="9" t="e">
        <f t="shared" ca="1" si="20"/>
        <v>#NAME?</v>
      </c>
      <c r="F168" s="9" t="e">
        <f t="shared" ca="1" si="21"/>
        <v>#NAME?</v>
      </c>
      <c r="G168" s="8" t="e">
        <f t="shared" ca="1" si="22"/>
        <v>#NAME?</v>
      </c>
      <c r="H168" s="8" t="e">
        <f t="shared" ca="1" si="23"/>
        <v>#NAME?</v>
      </c>
      <c r="I168" s="8" t="e">
        <f t="shared" ca="1" si="24"/>
        <v>#NAME?</v>
      </c>
      <c r="J168" s="6" t="e">
        <f ca="1">_xll.xlqxhSMA($C168,$L$4,$J$7,$K$3)</f>
        <v>#NAME?</v>
      </c>
      <c r="K168" s="7" t="e">
        <f ca="1">_xll.xlqhClose($C168,K$8,$K$3)</f>
        <v>#NAME?</v>
      </c>
      <c r="L168" s="7" t="e">
        <f ca="1">_xll.xlqhClose($C168,L$8,$K$3)</f>
        <v>#NAME?</v>
      </c>
      <c r="N168" s="9" t="e">
        <f t="shared" ca="1" si="25"/>
        <v>#NAME?</v>
      </c>
      <c r="O168" s="9" t="e">
        <f t="shared" ca="1" si="26"/>
        <v>#NAME?</v>
      </c>
      <c r="P168" s="9" t="e">
        <f t="shared" ca="1" si="27"/>
        <v>#NAME?</v>
      </c>
      <c r="Q168" s="9" t="e">
        <f t="shared" ca="1" si="28"/>
        <v>#NAME?</v>
      </c>
      <c r="R168" s="9" t="e">
        <f t="shared" ca="1" si="29"/>
        <v>#NAME?</v>
      </c>
    </row>
    <row r="169" spans="1:18" x14ac:dyDescent="0.25">
      <c r="A169" s="18"/>
      <c r="B169" s="19" t="s">
        <v>378</v>
      </c>
      <c r="C169" s="5" t="s">
        <v>379</v>
      </c>
      <c r="D169" s="7" t="e">
        <f ca="1">_xll.xlqPrice(C169)</f>
        <v>#NAME?</v>
      </c>
      <c r="E169" s="9" t="e">
        <f t="shared" ca="1" si="20"/>
        <v>#NAME?</v>
      </c>
      <c r="F169" s="9" t="e">
        <f t="shared" ca="1" si="21"/>
        <v>#NAME?</v>
      </c>
      <c r="G169" s="8" t="e">
        <f t="shared" ca="1" si="22"/>
        <v>#NAME?</v>
      </c>
      <c r="H169" s="8" t="e">
        <f t="shared" ca="1" si="23"/>
        <v>#NAME?</v>
      </c>
      <c r="I169" s="8" t="e">
        <f t="shared" ca="1" si="24"/>
        <v>#NAME?</v>
      </c>
      <c r="J169" s="6" t="e">
        <f ca="1">_xll.xlqxhSMA($C169,$L$4,$J$7,$K$3)</f>
        <v>#NAME?</v>
      </c>
      <c r="K169" s="7" t="e">
        <f ca="1">_xll.xlqhClose($C169,K$8,$K$3)</f>
        <v>#NAME?</v>
      </c>
      <c r="L169" s="7" t="e">
        <f ca="1">_xll.xlqhClose($C169,L$8,$K$3)</f>
        <v>#NAME?</v>
      </c>
      <c r="N169" s="9" t="e">
        <f t="shared" ca="1" si="25"/>
        <v>#NAME?</v>
      </c>
      <c r="O169" s="9" t="e">
        <f t="shared" ca="1" si="26"/>
        <v>#NAME?</v>
      </c>
      <c r="P169" s="9" t="e">
        <f t="shared" ca="1" si="27"/>
        <v>#NAME?</v>
      </c>
      <c r="Q169" s="9" t="e">
        <f t="shared" ca="1" si="28"/>
        <v>#NAME?</v>
      </c>
      <c r="R169" s="9" t="e">
        <f t="shared" ca="1" si="29"/>
        <v>#NAME?</v>
      </c>
    </row>
    <row r="170" spans="1:18" x14ac:dyDescent="0.25">
      <c r="A170" s="18"/>
      <c r="B170" s="19" t="s">
        <v>178</v>
      </c>
      <c r="C170" s="5" t="s">
        <v>179</v>
      </c>
      <c r="D170" s="7" t="e">
        <f ca="1">_xll.xlqPrice(C170)</f>
        <v>#NAME?</v>
      </c>
      <c r="E170" s="9" t="e">
        <f t="shared" ca="1" si="20"/>
        <v>#NAME?</v>
      </c>
      <c r="F170" s="9" t="e">
        <f t="shared" ca="1" si="21"/>
        <v>#NAME?</v>
      </c>
      <c r="G170" s="8" t="e">
        <f t="shared" ca="1" si="22"/>
        <v>#NAME?</v>
      </c>
      <c r="H170" s="8" t="e">
        <f t="shared" ca="1" si="23"/>
        <v>#NAME?</v>
      </c>
      <c r="I170" s="8" t="e">
        <f t="shared" ca="1" si="24"/>
        <v>#NAME?</v>
      </c>
      <c r="J170" s="6" t="e">
        <f ca="1">_xll.xlqxhSMA($C170,$L$4,$J$7,$K$3)</f>
        <v>#NAME?</v>
      </c>
      <c r="K170" s="7" t="e">
        <f ca="1">_xll.xlqhClose($C170,K$8,$K$3)</f>
        <v>#NAME?</v>
      </c>
      <c r="L170" s="7" t="e">
        <f ca="1">_xll.xlqhClose($C170,L$8,$K$3)</f>
        <v>#NAME?</v>
      </c>
      <c r="N170" s="9" t="e">
        <f t="shared" ca="1" si="25"/>
        <v>#NAME?</v>
      </c>
      <c r="O170" s="9" t="e">
        <f t="shared" ca="1" si="26"/>
        <v>#NAME?</v>
      </c>
      <c r="P170" s="9" t="e">
        <f t="shared" ca="1" si="27"/>
        <v>#NAME?</v>
      </c>
      <c r="Q170" s="9" t="e">
        <f t="shared" ca="1" si="28"/>
        <v>#NAME?</v>
      </c>
      <c r="R170" s="9" t="e">
        <f t="shared" ca="1" si="29"/>
        <v>#NAME?</v>
      </c>
    </row>
    <row r="171" spans="1:18" x14ac:dyDescent="0.25">
      <c r="A171" s="18"/>
      <c r="B171" s="19" t="s">
        <v>328</v>
      </c>
      <c r="C171" s="5" t="s">
        <v>329</v>
      </c>
      <c r="D171" s="7" t="e">
        <f ca="1">_xll.xlqPrice(C171)</f>
        <v>#NAME?</v>
      </c>
      <c r="E171" s="9" t="e">
        <f t="shared" ca="1" si="20"/>
        <v>#NAME?</v>
      </c>
      <c r="F171" s="9" t="e">
        <f t="shared" ca="1" si="21"/>
        <v>#NAME?</v>
      </c>
      <c r="G171" s="8" t="e">
        <f t="shared" ca="1" si="22"/>
        <v>#NAME?</v>
      </c>
      <c r="H171" s="8" t="e">
        <f t="shared" ca="1" si="23"/>
        <v>#NAME?</v>
      </c>
      <c r="I171" s="8" t="e">
        <f t="shared" ca="1" si="24"/>
        <v>#NAME?</v>
      </c>
      <c r="J171" s="6" t="e">
        <f ca="1">_xll.xlqxhSMA($C171,$L$4,$J$7,$K$3)</f>
        <v>#NAME?</v>
      </c>
      <c r="K171" s="7" t="e">
        <f ca="1">_xll.xlqhClose($C171,K$8,$K$3)</f>
        <v>#NAME?</v>
      </c>
      <c r="L171" s="7" t="e">
        <f ca="1">_xll.xlqhClose($C171,L$8,$K$3)</f>
        <v>#NAME?</v>
      </c>
      <c r="N171" s="9" t="e">
        <f t="shared" ca="1" si="25"/>
        <v>#NAME?</v>
      </c>
      <c r="O171" s="9" t="e">
        <f t="shared" ca="1" si="26"/>
        <v>#NAME?</v>
      </c>
      <c r="P171" s="9" t="e">
        <f t="shared" ca="1" si="27"/>
        <v>#NAME?</v>
      </c>
      <c r="Q171" s="9" t="e">
        <f t="shared" ca="1" si="28"/>
        <v>#NAME?</v>
      </c>
      <c r="R171" s="9" t="e">
        <f t="shared" ca="1" si="29"/>
        <v>#NAME?</v>
      </c>
    </row>
    <row r="172" spans="1:18" x14ac:dyDescent="0.25">
      <c r="A172" s="18"/>
      <c r="B172" s="19" t="s">
        <v>45</v>
      </c>
      <c r="C172" s="5" t="s">
        <v>20</v>
      </c>
      <c r="D172" s="7" t="e">
        <f ca="1">_xll.xlqPrice(C172)</f>
        <v>#NAME?</v>
      </c>
      <c r="E172" s="9" t="e">
        <f t="shared" ca="1" si="20"/>
        <v>#NAME?</v>
      </c>
      <c r="F172" s="9" t="e">
        <f t="shared" ca="1" si="21"/>
        <v>#NAME?</v>
      </c>
      <c r="G172" s="8" t="e">
        <f t="shared" ca="1" si="22"/>
        <v>#NAME?</v>
      </c>
      <c r="H172" s="8" t="e">
        <f t="shared" ca="1" si="23"/>
        <v>#NAME?</v>
      </c>
      <c r="I172" s="8" t="e">
        <f t="shared" ca="1" si="24"/>
        <v>#NAME?</v>
      </c>
      <c r="J172" s="6" t="e">
        <f ca="1">_xll.xlqxhSMA($C172,$L$4,$J$7,$K$3)</f>
        <v>#NAME?</v>
      </c>
      <c r="K172" s="7" t="e">
        <f ca="1">_xll.xlqhClose($C172,K$8,$K$3)</f>
        <v>#NAME?</v>
      </c>
      <c r="L172" s="7" t="e">
        <f ca="1">_xll.xlqhClose($C172,L$8,$K$3)</f>
        <v>#NAME?</v>
      </c>
      <c r="N172" s="9" t="e">
        <f t="shared" ca="1" si="25"/>
        <v>#NAME?</v>
      </c>
      <c r="O172" s="9" t="e">
        <f t="shared" ca="1" si="26"/>
        <v>#NAME?</v>
      </c>
      <c r="P172" s="9" t="e">
        <f t="shared" ca="1" si="27"/>
        <v>#NAME?</v>
      </c>
      <c r="Q172" s="9" t="e">
        <f t="shared" ca="1" si="28"/>
        <v>#NAME?</v>
      </c>
      <c r="R172" s="9" t="e">
        <f t="shared" ca="1" si="29"/>
        <v>#NAME?</v>
      </c>
    </row>
    <row r="173" spans="1:18" x14ac:dyDescent="0.25">
      <c r="A173" s="18"/>
      <c r="B173" s="19" t="s">
        <v>276</v>
      </c>
      <c r="C173" s="5" t="s">
        <v>277</v>
      </c>
      <c r="D173" s="7" t="e">
        <f ca="1">_xll.xlqPrice(C173)</f>
        <v>#NAME?</v>
      </c>
      <c r="E173" s="9" t="e">
        <f t="shared" ca="1" si="20"/>
        <v>#NAME?</v>
      </c>
      <c r="F173" s="9" t="e">
        <f t="shared" ca="1" si="21"/>
        <v>#NAME?</v>
      </c>
      <c r="G173" s="8" t="e">
        <f t="shared" ca="1" si="22"/>
        <v>#NAME?</v>
      </c>
      <c r="H173" s="8" t="e">
        <f t="shared" ca="1" si="23"/>
        <v>#NAME?</v>
      </c>
      <c r="I173" s="8" t="e">
        <f t="shared" ca="1" si="24"/>
        <v>#NAME?</v>
      </c>
      <c r="J173" s="6" t="e">
        <f ca="1">_xll.xlqxhSMA($C173,$L$4,$J$7,$K$3)</f>
        <v>#NAME?</v>
      </c>
      <c r="K173" s="7" t="e">
        <f ca="1">_xll.xlqhClose($C173,K$8,$K$3)</f>
        <v>#NAME?</v>
      </c>
      <c r="L173" s="7" t="e">
        <f ca="1">_xll.xlqhClose($C173,L$8,$K$3)</f>
        <v>#NAME?</v>
      </c>
      <c r="N173" s="9" t="e">
        <f t="shared" ca="1" si="25"/>
        <v>#NAME?</v>
      </c>
      <c r="O173" s="9" t="e">
        <f t="shared" ca="1" si="26"/>
        <v>#NAME?</v>
      </c>
      <c r="P173" s="9" t="e">
        <f t="shared" ca="1" si="27"/>
        <v>#NAME?</v>
      </c>
      <c r="Q173" s="9" t="e">
        <f t="shared" ca="1" si="28"/>
        <v>#NAME?</v>
      </c>
      <c r="R173" s="9" t="e">
        <f t="shared" ca="1" si="29"/>
        <v>#NAME?</v>
      </c>
    </row>
    <row r="174" spans="1:18" x14ac:dyDescent="0.25">
      <c r="A174" s="18"/>
      <c r="B174" s="19" t="s">
        <v>246</v>
      </c>
      <c r="C174" s="5" t="s">
        <v>247</v>
      </c>
      <c r="D174" s="7" t="e">
        <f ca="1">_xll.xlqPrice(C174)</f>
        <v>#NAME?</v>
      </c>
      <c r="E174" s="9" t="e">
        <f t="shared" ca="1" si="20"/>
        <v>#NAME?</v>
      </c>
      <c r="F174" s="9" t="e">
        <f t="shared" ca="1" si="21"/>
        <v>#NAME?</v>
      </c>
      <c r="G174" s="8" t="e">
        <f t="shared" ca="1" si="22"/>
        <v>#NAME?</v>
      </c>
      <c r="H174" s="8" t="e">
        <f t="shared" ca="1" si="23"/>
        <v>#NAME?</v>
      </c>
      <c r="I174" s="8" t="e">
        <f t="shared" ca="1" si="24"/>
        <v>#NAME?</v>
      </c>
      <c r="J174" s="6" t="e">
        <f ca="1">_xll.xlqxhSMA($C174,$L$4,$J$7,$K$3)</f>
        <v>#NAME?</v>
      </c>
      <c r="K174" s="7" t="e">
        <f ca="1">_xll.xlqhClose($C174,K$8,$K$3)</f>
        <v>#NAME?</v>
      </c>
      <c r="L174" s="7" t="e">
        <f ca="1">_xll.xlqhClose($C174,L$8,$K$3)</f>
        <v>#NAME?</v>
      </c>
      <c r="N174" s="9" t="e">
        <f t="shared" ca="1" si="25"/>
        <v>#NAME?</v>
      </c>
      <c r="O174" s="9" t="e">
        <f t="shared" ca="1" si="26"/>
        <v>#NAME?</v>
      </c>
      <c r="P174" s="9" t="e">
        <f t="shared" ca="1" si="27"/>
        <v>#NAME?</v>
      </c>
      <c r="Q174" s="9" t="e">
        <f t="shared" ca="1" si="28"/>
        <v>#NAME?</v>
      </c>
      <c r="R174" s="9" t="e">
        <f t="shared" ca="1" si="29"/>
        <v>#NAME?</v>
      </c>
    </row>
    <row r="175" spans="1:18" x14ac:dyDescent="0.25">
      <c r="A175" s="18"/>
      <c r="B175" s="19" t="s">
        <v>278</v>
      </c>
      <c r="C175" s="5" t="s">
        <v>279</v>
      </c>
      <c r="D175" s="7" t="e">
        <f ca="1">_xll.xlqPrice(C175)</f>
        <v>#NAME?</v>
      </c>
      <c r="E175" s="9" t="e">
        <f t="shared" ca="1" si="20"/>
        <v>#NAME?</v>
      </c>
      <c r="F175" s="9" t="e">
        <f t="shared" ca="1" si="21"/>
        <v>#NAME?</v>
      </c>
      <c r="G175" s="8" t="e">
        <f t="shared" ca="1" si="22"/>
        <v>#NAME?</v>
      </c>
      <c r="H175" s="8" t="e">
        <f t="shared" ca="1" si="23"/>
        <v>#NAME?</v>
      </c>
      <c r="I175" s="8" t="e">
        <f t="shared" ca="1" si="24"/>
        <v>#NAME?</v>
      </c>
      <c r="J175" s="6" t="e">
        <f ca="1">_xll.xlqxhSMA($C175,$L$4,$J$7,$K$3)</f>
        <v>#NAME?</v>
      </c>
      <c r="K175" s="7" t="e">
        <f ca="1">_xll.xlqhClose($C175,K$8,$K$3)</f>
        <v>#NAME?</v>
      </c>
      <c r="L175" s="7" t="e">
        <f ca="1">_xll.xlqhClose($C175,L$8,$K$3)</f>
        <v>#NAME?</v>
      </c>
      <c r="N175" s="9" t="e">
        <f t="shared" ca="1" si="25"/>
        <v>#NAME?</v>
      </c>
      <c r="O175" s="9" t="e">
        <f t="shared" ca="1" si="26"/>
        <v>#NAME?</v>
      </c>
      <c r="P175" s="9" t="e">
        <f t="shared" ca="1" si="27"/>
        <v>#NAME?</v>
      </c>
      <c r="Q175" s="9" t="e">
        <f t="shared" ca="1" si="28"/>
        <v>#NAME?</v>
      </c>
      <c r="R175" s="9" t="e">
        <f t="shared" ca="1" si="29"/>
        <v>#NAME?</v>
      </c>
    </row>
    <row r="176" spans="1:18" x14ac:dyDescent="0.25">
      <c r="A176" s="18"/>
      <c r="B176" s="19" t="s">
        <v>396</v>
      </c>
      <c r="C176" s="5" t="s">
        <v>397</v>
      </c>
      <c r="D176" s="7" t="e">
        <f ca="1">_xll.xlqPrice(C176)</f>
        <v>#NAME?</v>
      </c>
      <c r="E176" s="9" t="e">
        <f t="shared" ca="1" si="20"/>
        <v>#NAME?</v>
      </c>
      <c r="F176" s="9" t="e">
        <f t="shared" ca="1" si="21"/>
        <v>#NAME?</v>
      </c>
      <c r="G176" s="8" t="e">
        <f t="shared" ca="1" si="22"/>
        <v>#NAME?</v>
      </c>
      <c r="H176" s="8" t="e">
        <f t="shared" ca="1" si="23"/>
        <v>#NAME?</v>
      </c>
      <c r="I176" s="8" t="e">
        <f t="shared" ca="1" si="24"/>
        <v>#NAME?</v>
      </c>
      <c r="J176" s="6" t="e">
        <f ca="1">_xll.xlqxhSMA($C176,$L$4,$J$7,$K$3)</f>
        <v>#NAME?</v>
      </c>
      <c r="K176" s="7" t="e">
        <f ca="1">_xll.xlqhClose($C176,K$8,$K$3)</f>
        <v>#NAME?</v>
      </c>
      <c r="L176" s="7" t="e">
        <f ca="1">_xll.xlqhClose($C176,L$8,$K$3)</f>
        <v>#NAME?</v>
      </c>
      <c r="N176" s="9" t="e">
        <f t="shared" ca="1" si="25"/>
        <v>#NAME?</v>
      </c>
      <c r="O176" s="9" t="e">
        <f t="shared" ca="1" si="26"/>
        <v>#NAME?</v>
      </c>
      <c r="P176" s="9" t="e">
        <f t="shared" ca="1" si="27"/>
        <v>#NAME?</v>
      </c>
      <c r="Q176" s="9" t="e">
        <f t="shared" ca="1" si="28"/>
        <v>#NAME?</v>
      </c>
      <c r="R176" s="9" t="e">
        <f t="shared" ca="1" si="29"/>
        <v>#NAME?</v>
      </c>
    </row>
    <row r="177" spans="1:18" x14ac:dyDescent="0.25">
      <c r="A177" s="18"/>
      <c r="B177" s="19" t="s">
        <v>306</v>
      </c>
      <c r="C177" s="5" t="s">
        <v>307</v>
      </c>
      <c r="D177" s="7" t="e">
        <f ca="1">_xll.xlqPrice(C177)</f>
        <v>#NAME?</v>
      </c>
      <c r="E177" s="9" t="e">
        <f t="shared" ca="1" si="20"/>
        <v>#NAME?</v>
      </c>
      <c r="F177" s="9" t="e">
        <f t="shared" ca="1" si="21"/>
        <v>#NAME?</v>
      </c>
      <c r="G177" s="8" t="e">
        <f t="shared" ca="1" si="22"/>
        <v>#NAME?</v>
      </c>
      <c r="H177" s="8" t="e">
        <f t="shared" ca="1" si="23"/>
        <v>#NAME?</v>
      </c>
      <c r="I177" s="8" t="e">
        <f t="shared" ca="1" si="24"/>
        <v>#NAME?</v>
      </c>
      <c r="J177" s="6" t="e">
        <f ca="1">_xll.xlqxhSMA($C177,$L$4,$J$7,$K$3)</f>
        <v>#NAME?</v>
      </c>
      <c r="K177" s="7" t="e">
        <f ca="1">_xll.xlqhClose($C177,K$8,$K$3)</f>
        <v>#NAME?</v>
      </c>
      <c r="L177" s="7" t="e">
        <f ca="1">_xll.xlqhClose($C177,L$8,$K$3)</f>
        <v>#NAME?</v>
      </c>
      <c r="N177" s="9" t="e">
        <f t="shared" ca="1" si="25"/>
        <v>#NAME?</v>
      </c>
      <c r="O177" s="9" t="e">
        <f t="shared" ca="1" si="26"/>
        <v>#NAME?</v>
      </c>
      <c r="P177" s="9" t="e">
        <f t="shared" ca="1" si="27"/>
        <v>#NAME?</v>
      </c>
      <c r="Q177" s="9" t="e">
        <f t="shared" ca="1" si="28"/>
        <v>#NAME?</v>
      </c>
      <c r="R177" s="9" t="e">
        <f t="shared" ca="1" si="29"/>
        <v>#NAME?</v>
      </c>
    </row>
    <row r="178" spans="1:18" x14ac:dyDescent="0.25">
      <c r="A178" s="18"/>
      <c r="B178" s="19" t="s">
        <v>194</v>
      </c>
      <c r="C178" s="5" t="s">
        <v>195</v>
      </c>
      <c r="D178" s="7" t="e">
        <f ca="1">_xll.xlqPrice(C178)</f>
        <v>#NAME?</v>
      </c>
      <c r="E178" s="9" t="e">
        <f t="shared" ca="1" si="20"/>
        <v>#NAME?</v>
      </c>
      <c r="F178" s="9" t="e">
        <f t="shared" ca="1" si="21"/>
        <v>#NAME?</v>
      </c>
      <c r="G178" s="8" t="e">
        <f t="shared" ca="1" si="22"/>
        <v>#NAME?</v>
      </c>
      <c r="H178" s="8" t="e">
        <f t="shared" ca="1" si="23"/>
        <v>#NAME?</v>
      </c>
      <c r="I178" s="8" t="e">
        <f t="shared" ca="1" si="24"/>
        <v>#NAME?</v>
      </c>
      <c r="J178" s="6" t="e">
        <f ca="1">_xll.xlqxhSMA($C178,$L$4,$J$7,$K$3)</f>
        <v>#NAME?</v>
      </c>
      <c r="K178" s="7" t="e">
        <f ca="1">_xll.xlqhClose($C178,K$8,$K$3)</f>
        <v>#NAME?</v>
      </c>
      <c r="L178" s="7" t="e">
        <f ca="1">_xll.xlqhClose($C178,L$8,$K$3)</f>
        <v>#NAME?</v>
      </c>
      <c r="N178" s="9" t="e">
        <f t="shared" ca="1" si="25"/>
        <v>#NAME?</v>
      </c>
      <c r="O178" s="9" t="e">
        <f t="shared" ca="1" si="26"/>
        <v>#NAME?</v>
      </c>
      <c r="P178" s="9" t="e">
        <f t="shared" ca="1" si="27"/>
        <v>#NAME?</v>
      </c>
      <c r="Q178" s="9" t="e">
        <f t="shared" ca="1" si="28"/>
        <v>#NAME?</v>
      </c>
      <c r="R178" s="9" t="e">
        <f t="shared" ca="1" si="29"/>
        <v>#NAME?</v>
      </c>
    </row>
    <row r="179" spans="1:18" x14ac:dyDescent="0.25">
      <c r="A179" s="18"/>
      <c r="B179" s="19" t="s">
        <v>166</v>
      </c>
      <c r="C179" s="5" t="s">
        <v>167</v>
      </c>
      <c r="D179" s="7" t="e">
        <f ca="1">_xll.xlqPrice(C179)</f>
        <v>#NAME?</v>
      </c>
      <c r="E179" s="9" t="e">
        <f t="shared" ca="1" si="20"/>
        <v>#NAME?</v>
      </c>
      <c r="F179" s="9" t="e">
        <f t="shared" ca="1" si="21"/>
        <v>#NAME?</v>
      </c>
      <c r="G179" s="8" t="e">
        <f t="shared" ca="1" si="22"/>
        <v>#NAME?</v>
      </c>
      <c r="H179" s="8" t="e">
        <f t="shared" ca="1" si="23"/>
        <v>#NAME?</v>
      </c>
      <c r="I179" s="8" t="e">
        <f t="shared" ca="1" si="24"/>
        <v>#NAME?</v>
      </c>
      <c r="J179" s="6" t="e">
        <f ca="1">_xll.xlqxhSMA($C179,$L$4,$J$7,$K$3)</f>
        <v>#NAME?</v>
      </c>
      <c r="K179" s="7" t="e">
        <f ca="1">_xll.xlqhClose($C179,K$8,$K$3)</f>
        <v>#NAME?</v>
      </c>
      <c r="L179" s="7" t="e">
        <f ca="1">_xll.xlqhClose($C179,L$8,$K$3)</f>
        <v>#NAME?</v>
      </c>
      <c r="N179" s="9" t="e">
        <f t="shared" ca="1" si="25"/>
        <v>#NAME?</v>
      </c>
      <c r="O179" s="9" t="e">
        <f t="shared" ca="1" si="26"/>
        <v>#NAME?</v>
      </c>
      <c r="P179" s="9" t="e">
        <f t="shared" ca="1" si="27"/>
        <v>#NAME?</v>
      </c>
      <c r="Q179" s="9" t="e">
        <f t="shared" ca="1" si="28"/>
        <v>#NAME?</v>
      </c>
      <c r="R179" s="9" t="e">
        <f t="shared" ca="1" si="29"/>
        <v>#NAME?</v>
      </c>
    </row>
    <row r="180" spans="1:18" x14ac:dyDescent="0.25">
      <c r="A180" s="18"/>
      <c r="B180" s="19" t="s">
        <v>51</v>
      </c>
      <c r="C180" s="5" t="s">
        <v>52</v>
      </c>
      <c r="D180" s="7" t="e">
        <f ca="1">_xll.xlqPrice(C180)</f>
        <v>#NAME?</v>
      </c>
      <c r="E180" s="9" t="e">
        <f t="shared" ca="1" si="20"/>
        <v>#NAME?</v>
      </c>
      <c r="F180" s="9" t="e">
        <f t="shared" ca="1" si="21"/>
        <v>#NAME?</v>
      </c>
      <c r="G180" s="8" t="e">
        <f t="shared" ca="1" si="22"/>
        <v>#NAME?</v>
      </c>
      <c r="H180" s="8" t="e">
        <f t="shared" ca="1" si="23"/>
        <v>#NAME?</v>
      </c>
      <c r="I180" s="8" t="e">
        <f t="shared" ca="1" si="24"/>
        <v>#NAME?</v>
      </c>
      <c r="J180" s="6" t="e">
        <f ca="1">_xll.xlqxhSMA($C180,$L$4,$J$7,$K$3)</f>
        <v>#NAME?</v>
      </c>
      <c r="K180" s="7" t="e">
        <f ca="1">_xll.xlqhClose($C180,K$8,$K$3)</f>
        <v>#NAME?</v>
      </c>
      <c r="L180" s="7" t="e">
        <f ca="1">_xll.xlqhClose($C180,L$8,$K$3)</f>
        <v>#NAME?</v>
      </c>
      <c r="N180" s="9" t="e">
        <f t="shared" ca="1" si="25"/>
        <v>#NAME?</v>
      </c>
      <c r="O180" s="9" t="e">
        <f t="shared" ca="1" si="26"/>
        <v>#NAME?</v>
      </c>
      <c r="P180" s="9" t="e">
        <f t="shared" ca="1" si="27"/>
        <v>#NAME?</v>
      </c>
      <c r="Q180" s="9" t="e">
        <f t="shared" ca="1" si="28"/>
        <v>#NAME?</v>
      </c>
      <c r="R180" s="9" t="e">
        <f t="shared" ca="1" si="29"/>
        <v>#NAME?</v>
      </c>
    </row>
    <row r="181" spans="1:18" x14ac:dyDescent="0.25">
      <c r="A181" s="18"/>
      <c r="B181" s="19" t="s">
        <v>398</v>
      </c>
      <c r="C181" s="5" t="s">
        <v>399</v>
      </c>
      <c r="D181" s="7" t="e">
        <f ca="1">_xll.xlqPrice(C181)</f>
        <v>#NAME?</v>
      </c>
      <c r="E181" s="9" t="e">
        <f t="shared" ca="1" si="20"/>
        <v>#NAME?</v>
      </c>
      <c r="F181" s="9" t="e">
        <f t="shared" ca="1" si="21"/>
        <v>#NAME?</v>
      </c>
      <c r="G181" s="8" t="e">
        <f t="shared" ca="1" si="22"/>
        <v>#NAME?</v>
      </c>
      <c r="H181" s="8" t="e">
        <f t="shared" ca="1" si="23"/>
        <v>#NAME?</v>
      </c>
      <c r="I181" s="8" t="e">
        <f t="shared" ca="1" si="24"/>
        <v>#NAME?</v>
      </c>
      <c r="J181" s="6" t="e">
        <f ca="1">_xll.xlqxhSMA($C181,$L$4,$J$7,$K$3)</f>
        <v>#NAME?</v>
      </c>
      <c r="K181" s="7" t="e">
        <f ca="1">_xll.xlqhClose($C181,K$8,$K$3)</f>
        <v>#NAME?</v>
      </c>
      <c r="L181" s="7" t="e">
        <f ca="1">_xll.xlqhClose($C181,L$8,$K$3)</f>
        <v>#NAME?</v>
      </c>
      <c r="N181" s="9" t="e">
        <f t="shared" ca="1" si="25"/>
        <v>#NAME?</v>
      </c>
      <c r="O181" s="9" t="e">
        <f t="shared" ca="1" si="26"/>
        <v>#NAME?</v>
      </c>
      <c r="P181" s="9" t="e">
        <f t="shared" ca="1" si="27"/>
        <v>#NAME?</v>
      </c>
      <c r="Q181" s="9" t="e">
        <f t="shared" ca="1" si="28"/>
        <v>#NAME?</v>
      </c>
      <c r="R181" s="9" t="e">
        <f t="shared" ca="1" si="29"/>
        <v>#NAME?</v>
      </c>
    </row>
    <row r="182" spans="1:18" x14ac:dyDescent="0.25">
      <c r="A182" s="18"/>
      <c r="B182" s="19" t="s">
        <v>370</v>
      </c>
      <c r="C182" s="5" t="s">
        <v>371</v>
      </c>
      <c r="D182" s="7" t="e">
        <f ca="1">_xll.xlqPrice(C182)</f>
        <v>#NAME?</v>
      </c>
      <c r="E182" s="9" t="e">
        <f t="shared" ca="1" si="20"/>
        <v>#NAME?</v>
      </c>
      <c r="F182" s="9" t="e">
        <f t="shared" ca="1" si="21"/>
        <v>#NAME?</v>
      </c>
      <c r="G182" s="8" t="e">
        <f t="shared" ca="1" si="22"/>
        <v>#NAME?</v>
      </c>
      <c r="H182" s="8" t="e">
        <f t="shared" ca="1" si="23"/>
        <v>#NAME?</v>
      </c>
      <c r="I182" s="8" t="e">
        <f t="shared" ca="1" si="24"/>
        <v>#NAME?</v>
      </c>
      <c r="J182" s="6" t="e">
        <f ca="1">_xll.xlqxhSMA($C182,$L$4,$J$7,$K$3)</f>
        <v>#NAME?</v>
      </c>
      <c r="K182" s="7" t="e">
        <f ca="1">_xll.xlqhClose($C182,K$8,$K$3)</f>
        <v>#NAME?</v>
      </c>
      <c r="L182" s="7" t="e">
        <f ca="1">_xll.xlqhClose($C182,L$8,$K$3)</f>
        <v>#NAME?</v>
      </c>
      <c r="N182" s="9" t="e">
        <f t="shared" ca="1" si="25"/>
        <v>#NAME?</v>
      </c>
      <c r="O182" s="9" t="e">
        <f t="shared" ca="1" si="26"/>
        <v>#NAME?</v>
      </c>
      <c r="P182" s="9" t="e">
        <f t="shared" ca="1" si="27"/>
        <v>#NAME?</v>
      </c>
      <c r="Q182" s="9" t="e">
        <f t="shared" ca="1" si="28"/>
        <v>#NAME?</v>
      </c>
      <c r="R182" s="9" t="e">
        <f t="shared" ca="1" si="29"/>
        <v>#NAME?</v>
      </c>
    </row>
    <row r="183" spans="1:18" x14ac:dyDescent="0.25">
      <c r="A183" s="18"/>
      <c r="B183" s="19" t="s">
        <v>234</v>
      </c>
      <c r="C183" s="5" t="s">
        <v>235</v>
      </c>
      <c r="D183" s="7" t="e">
        <f ca="1">_xll.xlqPrice(C183)</f>
        <v>#NAME?</v>
      </c>
      <c r="E183" s="9" t="e">
        <f t="shared" ca="1" si="20"/>
        <v>#NAME?</v>
      </c>
      <c r="F183" s="9" t="e">
        <f t="shared" ca="1" si="21"/>
        <v>#NAME?</v>
      </c>
      <c r="G183" s="8" t="e">
        <f t="shared" ca="1" si="22"/>
        <v>#NAME?</v>
      </c>
      <c r="H183" s="8" t="e">
        <f t="shared" ca="1" si="23"/>
        <v>#NAME?</v>
      </c>
      <c r="I183" s="8" t="e">
        <f t="shared" ca="1" si="24"/>
        <v>#NAME?</v>
      </c>
      <c r="J183" s="6" t="e">
        <f ca="1">_xll.xlqxhSMA($C183,$L$4,$J$7,$K$3)</f>
        <v>#NAME?</v>
      </c>
      <c r="K183" s="7" t="e">
        <f ca="1">_xll.xlqhClose($C183,K$8,$K$3)</f>
        <v>#NAME?</v>
      </c>
      <c r="L183" s="7" t="e">
        <f ca="1">_xll.xlqhClose($C183,L$8,$K$3)</f>
        <v>#NAME?</v>
      </c>
      <c r="N183" s="9" t="e">
        <f t="shared" ca="1" si="25"/>
        <v>#NAME?</v>
      </c>
      <c r="O183" s="9" t="e">
        <f t="shared" ca="1" si="26"/>
        <v>#NAME?</v>
      </c>
      <c r="P183" s="9" t="e">
        <f t="shared" ca="1" si="27"/>
        <v>#NAME?</v>
      </c>
      <c r="Q183" s="9" t="e">
        <f t="shared" ca="1" si="28"/>
        <v>#NAME?</v>
      </c>
      <c r="R183" s="9" t="e">
        <f t="shared" ca="1" si="29"/>
        <v>#NAME?</v>
      </c>
    </row>
    <row r="184" spans="1:18" x14ac:dyDescent="0.25">
      <c r="A184" s="18"/>
      <c r="B184" s="19" t="s">
        <v>492</v>
      </c>
      <c r="C184" s="5" t="s">
        <v>493</v>
      </c>
      <c r="D184" s="7" t="e">
        <f ca="1">_xll.xlqPrice(C184)</f>
        <v>#NAME?</v>
      </c>
      <c r="E184" s="9" t="e">
        <f t="shared" ca="1" si="20"/>
        <v>#NAME?</v>
      </c>
      <c r="F184" s="9" t="e">
        <f t="shared" ca="1" si="21"/>
        <v>#NAME?</v>
      </c>
      <c r="G184" s="8" t="e">
        <f t="shared" ca="1" si="22"/>
        <v>#NAME?</v>
      </c>
      <c r="H184" s="8" t="e">
        <f t="shared" ca="1" si="23"/>
        <v>#NAME?</v>
      </c>
      <c r="I184" s="8" t="e">
        <f t="shared" ca="1" si="24"/>
        <v>#NAME?</v>
      </c>
      <c r="J184" s="6" t="e">
        <f ca="1">_xll.xlqxhSMA($C184,$L$4,$J$7,$K$3)</f>
        <v>#NAME?</v>
      </c>
      <c r="K184" s="7" t="e">
        <f ca="1">_xll.xlqhClose($C184,K$8,$K$3)</f>
        <v>#NAME?</v>
      </c>
      <c r="L184" s="7" t="e">
        <f ca="1">_xll.xlqhClose($C184,L$8,$K$3)</f>
        <v>#NAME?</v>
      </c>
      <c r="N184" s="9" t="e">
        <f t="shared" ca="1" si="25"/>
        <v>#NAME?</v>
      </c>
      <c r="O184" s="9" t="e">
        <f t="shared" ca="1" si="26"/>
        <v>#NAME?</v>
      </c>
      <c r="P184" s="9" t="e">
        <f t="shared" ca="1" si="27"/>
        <v>#NAME?</v>
      </c>
      <c r="Q184" s="9" t="e">
        <f t="shared" ca="1" si="28"/>
        <v>#NAME?</v>
      </c>
      <c r="R184" s="9" t="e">
        <f t="shared" ca="1" si="29"/>
        <v>#NAME?</v>
      </c>
    </row>
    <row r="185" spans="1:18" x14ac:dyDescent="0.25">
      <c r="A185" s="18"/>
      <c r="B185" s="19" t="s">
        <v>42</v>
      </c>
      <c r="C185" s="5" t="s">
        <v>19</v>
      </c>
      <c r="D185" s="7" t="e">
        <f ca="1">_xll.xlqPrice(C185)</f>
        <v>#NAME?</v>
      </c>
      <c r="E185" s="9" t="e">
        <f t="shared" ca="1" si="20"/>
        <v>#NAME?</v>
      </c>
      <c r="F185" s="9" t="e">
        <f t="shared" ca="1" si="21"/>
        <v>#NAME?</v>
      </c>
      <c r="G185" s="8" t="e">
        <f t="shared" ca="1" si="22"/>
        <v>#NAME?</v>
      </c>
      <c r="H185" s="8" t="e">
        <f t="shared" ca="1" si="23"/>
        <v>#NAME?</v>
      </c>
      <c r="I185" s="8" t="e">
        <f t="shared" ca="1" si="24"/>
        <v>#NAME?</v>
      </c>
      <c r="J185" s="6" t="e">
        <f ca="1">_xll.xlqxhSMA($C185,$L$4,$J$7,$K$3)</f>
        <v>#NAME?</v>
      </c>
      <c r="K185" s="7" t="e">
        <f ca="1">_xll.xlqhClose($C185,K$8,$K$3)</f>
        <v>#NAME?</v>
      </c>
      <c r="L185" s="7" t="e">
        <f ca="1">_xll.xlqhClose($C185,L$8,$K$3)</f>
        <v>#NAME?</v>
      </c>
      <c r="N185" s="9" t="e">
        <f t="shared" ca="1" si="25"/>
        <v>#NAME?</v>
      </c>
      <c r="O185" s="9" t="e">
        <f t="shared" ca="1" si="26"/>
        <v>#NAME?</v>
      </c>
      <c r="P185" s="9" t="e">
        <f t="shared" ca="1" si="27"/>
        <v>#NAME?</v>
      </c>
      <c r="Q185" s="9" t="e">
        <f t="shared" ca="1" si="28"/>
        <v>#NAME?</v>
      </c>
      <c r="R185" s="9" t="e">
        <f t="shared" ca="1" si="29"/>
        <v>#NAME?</v>
      </c>
    </row>
    <row r="186" spans="1:18" x14ac:dyDescent="0.25">
      <c r="A186" s="18"/>
      <c r="B186" s="19" t="s">
        <v>472</v>
      </c>
      <c r="C186" s="5" t="s">
        <v>473</v>
      </c>
      <c r="D186" s="7" t="e">
        <f ca="1">_xll.xlqPrice(C186)</f>
        <v>#NAME?</v>
      </c>
      <c r="E186" s="9" t="e">
        <f t="shared" ca="1" si="20"/>
        <v>#NAME?</v>
      </c>
      <c r="F186" s="9" t="e">
        <f t="shared" ca="1" si="21"/>
        <v>#NAME?</v>
      </c>
      <c r="G186" s="8" t="e">
        <f t="shared" ca="1" si="22"/>
        <v>#NAME?</v>
      </c>
      <c r="H186" s="8" t="e">
        <f t="shared" ca="1" si="23"/>
        <v>#NAME?</v>
      </c>
      <c r="I186" s="8" t="e">
        <f t="shared" ca="1" si="24"/>
        <v>#NAME?</v>
      </c>
      <c r="J186" s="6" t="e">
        <f ca="1">_xll.xlqxhSMA($C186,$L$4,$J$7,$K$3)</f>
        <v>#NAME?</v>
      </c>
      <c r="K186" s="7" t="e">
        <f ca="1">_xll.xlqhClose($C186,K$8,$K$3)</f>
        <v>#NAME?</v>
      </c>
      <c r="L186" s="7" t="e">
        <f ca="1">_xll.xlqhClose($C186,L$8,$K$3)</f>
        <v>#NAME?</v>
      </c>
      <c r="N186" s="9" t="e">
        <f t="shared" ca="1" si="25"/>
        <v>#NAME?</v>
      </c>
      <c r="O186" s="9" t="e">
        <f t="shared" ca="1" si="26"/>
        <v>#NAME?</v>
      </c>
      <c r="P186" s="9" t="e">
        <f t="shared" ca="1" si="27"/>
        <v>#NAME?</v>
      </c>
      <c r="Q186" s="9" t="e">
        <f t="shared" ca="1" si="28"/>
        <v>#NAME?</v>
      </c>
      <c r="R186" s="9" t="e">
        <f t="shared" ca="1" si="29"/>
        <v>#NAME?</v>
      </c>
    </row>
    <row r="187" spans="1:18" x14ac:dyDescent="0.25">
      <c r="A187" s="18"/>
      <c r="B187" s="19" t="s">
        <v>482</v>
      </c>
      <c r="C187" s="5" t="s">
        <v>483</v>
      </c>
      <c r="D187" s="7" t="e">
        <f ca="1">_xll.xlqPrice(C187)</f>
        <v>#NAME?</v>
      </c>
      <c r="E187" s="9" t="e">
        <f t="shared" ca="1" si="20"/>
        <v>#NAME?</v>
      </c>
      <c r="F187" s="9" t="e">
        <f t="shared" ca="1" si="21"/>
        <v>#NAME?</v>
      </c>
      <c r="G187" s="8" t="e">
        <f t="shared" ca="1" si="22"/>
        <v>#NAME?</v>
      </c>
      <c r="H187" s="8" t="e">
        <f t="shared" ca="1" si="23"/>
        <v>#NAME?</v>
      </c>
      <c r="I187" s="8" t="e">
        <f t="shared" ca="1" si="24"/>
        <v>#NAME?</v>
      </c>
      <c r="J187" s="6" t="e">
        <f ca="1">_xll.xlqxhSMA($C187,$L$4,$J$7,$K$3)</f>
        <v>#NAME?</v>
      </c>
      <c r="K187" s="7" t="e">
        <f ca="1">_xll.xlqhClose($C187,K$8,$K$3)</f>
        <v>#NAME?</v>
      </c>
      <c r="L187" s="7" t="e">
        <f ca="1">_xll.xlqhClose($C187,L$8,$K$3)</f>
        <v>#NAME?</v>
      </c>
      <c r="N187" s="9" t="e">
        <f t="shared" ca="1" si="25"/>
        <v>#NAME?</v>
      </c>
      <c r="O187" s="9" t="e">
        <f t="shared" ca="1" si="26"/>
        <v>#NAME?</v>
      </c>
      <c r="P187" s="9" t="e">
        <f t="shared" ca="1" si="27"/>
        <v>#NAME?</v>
      </c>
      <c r="Q187" s="9" t="e">
        <f t="shared" ca="1" si="28"/>
        <v>#NAME?</v>
      </c>
      <c r="R187" s="9" t="e">
        <f t="shared" ca="1" si="29"/>
        <v>#NAME?</v>
      </c>
    </row>
    <row r="188" spans="1:18" x14ac:dyDescent="0.25">
      <c r="A188" s="18"/>
      <c r="B188" s="19" t="s">
        <v>250</v>
      </c>
      <c r="C188" s="5" t="s">
        <v>251</v>
      </c>
      <c r="D188" s="7" t="e">
        <f ca="1">_xll.xlqPrice(C188)</f>
        <v>#NAME?</v>
      </c>
      <c r="E188" s="9" t="e">
        <f t="shared" ca="1" si="20"/>
        <v>#NAME?</v>
      </c>
      <c r="F188" s="9" t="e">
        <f t="shared" ca="1" si="21"/>
        <v>#NAME?</v>
      </c>
      <c r="G188" s="8" t="e">
        <f t="shared" ca="1" si="22"/>
        <v>#NAME?</v>
      </c>
      <c r="H188" s="8" t="e">
        <f t="shared" ca="1" si="23"/>
        <v>#NAME?</v>
      </c>
      <c r="I188" s="8" t="e">
        <f t="shared" ca="1" si="24"/>
        <v>#NAME?</v>
      </c>
      <c r="J188" s="6" t="e">
        <f ca="1">_xll.xlqxhSMA($C188,$L$4,$J$7,$K$3)</f>
        <v>#NAME?</v>
      </c>
      <c r="K188" s="7" t="e">
        <f ca="1">_xll.xlqhClose($C188,K$8,$K$3)</f>
        <v>#NAME?</v>
      </c>
      <c r="L188" s="7" t="e">
        <f ca="1">_xll.xlqhClose($C188,L$8,$K$3)</f>
        <v>#NAME?</v>
      </c>
      <c r="N188" s="9" t="e">
        <f t="shared" ca="1" si="25"/>
        <v>#NAME?</v>
      </c>
      <c r="O188" s="9" t="e">
        <f t="shared" ca="1" si="26"/>
        <v>#NAME?</v>
      </c>
      <c r="P188" s="9" t="e">
        <f t="shared" ca="1" si="27"/>
        <v>#NAME?</v>
      </c>
      <c r="Q188" s="9" t="e">
        <f t="shared" ca="1" si="28"/>
        <v>#NAME?</v>
      </c>
      <c r="R188" s="9" t="e">
        <f t="shared" ca="1" si="29"/>
        <v>#NAME?</v>
      </c>
    </row>
    <row r="189" spans="1:18" x14ac:dyDescent="0.25">
      <c r="A189" s="18"/>
      <c r="B189" s="19" t="s">
        <v>266</v>
      </c>
      <c r="C189" s="5" t="s">
        <v>267</v>
      </c>
      <c r="D189" s="7" t="e">
        <f ca="1">_xll.xlqPrice(C189)</f>
        <v>#NAME?</v>
      </c>
      <c r="E189" s="9" t="e">
        <f t="shared" ca="1" si="20"/>
        <v>#NAME?</v>
      </c>
      <c r="F189" s="9" t="e">
        <f t="shared" ca="1" si="21"/>
        <v>#NAME?</v>
      </c>
      <c r="G189" s="8" t="e">
        <f t="shared" ca="1" si="22"/>
        <v>#NAME?</v>
      </c>
      <c r="H189" s="8" t="e">
        <f t="shared" ca="1" si="23"/>
        <v>#NAME?</v>
      </c>
      <c r="I189" s="8" t="e">
        <f t="shared" ca="1" si="24"/>
        <v>#NAME?</v>
      </c>
      <c r="J189" s="6" t="e">
        <f ca="1">_xll.xlqxhSMA($C189,$L$4,$J$7,$K$3)</f>
        <v>#NAME?</v>
      </c>
      <c r="K189" s="7" t="e">
        <f ca="1">_xll.xlqhClose($C189,K$8,$K$3)</f>
        <v>#NAME?</v>
      </c>
      <c r="L189" s="7" t="e">
        <f ca="1">_xll.xlqhClose($C189,L$8,$K$3)</f>
        <v>#NAME?</v>
      </c>
      <c r="N189" s="9" t="e">
        <f t="shared" ca="1" si="25"/>
        <v>#NAME?</v>
      </c>
      <c r="O189" s="9" t="e">
        <f t="shared" ca="1" si="26"/>
        <v>#NAME?</v>
      </c>
      <c r="P189" s="9" t="e">
        <f t="shared" ca="1" si="27"/>
        <v>#NAME?</v>
      </c>
      <c r="Q189" s="9" t="e">
        <f t="shared" ca="1" si="28"/>
        <v>#NAME?</v>
      </c>
      <c r="R189" s="9" t="e">
        <f t="shared" ca="1" si="29"/>
        <v>#NAME?</v>
      </c>
    </row>
    <row r="190" spans="1:18" x14ac:dyDescent="0.25">
      <c r="A190" s="18"/>
      <c r="B190" s="19" t="s">
        <v>310</v>
      </c>
      <c r="C190" s="5" t="s">
        <v>311</v>
      </c>
      <c r="D190" s="7" t="e">
        <f ca="1">_xll.xlqPrice(C190)</f>
        <v>#NAME?</v>
      </c>
      <c r="E190" s="9" t="e">
        <f t="shared" ca="1" si="20"/>
        <v>#NAME?</v>
      </c>
      <c r="F190" s="9" t="e">
        <f t="shared" ca="1" si="21"/>
        <v>#NAME?</v>
      </c>
      <c r="G190" s="8" t="e">
        <f t="shared" ca="1" si="22"/>
        <v>#NAME?</v>
      </c>
      <c r="H190" s="8" t="e">
        <f t="shared" ca="1" si="23"/>
        <v>#NAME?</v>
      </c>
      <c r="I190" s="8" t="e">
        <f t="shared" ca="1" si="24"/>
        <v>#NAME?</v>
      </c>
      <c r="J190" s="6" t="e">
        <f ca="1">_xll.xlqxhSMA($C190,$L$4,$J$7,$K$3)</f>
        <v>#NAME?</v>
      </c>
      <c r="K190" s="7" t="e">
        <f ca="1">_xll.xlqhClose($C190,K$8,$K$3)</f>
        <v>#NAME?</v>
      </c>
      <c r="L190" s="7" t="e">
        <f ca="1">_xll.xlqhClose($C190,L$8,$K$3)</f>
        <v>#NAME?</v>
      </c>
      <c r="N190" s="9" t="e">
        <f t="shared" ca="1" si="25"/>
        <v>#NAME?</v>
      </c>
      <c r="O190" s="9" t="e">
        <f t="shared" ca="1" si="26"/>
        <v>#NAME?</v>
      </c>
      <c r="P190" s="9" t="e">
        <f t="shared" ca="1" si="27"/>
        <v>#NAME?</v>
      </c>
      <c r="Q190" s="9" t="e">
        <f t="shared" ca="1" si="28"/>
        <v>#NAME?</v>
      </c>
      <c r="R190" s="9" t="e">
        <f t="shared" ca="1" si="29"/>
        <v>#NAME?</v>
      </c>
    </row>
    <row r="191" spans="1:18" x14ac:dyDescent="0.25">
      <c r="A191" s="18"/>
      <c r="B191" s="19" t="s">
        <v>326</v>
      </c>
      <c r="C191" s="5" t="s">
        <v>327</v>
      </c>
      <c r="D191" s="7" t="e">
        <f ca="1">_xll.xlqPrice(C191)</f>
        <v>#NAME?</v>
      </c>
      <c r="E191" s="9" t="e">
        <f t="shared" ca="1" si="20"/>
        <v>#NAME?</v>
      </c>
      <c r="F191" s="9" t="e">
        <f t="shared" ca="1" si="21"/>
        <v>#NAME?</v>
      </c>
      <c r="G191" s="8" t="e">
        <f t="shared" ca="1" si="22"/>
        <v>#NAME?</v>
      </c>
      <c r="H191" s="8" t="e">
        <f t="shared" ca="1" si="23"/>
        <v>#NAME?</v>
      </c>
      <c r="I191" s="8" t="e">
        <f t="shared" ca="1" si="24"/>
        <v>#NAME?</v>
      </c>
      <c r="J191" s="6" t="e">
        <f ca="1">_xll.xlqxhSMA($C191,$L$4,$J$7,$K$3)</f>
        <v>#NAME?</v>
      </c>
      <c r="K191" s="7" t="e">
        <f ca="1">_xll.xlqhClose($C191,K$8,$K$3)</f>
        <v>#NAME?</v>
      </c>
      <c r="L191" s="7" t="e">
        <f ca="1">_xll.xlqhClose($C191,L$8,$K$3)</f>
        <v>#NAME?</v>
      </c>
      <c r="N191" s="9" t="e">
        <f t="shared" ca="1" si="25"/>
        <v>#NAME?</v>
      </c>
      <c r="O191" s="9" t="e">
        <f t="shared" ca="1" si="26"/>
        <v>#NAME?</v>
      </c>
      <c r="P191" s="9" t="e">
        <f t="shared" ca="1" si="27"/>
        <v>#NAME?</v>
      </c>
      <c r="Q191" s="9" t="e">
        <f t="shared" ca="1" si="28"/>
        <v>#NAME?</v>
      </c>
      <c r="R191" s="9" t="e">
        <f t="shared" ca="1" si="29"/>
        <v>#NAME?</v>
      </c>
    </row>
    <row r="192" spans="1:18" x14ac:dyDescent="0.25">
      <c r="A192" s="18"/>
      <c r="B192" s="19" t="s">
        <v>336</v>
      </c>
      <c r="C192" s="5" t="s">
        <v>337</v>
      </c>
      <c r="D192" s="7" t="e">
        <f ca="1">_xll.xlqPrice(C192)</f>
        <v>#NAME?</v>
      </c>
      <c r="E192" s="9" t="e">
        <f t="shared" ca="1" si="20"/>
        <v>#NAME?</v>
      </c>
      <c r="F192" s="9" t="e">
        <f t="shared" ca="1" si="21"/>
        <v>#NAME?</v>
      </c>
      <c r="G192" s="8" t="e">
        <f t="shared" ca="1" si="22"/>
        <v>#NAME?</v>
      </c>
      <c r="H192" s="8" t="e">
        <f t="shared" ca="1" si="23"/>
        <v>#NAME?</v>
      </c>
      <c r="I192" s="8" t="e">
        <f t="shared" ca="1" si="24"/>
        <v>#NAME?</v>
      </c>
      <c r="J192" s="6" t="e">
        <f ca="1">_xll.xlqxhSMA($C192,$L$4,$J$7,$K$3)</f>
        <v>#NAME?</v>
      </c>
      <c r="K192" s="7" t="e">
        <f ca="1">_xll.xlqhClose($C192,K$8,$K$3)</f>
        <v>#NAME?</v>
      </c>
      <c r="L192" s="7" t="e">
        <f ca="1">_xll.xlqhClose($C192,L$8,$K$3)</f>
        <v>#NAME?</v>
      </c>
      <c r="N192" s="9" t="e">
        <f t="shared" ca="1" si="25"/>
        <v>#NAME?</v>
      </c>
      <c r="O192" s="9" t="e">
        <f t="shared" ca="1" si="26"/>
        <v>#NAME?</v>
      </c>
      <c r="P192" s="9" t="e">
        <f t="shared" ca="1" si="27"/>
        <v>#NAME?</v>
      </c>
      <c r="Q192" s="9" t="e">
        <f t="shared" ca="1" si="28"/>
        <v>#NAME?</v>
      </c>
      <c r="R192" s="9" t="e">
        <f t="shared" ca="1" si="29"/>
        <v>#NAME?</v>
      </c>
    </row>
    <row r="193" spans="1:18" x14ac:dyDescent="0.25">
      <c r="A193" s="18"/>
      <c r="B193" s="19" t="s">
        <v>152</v>
      </c>
      <c r="C193" s="5" t="s">
        <v>153</v>
      </c>
      <c r="D193" s="7" t="e">
        <f ca="1">_xll.xlqPrice(C193)</f>
        <v>#NAME?</v>
      </c>
      <c r="E193" s="9" t="e">
        <f t="shared" ca="1" si="20"/>
        <v>#NAME?</v>
      </c>
      <c r="F193" s="9" t="e">
        <f t="shared" ca="1" si="21"/>
        <v>#NAME?</v>
      </c>
      <c r="G193" s="8" t="e">
        <f t="shared" ca="1" si="22"/>
        <v>#NAME?</v>
      </c>
      <c r="H193" s="8" t="e">
        <f t="shared" ca="1" si="23"/>
        <v>#NAME?</v>
      </c>
      <c r="I193" s="8" t="e">
        <f t="shared" ca="1" si="24"/>
        <v>#NAME?</v>
      </c>
      <c r="J193" s="6" t="e">
        <f ca="1">_xll.xlqxhSMA($C193,$L$4,$J$7,$K$3)</f>
        <v>#NAME?</v>
      </c>
      <c r="K193" s="7" t="e">
        <f ca="1">_xll.xlqhClose($C193,K$8,$K$3)</f>
        <v>#NAME?</v>
      </c>
      <c r="L193" s="7" t="e">
        <f ca="1">_xll.xlqhClose($C193,L$8,$K$3)</f>
        <v>#NAME?</v>
      </c>
      <c r="N193" s="9" t="e">
        <f t="shared" ca="1" si="25"/>
        <v>#NAME?</v>
      </c>
      <c r="O193" s="9" t="e">
        <f t="shared" ca="1" si="26"/>
        <v>#NAME?</v>
      </c>
      <c r="P193" s="9" t="e">
        <f t="shared" ca="1" si="27"/>
        <v>#NAME?</v>
      </c>
      <c r="Q193" s="9" t="e">
        <f t="shared" ca="1" si="28"/>
        <v>#NAME?</v>
      </c>
      <c r="R193" s="9" t="e">
        <f t="shared" ca="1" si="29"/>
        <v>#NAME?</v>
      </c>
    </row>
    <row r="194" spans="1:18" x14ac:dyDescent="0.25">
      <c r="A194" s="18"/>
      <c r="B194" s="19" t="s">
        <v>348</v>
      </c>
      <c r="C194" s="5" t="s">
        <v>349</v>
      </c>
      <c r="D194" s="7" t="e">
        <f ca="1">_xll.xlqPrice(C194)</f>
        <v>#NAME?</v>
      </c>
      <c r="E194" s="9" t="e">
        <f t="shared" ca="1" si="20"/>
        <v>#NAME?</v>
      </c>
      <c r="F194" s="9" t="e">
        <f t="shared" ca="1" si="21"/>
        <v>#NAME?</v>
      </c>
      <c r="G194" s="8" t="e">
        <f t="shared" ca="1" si="22"/>
        <v>#NAME?</v>
      </c>
      <c r="H194" s="8" t="e">
        <f t="shared" ca="1" si="23"/>
        <v>#NAME?</v>
      </c>
      <c r="I194" s="8" t="e">
        <f t="shared" ca="1" si="24"/>
        <v>#NAME?</v>
      </c>
      <c r="J194" s="6" t="e">
        <f ca="1">_xll.xlqxhSMA($C194,$L$4,$J$7,$K$3)</f>
        <v>#NAME?</v>
      </c>
      <c r="K194" s="7" t="e">
        <f ca="1">_xll.xlqhClose($C194,K$8,$K$3)</f>
        <v>#NAME?</v>
      </c>
      <c r="L194" s="7" t="e">
        <f ca="1">_xll.xlqhClose($C194,L$8,$K$3)</f>
        <v>#NAME?</v>
      </c>
      <c r="N194" s="9" t="e">
        <f t="shared" ca="1" si="25"/>
        <v>#NAME?</v>
      </c>
      <c r="O194" s="9" t="e">
        <f t="shared" ca="1" si="26"/>
        <v>#NAME?</v>
      </c>
      <c r="P194" s="9" t="e">
        <f t="shared" ca="1" si="27"/>
        <v>#NAME?</v>
      </c>
      <c r="Q194" s="9" t="e">
        <f t="shared" ca="1" si="28"/>
        <v>#NAME?</v>
      </c>
      <c r="R194" s="9" t="e">
        <f t="shared" ca="1" si="29"/>
        <v>#NAME?</v>
      </c>
    </row>
    <row r="195" spans="1:18" x14ac:dyDescent="0.25">
      <c r="A195" s="18"/>
      <c r="B195" s="19" t="s">
        <v>244</v>
      </c>
      <c r="C195" s="5" t="s">
        <v>245</v>
      </c>
      <c r="D195" s="7" t="e">
        <f ca="1">_xll.xlqPrice(C195)</f>
        <v>#NAME?</v>
      </c>
      <c r="E195" s="9" t="e">
        <f t="shared" ca="1" si="20"/>
        <v>#NAME?</v>
      </c>
      <c r="F195" s="9" t="e">
        <f t="shared" ca="1" si="21"/>
        <v>#NAME?</v>
      </c>
      <c r="G195" s="8" t="e">
        <f t="shared" ca="1" si="22"/>
        <v>#NAME?</v>
      </c>
      <c r="H195" s="8" t="e">
        <f t="shared" ca="1" si="23"/>
        <v>#NAME?</v>
      </c>
      <c r="I195" s="8" t="e">
        <f t="shared" ca="1" si="24"/>
        <v>#NAME?</v>
      </c>
      <c r="J195" s="6" t="e">
        <f ca="1">_xll.xlqxhSMA($C195,$L$4,$J$7,$K$3)</f>
        <v>#NAME?</v>
      </c>
      <c r="K195" s="7" t="e">
        <f ca="1">_xll.xlqhClose($C195,K$8,$K$3)</f>
        <v>#NAME?</v>
      </c>
      <c r="L195" s="7" t="e">
        <f ca="1">_xll.xlqhClose($C195,L$8,$K$3)</f>
        <v>#NAME?</v>
      </c>
      <c r="N195" s="9" t="e">
        <f t="shared" ca="1" si="25"/>
        <v>#NAME?</v>
      </c>
      <c r="O195" s="9" t="e">
        <f t="shared" ca="1" si="26"/>
        <v>#NAME?</v>
      </c>
      <c r="P195" s="9" t="e">
        <f t="shared" ca="1" si="27"/>
        <v>#NAME?</v>
      </c>
      <c r="Q195" s="9" t="e">
        <f t="shared" ca="1" si="28"/>
        <v>#NAME?</v>
      </c>
      <c r="R195" s="9" t="e">
        <f t="shared" ca="1" si="29"/>
        <v>#NAME?</v>
      </c>
    </row>
    <row r="196" spans="1:18" x14ac:dyDescent="0.25">
      <c r="A196" s="18"/>
      <c r="B196" s="19" t="s">
        <v>44</v>
      </c>
      <c r="C196" s="5" t="s">
        <v>21</v>
      </c>
      <c r="D196" s="7" t="e">
        <f ca="1">_xll.xlqPrice(C196)</f>
        <v>#NAME?</v>
      </c>
      <c r="E196" s="9" t="e">
        <f t="shared" ca="1" si="20"/>
        <v>#NAME?</v>
      </c>
      <c r="F196" s="9" t="e">
        <f t="shared" ca="1" si="21"/>
        <v>#NAME?</v>
      </c>
      <c r="G196" s="8" t="e">
        <f t="shared" ca="1" si="22"/>
        <v>#NAME?</v>
      </c>
      <c r="H196" s="8" t="e">
        <f t="shared" ca="1" si="23"/>
        <v>#NAME?</v>
      </c>
      <c r="I196" s="8" t="e">
        <f t="shared" ca="1" si="24"/>
        <v>#NAME?</v>
      </c>
      <c r="J196" s="6" t="e">
        <f ca="1">_xll.xlqxhSMA($C196,$L$4,$J$7,$K$3)</f>
        <v>#NAME?</v>
      </c>
      <c r="K196" s="7" t="e">
        <f ca="1">_xll.xlqhClose($C196,K$8,$K$3)</f>
        <v>#NAME?</v>
      </c>
      <c r="L196" s="7" t="e">
        <f ca="1">_xll.xlqhClose($C196,L$8,$K$3)</f>
        <v>#NAME?</v>
      </c>
      <c r="N196" s="9" t="e">
        <f t="shared" ca="1" si="25"/>
        <v>#NAME?</v>
      </c>
      <c r="O196" s="9" t="e">
        <f t="shared" ca="1" si="26"/>
        <v>#NAME?</v>
      </c>
      <c r="P196" s="9" t="e">
        <f t="shared" ca="1" si="27"/>
        <v>#NAME?</v>
      </c>
      <c r="Q196" s="9" t="e">
        <f t="shared" ca="1" si="28"/>
        <v>#NAME?</v>
      </c>
      <c r="R196" s="9" t="e">
        <f t="shared" ca="1" si="29"/>
        <v>#NAME?</v>
      </c>
    </row>
    <row r="197" spans="1:18" x14ac:dyDescent="0.25">
      <c r="A197" s="18"/>
      <c r="B197" s="19" t="s">
        <v>354</v>
      </c>
      <c r="C197" s="5" t="s">
        <v>355</v>
      </c>
      <c r="D197" s="7" t="e">
        <f ca="1">_xll.xlqPrice(C197)</f>
        <v>#NAME?</v>
      </c>
      <c r="E197" s="9" t="e">
        <f t="shared" ca="1" si="20"/>
        <v>#NAME?</v>
      </c>
      <c r="F197" s="9" t="e">
        <f t="shared" ca="1" si="21"/>
        <v>#NAME?</v>
      </c>
      <c r="G197" s="8" t="e">
        <f t="shared" ca="1" si="22"/>
        <v>#NAME?</v>
      </c>
      <c r="H197" s="8" t="e">
        <f t="shared" ca="1" si="23"/>
        <v>#NAME?</v>
      </c>
      <c r="I197" s="8" t="e">
        <f t="shared" ca="1" si="24"/>
        <v>#NAME?</v>
      </c>
      <c r="J197" s="6" t="e">
        <f ca="1">_xll.xlqxhSMA($C197,$L$4,$J$7,$K$3)</f>
        <v>#NAME?</v>
      </c>
      <c r="K197" s="7" t="e">
        <f ca="1">_xll.xlqhClose($C197,K$8,$K$3)</f>
        <v>#NAME?</v>
      </c>
      <c r="L197" s="7" t="e">
        <f ca="1">_xll.xlqhClose($C197,L$8,$K$3)</f>
        <v>#NAME?</v>
      </c>
      <c r="N197" s="9" t="e">
        <f t="shared" ca="1" si="25"/>
        <v>#NAME?</v>
      </c>
      <c r="O197" s="9" t="e">
        <f t="shared" ca="1" si="26"/>
        <v>#NAME?</v>
      </c>
      <c r="P197" s="9" t="e">
        <f t="shared" ca="1" si="27"/>
        <v>#NAME?</v>
      </c>
      <c r="Q197" s="9" t="e">
        <f t="shared" ca="1" si="28"/>
        <v>#NAME?</v>
      </c>
      <c r="R197" s="9" t="e">
        <f t="shared" ca="1" si="29"/>
        <v>#NAME?</v>
      </c>
    </row>
    <row r="198" spans="1:18" x14ac:dyDescent="0.25">
      <c r="A198" s="18"/>
      <c r="B198" s="19" t="s">
        <v>484</v>
      </c>
      <c r="C198" s="5" t="s">
        <v>485</v>
      </c>
      <c r="D198" s="7" t="e">
        <f ca="1">_xll.xlqPrice(C198)</f>
        <v>#NAME?</v>
      </c>
      <c r="E198" s="9" t="e">
        <f t="shared" ca="1" si="20"/>
        <v>#NAME?</v>
      </c>
      <c r="F198" s="9" t="e">
        <f t="shared" ca="1" si="21"/>
        <v>#NAME?</v>
      </c>
      <c r="G198" s="8" t="e">
        <f t="shared" ca="1" si="22"/>
        <v>#NAME?</v>
      </c>
      <c r="H198" s="8" t="e">
        <f t="shared" ca="1" si="23"/>
        <v>#NAME?</v>
      </c>
      <c r="I198" s="8" t="e">
        <f t="shared" ca="1" si="24"/>
        <v>#NAME?</v>
      </c>
      <c r="J198" s="6" t="e">
        <f ca="1">_xll.xlqxhSMA($C198,$L$4,$J$7,$K$3)</f>
        <v>#NAME?</v>
      </c>
      <c r="K198" s="7" t="e">
        <f ca="1">_xll.xlqhClose($C198,K$8,$K$3)</f>
        <v>#NAME?</v>
      </c>
      <c r="L198" s="7" t="e">
        <f ca="1">_xll.xlqhClose($C198,L$8,$K$3)</f>
        <v>#NAME?</v>
      </c>
      <c r="N198" s="9" t="e">
        <f t="shared" ca="1" si="25"/>
        <v>#NAME?</v>
      </c>
      <c r="O198" s="9" t="e">
        <f t="shared" ca="1" si="26"/>
        <v>#NAME?</v>
      </c>
      <c r="P198" s="9" t="e">
        <f t="shared" ca="1" si="27"/>
        <v>#NAME?</v>
      </c>
      <c r="Q198" s="9" t="e">
        <f t="shared" ca="1" si="28"/>
        <v>#NAME?</v>
      </c>
      <c r="R198" s="9" t="e">
        <f t="shared" ca="1" si="29"/>
        <v>#NAME?</v>
      </c>
    </row>
    <row r="199" spans="1:18" x14ac:dyDescent="0.25">
      <c r="A199" s="18"/>
      <c r="B199" s="19" t="s">
        <v>260</v>
      </c>
      <c r="C199" s="5" t="s">
        <v>261</v>
      </c>
      <c r="D199" s="7" t="e">
        <f ca="1">_xll.xlqPrice(C199)</f>
        <v>#NAME?</v>
      </c>
      <c r="E199" s="9" t="e">
        <f t="shared" ca="1" si="20"/>
        <v>#NAME?</v>
      </c>
      <c r="F199" s="9" t="e">
        <f t="shared" ca="1" si="21"/>
        <v>#NAME?</v>
      </c>
      <c r="G199" s="8" t="e">
        <f t="shared" ca="1" si="22"/>
        <v>#NAME?</v>
      </c>
      <c r="H199" s="8" t="e">
        <f t="shared" ca="1" si="23"/>
        <v>#NAME?</v>
      </c>
      <c r="I199" s="8" t="e">
        <f t="shared" ca="1" si="24"/>
        <v>#NAME?</v>
      </c>
      <c r="J199" s="6" t="e">
        <f ca="1">_xll.xlqxhSMA($C199,$L$4,$J$7,$K$3)</f>
        <v>#NAME?</v>
      </c>
      <c r="K199" s="7" t="e">
        <f ca="1">_xll.xlqhClose($C199,K$8,$K$3)</f>
        <v>#NAME?</v>
      </c>
      <c r="L199" s="7" t="e">
        <f ca="1">_xll.xlqhClose($C199,L$8,$K$3)</f>
        <v>#NAME?</v>
      </c>
      <c r="N199" s="9" t="e">
        <f t="shared" ca="1" si="25"/>
        <v>#NAME?</v>
      </c>
      <c r="O199" s="9" t="e">
        <f t="shared" ca="1" si="26"/>
        <v>#NAME?</v>
      </c>
      <c r="P199" s="9" t="e">
        <f t="shared" ca="1" si="27"/>
        <v>#NAME?</v>
      </c>
      <c r="Q199" s="9" t="e">
        <f t="shared" ca="1" si="28"/>
        <v>#NAME?</v>
      </c>
      <c r="R199" s="9" t="e">
        <f t="shared" ca="1" si="29"/>
        <v>#NAME?</v>
      </c>
    </row>
    <row r="200" spans="1:18" x14ac:dyDescent="0.25">
      <c r="A200" s="18"/>
      <c r="B200" s="19" t="s">
        <v>242</v>
      </c>
      <c r="C200" s="5" t="s">
        <v>243</v>
      </c>
      <c r="D200" s="7" t="e">
        <f ca="1">_xll.xlqPrice(C200)</f>
        <v>#NAME?</v>
      </c>
      <c r="E200" s="9" t="e">
        <f t="shared" ca="1" si="20"/>
        <v>#NAME?</v>
      </c>
      <c r="F200" s="9" t="e">
        <f t="shared" ca="1" si="21"/>
        <v>#NAME?</v>
      </c>
      <c r="G200" s="8" t="e">
        <f t="shared" ca="1" si="22"/>
        <v>#NAME?</v>
      </c>
      <c r="H200" s="8" t="e">
        <f t="shared" ca="1" si="23"/>
        <v>#NAME?</v>
      </c>
      <c r="I200" s="8" t="e">
        <f t="shared" ca="1" si="24"/>
        <v>#NAME?</v>
      </c>
      <c r="J200" s="6" t="e">
        <f ca="1">_xll.xlqxhSMA($C200,$L$4,$J$7,$K$3)</f>
        <v>#NAME?</v>
      </c>
      <c r="K200" s="7" t="e">
        <f ca="1">_xll.xlqhClose($C200,K$8,$K$3)</f>
        <v>#NAME?</v>
      </c>
      <c r="L200" s="7" t="e">
        <f ca="1">_xll.xlqhClose($C200,L$8,$K$3)</f>
        <v>#NAME?</v>
      </c>
      <c r="N200" s="9" t="e">
        <f t="shared" ca="1" si="25"/>
        <v>#NAME?</v>
      </c>
      <c r="O200" s="9" t="e">
        <f t="shared" ca="1" si="26"/>
        <v>#NAME?</v>
      </c>
      <c r="P200" s="9" t="e">
        <f t="shared" ca="1" si="27"/>
        <v>#NAME?</v>
      </c>
      <c r="Q200" s="9" t="e">
        <f t="shared" ca="1" si="28"/>
        <v>#NAME?</v>
      </c>
      <c r="R200" s="9" t="e">
        <f t="shared" ca="1" si="29"/>
        <v>#NAME?</v>
      </c>
    </row>
    <row r="201" spans="1:18" x14ac:dyDescent="0.25">
      <c r="A201" s="18"/>
      <c r="B201" s="19" t="s">
        <v>316</v>
      </c>
      <c r="C201" s="5" t="s">
        <v>317</v>
      </c>
      <c r="D201" s="7" t="e">
        <f ca="1">_xll.xlqPrice(C201)</f>
        <v>#NAME?</v>
      </c>
      <c r="E201" s="9" t="e">
        <f t="shared" ca="1" si="20"/>
        <v>#NAME?</v>
      </c>
      <c r="F201" s="9" t="e">
        <f t="shared" ca="1" si="21"/>
        <v>#NAME?</v>
      </c>
      <c r="G201" s="8" t="e">
        <f t="shared" ca="1" si="22"/>
        <v>#NAME?</v>
      </c>
      <c r="H201" s="8" t="e">
        <f t="shared" ca="1" si="23"/>
        <v>#NAME?</v>
      </c>
      <c r="I201" s="8" t="e">
        <f t="shared" ca="1" si="24"/>
        <v>#NAME?</v>
      </c>
      <c r="J201" s="6" t="e">
        <f ca="1">_xll.xlqxhSMA($C201,$L$4,$J$7,$K$3)</f>
        <v>#NAME?</v>
      </c>
      <c r="K201" s="7" t="e">
        <f ca="1">_xll.xlqhClose($C201,K$8,$K$3)</f>
        <v>#NAME?</v>
      </c>
      <c r="L201" s="7" t="e">
        <f ca="1">_xll.xlqhClose($C201,L$8,$K$3)</f>
        <v>#NAME?</v>
      </c>
      <c r="N201" s="9" t="e">
        <f t="shared" ca="1" si="25"/>
        <v>#NAME?</v>
      </c>
      <c r="O201" s="9" t="e">
        <f t="shared" ca="1" si="26"/>
        <v>#NAME?</v>
      </c>
      <c r="P201" s="9" t="e">
        <f t="shared" ca="1" si="27"/>
        <v>#NAME?</v>
      </c>
      <c r="Q201" s="9" t="e">
        <f t="shared" ca="1" si="28"/>
        <v>#NAME?</v>
      </c>
      <c r="R201" s="9" t="e">
        <f t="shared" ca="1" si="29"/>
        <v>#NAME?</v>
      </c>
    </row>
    <row r="202" spans="1:18" x14ac:dyDescent="0.25">
      <c r="A202" s="18"/>
      <c r="B202" s="19" t="s">
        <v>41</v>
      </c>
      <c r="C202" s="5" t="s">
        <v>18</v>
      </c>
      <c r="D202" s="7" t="e">
        <f ca="1">_xll.xlqPrice(C202)</f>
        <v>#NAME?</v>
      </c>
      <c r="E202" s="9" t="e">
        <f t="shared" ca="1" si="20"/>
        <v>#NAME?</v>
      </c>
      <c r="F202" s="9" t="e">
        <f t="shared" ca="1" si="21"/>
        <v>#NAME?</v>
      </c>
      <c r="G202" s="8" t="e">
        <f t="shared" ca="1" si="22"/>
        <v>#NAME?</v>
      </c>
      <c r="H202" s="8" t="e">
        <f t="shared" ca="1" si="23"/>
        <v>#NAME?</v>
      </c>
      <c r="I202" s="8" t="e">
        <f t="shared" ca="1" si="24"/>
        <v>#NAME?</v>
      </c>
      <c r="J202" s="6" t="e">
        <f ca="1">_xll.xlqxhSMA($C202,$L$4,$J$7,$K$3)</f>
        <v>#NAME?</v>
      </c>
      <c r="K202" s="7" t="e">
        <f ca="1">_xll.xlqhClose($C202,K$8,$K$3)</f>
        <v>#NAME?</v>
      </c>
      <c r="L202" s="7" t="e">
        <f ca="1">_xll.xlqhClose($C202,L$8,$K$3)</f>
        <v>#NAME?</v>
      </c>
      <c r="N202" s="9" t="e">
        <f t="shared" ca="1" si="25"/>
        <v>#NAME?</v>
      </c>
      <c r="O202" s="9" t="e">
        <f t="shared" ca="1" si="26"/>
        <v>#NAME?</v>
      </c>
      <c r="P202" s="9" t="e">
        <f t="shared" ca="1" si="27"/>
        <v>#NAME?</v>
      </c>
      <c r="Q202" s="9" t="e">
        <f t="shared" ca="1" si="28"/>
        <v>#NAME?</v>
      </c>
      <c r="R202" s="9" t="e">
        <f t="shared" ca="1" si="29"/>
        <v>#NAME?</v>
      </c>
    </row>
    <row r="203" spans="1:18" ht="15.75" thickBot="1" x14ac:dyDescent="0.3">
      <c r="A203" s="18"/>
      <c r="B203" s="19" t="s">
        <v>312</v>
      </c>
      <c r="C203" s="5" t="s">
        <v>313</v>
      </c>
      <c r="D203" s="7" t="e">
        <f ca="1">_xll.xlqPrice(C203)</f>
        <v>#NAME?</v>
      </c>
      <c r="E203" s="9" t="e">
        <f t="shared" ref="E203:E215" ca="1" si="30">IF(D203&gt;J203, "Buy","Cash")</f>
        <v>#NAME?</v>
      </c>
      <c r="F203" s="9" t="e">
        <f t="shared" ref="F203:F215" ca="1" si="31">RANK(I203,$I$11:$I$215,0)</f>
        <v>#NAME?</v>
      </c>
      <c r="G203" s="8" t="e">
        <f t="shared" ref="G203:G215" ca="1" si="32">($D203-K203)/K203</f>
        <v>#NAME?</v>
      </c>
      <c r="H203" s="8" t="e">
        <f t="shared" ref="H203:H215" ca="1" si="33">($D203-L203)/L203</f>
        <v>#NAME?</v>
      </c>
      <c r="I203" s="8" t="e">
        <f t="shared" ref="I203:I215" ca="1" si="34">(G203*$G$8) +(H203*$H$8)</f>
        <v>#NAME?</v>
      </c>
      <c r="J203" s="6" t="e">
        <f ca="1">_xll.xlqxhSMA($C203,$L$4,$J$7,$K$3)</f>
        <v>#NAME?</v>
      </c>
      <c r="K203" s="7" t="e">
        <f ca="1">_xll.xlqhClose($C203,K$8,$K$3)</f>
        <v>#NAME?</v>
      </c>
      <c r="L203" s="7" t="e">
        <f ca="1">_xll.xlqhClose($C203,L$8,$K$3)</f>
        <v>#NAME?</v>
      </c>
      <c r="N203" s="9" t="e">
        <f t="shared" ref="N203:N215" ca="1" si="35">RANK($G203,G$11:G$215,0)</f>
        <v>#NAME?</v>
      </c>
      <c r="O203" s="9" t="e">
        <f t="shared" ref="O203:O215" ca="1" si="36">RANK($H203,H$11:H$215,0)</f>
        <v>#NAME?</v>
      </c>
      <c r="P203" s="9" t="e">
        <f t="shared" ref="P203:P215" ca="1" si="37">(N203*$G$8)+(O203*$H$8)</f>
        <v>#NAME?</v>
      </c>
      <c r="Q203" s="9" t="e">
        <f t="shared" ref="Q203:Q215" ca="1" si="38">RANK($P203,P$11:P$215,1)</f>
        <v>#NAME?</v>
      </c>
      <c r="R203" s="9" t="e">
        <f t="shared" ref="R203:R215" ca="1" si="39">F203-Q203</f>
        <v>#NAME?</v>
      </c>
    </row>
    <row r="204" spans="1:18" x14ac:dyDescent="0.25">
      <c r="A204" s="18"/>
      <c r="B204" s="23" t="s">
        <v>284</v>
      </c>
      <c r="C204" s="24" t="s">
        <v>285</v>
      </c>
      <c r="D204" s="7" t="e">
        <f ca="1">_xll.xlqPrice(C204)</f>
        <v>#NAME?</v>
      </c>
      <c r="E204" s="9" t="e">
        <f t="shared" ca="1" si="30"/>
        <v>#NAME?</v>
      </c>
      <c r="F204" s="9" t="e">
        <f t="shared" ca="1" si="31"/>
        <v>#NAME?</v>
      </c>
      <c r="G204" s="8" t="e">
        <f t="shared" ca="1" si="32"/>
        <v>#NAME?</v>
      </c>
      <c r="H204" s="8" t="e">
        <f t="shared" ca="1" si="33"/>
        <v>#NAME?</v>
      </c>
      <c r="I204" s="8" t="e">
        <f t="shared" ca="1" si="34"/>
        <v>#NAME?</v>
      </c>
      <c r="J204" s="6" t="e">
        <f ca="1">_xll.xlqxhSMA($C204,$L$4,$J$7,$K$3)</f>
        <v>#NAME?</v>
      </c>
      <c r="K204" s="7" t="e">
        <f ca="1">_xll.xlqhClose($C204,K$8,$K$3)</f>
        <v>#NAME?</v>
      </c>
      <c r="L204" s="7" t="e">
        <f ca="1">_xll.xlqhClose($C204,L$8,$K$3)</f>
        <v>#NAME?</v>
      </c>
      <c r="N204" s="9" t="e">
        <f t="shared" ca="1" si="35"/>
        <v>#NAME?</v>
      </c>
      <c r="O204" s="9" t="e">
        <f t="shared" ca="1" si="36"/>
        <v>#NAME?</v>
      </c>
      <c r="P204" s="9" t="e">
        <f t="shared" ca="1" si="37"/>
        <v>#NAME?</v>
      </c>
      <c r="Q204" s="9" t="e">
        <f t="shared" ca="1" si="38"/>
        <v>#NAME?</v>
      </c>
      <c r="R204" s="9" t="e">
        <f t="shared" ca="1" si="39"/>
        <v>#NAME?</v>
      </c>
    </row>
    <row r="205" spans="1:18" x14ac:dyDescent="0.25">
      <c r="A205" s="18"/>
      <c r="B205" s="19" t="s">
        <v>406</v>
      </c>
      <c r="C205" s="5" t="s">
        <v>407</v>
      </c>
      <c r="D205" s="7" t="e">
        <f ca="1">_xll.xlqPrice(C205)</f>
        <v>#NAME?</v>
      </c>
      <c r="E205" s="9" t="e">
        <f t="shared" ca="1" si="30"/>
        <v>#NAME?</v>
      </c>
      <c r="F205" s="9" t="e">
        <f t="shared" ca="1" si="31"/>
        <v>#NAME?</v>
      </c>
      <c r="G205" s="8" t="e">
        <f t="shared" ca="1" si="32"/>
        <v>#NAME?</v>
      </c>
      <c r="H205" s="8" t="e">
        <f t="shared" ca="1" si="33"/>
        <v>#NAME?</v>
      </c>
      <c r="I205" s="8" t="e">
        <f t="shared" ca="1" si="34"/>
        <v>#NAME?</v>
      </c>
      <c r="J205" s="6" t="e">
        <f ca="1">_xll.xlqxhSMA($C205,$L$4,$J$7,$K$3)</f>
        <v>#NAME?</v>
      </c>
      <c r="K205" s="7" t="e">
        <f ca="1">_xll.xlqhClose($C205,K$8,$K$3)</f>
        <v>#NAME?</v>
      </c>
      <c r="L205" s="7" t="e">
        <f ca="1">_xll.xlqhClose($C205,L$8,$K$3)</f>
        <v>#NAME?</v>
      </c>
      <c r="N205" s="9" t="e">
        <f t="shared" ca="1" si="35"/>
        <v>#NAME?</v>
      </c>
      <c r="O205" s="9" t="e">
        <f t="shared" ca="1" si="36"/>
        <v>#NAME?</v>
      </c>
      <c r="P205" s="9" t="e">
        <f t="shared" ca="1" si="37"/>
        <v>#NAME?</v>
      </c>
      <c r="Q205" s="9" t="e">
        <f t="shared" ca="1" si="38"/>
        <v>#NAME?</v>
      </c>
      <c r="R205" s="9" t="e">
        <f t="shared" ca="1" si="39"/>
        <v>#NAME?</v>
      </c>
    </row>
    <row r="206" spans="1:18" x14ac:dyDescent="0.25">
      <c r="A206" s="18"/>
      <c r="B206" s="19" t="s">
        <v>320</v>
      </c>
      <c r="C206" s="5" t="s">
        <v>321</v>
      </c>
      <c r="D206" s="7" t="e">
        <f ca="1">_xll.xlqPrice(C206)</f>
        <v>#NAME?</v>
      </c>
      <c r="E206" s="9" t="e">
        <f t="shared" ca="1" si="30"/>
        <v>#NAME?</v>
      </c>
      <c r="F206" s="9" t="e">
        <f t="shared" ca="1" si="31"/>
        <v>#NAME?</v>
      </c>
      <c r="G206" s="8" t="e">
        <f t="shared" ca="1" si="32"/>
        <v>#NAME?</v>
      </c>
      <c r="H206" s="8" t="e">
        <f t="shared" ca="1" si="33"/>
        <v>#NAME?</v>
      </c>
      <c r="I206" s="8" t="e">
        <f t="shared" ca="1" si="34"/>
        <v>#NAME?</v>
      </c>
      <c r="J206" s="6" t="e">
        <f ca="1">_xll.xlqxhSMA($C206,$L$4,$J$7,$K$3)</f>
        <v>#NAME?</v>
      </c>
      <c r="K206" s="7" t="e">
        <f ca="1">_xll.xlqhClose($C206,K$8,$K$3)</f>
        <v>#NAME?</v>
      </c>
      <c r="L206" s="7" t="e">
        <f ca="1">_xll.xlqhClose($C206,L$8,$K$3)</f>
        <v>#NAME?</v>
      </c>
      <c r="N206" s="9" t="e">
        <f t="shared" ca="1" si="35"/>
        <v>#NAME?</v>
      </c>
      <c r="O206" s="9" t="e">
        <f t="shared" ca="1" si="36"/>
        <v>#NAME?</v>
      </c>
      <c r="P206" s="9" t="e">
        <f t="shared" ca="1" si="37"/>
        <v>#NAME?</v>
      </c>
      <c r="Q206" s="9" t="e">
        <f t="shared" ca="1" si="38"/>
        <v>#NAME?</v>
      </c>
      <c r="R206" s="9" t="e">
        <f t="shared" ca="1" si="39"/>
        <v>#NAME?</v>
      </c>
    </row>
    <row r="207" spans="1:18" x14ac:dyDescent="0.25">
      <c r="A207" s="18"/>
      <c r="B207" s="19" t="s">
        <v>324</v>
      </c>
      <c r="C207" s="5" t="s">
        <v>325</v>
      </c>
      <c r="D207" s="7" t="e">
        <f ca="1">_xll.xlqPrice(C207)</f>
        <v>#NAME?</v>
      </c>
      <c r="E207" s="9" t="e">
        <f t="shared" ca="1" si="30"/>
        <v>#NAME?</v>
      </c>
      <c r="F207" s="9" t="e">
        <f t="shared" ca="1" si="31"/>
        <v>#NAME?</v>
      </c>
      <c r="G207" s="8" t="e">
        <f t="shared" ca="1" si="32"/>
        <v>#NAME?</v>
      </c>
      <c r="H207" s="8" t="e">
        <f t="shared" ca="1" si="33"/>
        <v>#NAME?</v>
      </c>
      <c r="I207" s="8" t="e">
        <f t="shared" ca="1" si="34"/>
        <v>#NAME?</v>
      </c>
      <c r="J207" s="6" t="e">
        <f ca="1">_xll.xlqxhSMA($C207,$L$4,$J$7,$K$3)</f>
        <v>#NAME?</v>
      </c>
      <c r="K207" s="7" t="e">
        <f ca="1">_xll.xlqhClose($C207,K$8,$K$3)</f>
        <v>#NAME?</v>
      </c>
      <c r="L207" s="7" t="e">
        <f ca="1">_xll.xlqhClose($C207,L$8,$K$3)</f>
        <v>#NAME?</v>
      </c>
      <c r="N207" s="9" t="e">
        <f t="shared" ca="1" si="35"/>
        <v>#NAME?</v>
      </c>
      <c r="O207" s="9" t="e">
        <f t="shared" ca="1" si="36"/>
        <v>#NAME?</v>
      </c>
      <c r="P207" s="9" t="e">
        <f t="shared" ca="1" si="37"/>
        <v>#NAME?</v>
      </c>
      <c r="Q207" s="9" t="e">
        <f t="shared" ca="1" si="38"/>
        <v>#NAME?</v>
      </c>
      <c r="R207" s="9" t="e">
        <f t="shared" ca="1" si="39"/>
        <v>#NAME?</v>
      </c>
    </row>
    <row r="208" spans="1:18" x14ac:dyDescent="0.25">
      <c r="A208" s="18"/>
      <c r="B208" s="19" t="s">
        <v>498</v>
      </c>
      <c r="C208" s="5" t="s">
        <v>499</v>
      </c>
      <c r="D208" s="7" t="e">
        <f ca="1">_xll.xlqPrice(C208)</f>
        <v>#NAME?</v>
      </c>
      <c r="E208" s="9" t="e">
        <f t="shared" ca="1" si="30"/>
        <v>#NAME?</v>
      </c>
      <c r="F208" s="9" t="e">
        <f t="shared" ca="1" si="31"/>
        <v>#NAME?</v>
      </c>
      <c r="G208" s="8" t="e">
        <f t="shared" ca="1" si="32"/>
        <v>#NAME?</v>
      </c>
      <c r="H208" s="8" t="e">
        <f t="shared" ca="1" si="33"/>
        <v>#NAME?</v>
      </c>
      <c r="I208" s="8" t="e">
        <f t="shared" ca="1" si="34"/>
        <v>#NAME?</v>
      </c>
      <c r="J208" s="6" t="e">
        <f ca="1">_xll.xlqxhSMA($C208,$L$4,$J$7,$K$3)</f>
        <v>#NAME?</v>
      </c>
      <c r="K208" s="7" t="e">
        <f ca="1">_xll.xlqhClose($C208,K$8,$K$3)</f>
        <v>#NAME?</v>
      </c>
      <c r="L208" s="7" t="e">
        <f ca="1">_xll.xlqhClose($C208,L$8,$K$3)</f>
        <v>#NAME?</v>
      </c>
      <c r="N208" s="9" t="e">
        <f t="shared" ca="1" si="35"/>
        <v>#NAME?</v>
      </c>
      <c r="O208" s="9" t="e">
        <f t="shared" ca="1" si="36"/>
        <v>#NAME?</v>
      </c>
      <c r="P208" s="9" t="e">
        <f t="shared" ca="1" si="37"/>
        <v>#NAME?</v>
      </c>
      <c r="Q208" s="9" t="e">
        <f t="shared" ca="1" si="38"/>
        <v>#NAME?</v>
      </c>
      <c r="R208" s="9" t="e">
        <f t="shared" ca="1" si="39"/>
        <v>#NAME?</v>
      </c>
    </row>
    <row r="209" spans="1:18" x14ac:dyDescent="0.25">
      <c r="A209" s="18"/>
      <c r="B209" s="19" t="s">
        <v>432</v>
      </c>
      <c r="C209" s="5" t="s">
        <v>433</v>
      </c>
      <c r="D209" s="7" t="e">
        <f ca="1">_xll.xlqPrice(C209)</f>
        <v>#NAME?</v>
      </c>
      <c r="E209" s="9" t="e">
        <f t="shared" ca="1" si="30"/>
        <v>#NAME?</v>
      </c>
      <c r="F209" s="9" t="e">
        <f t="shared" ca="1" si="31"/>
        <v>#NAME?</v>
      </c>
      <c r="G209" s="8" t="e">
        <f t="shared" ca="1" si="32"/>
        <v>#NAME?</v>
      </c>
      <c r="H209" s="8" t="e">
        <f t="shared" ca="1" si="33"/>
        <v>#NAME?</v>
      </c>
      <c r="I209" s="8" t="e">
        <f t="shared" ca="1" si="34"/>
        <v>#NAME?</v>
      </c>
      <c r="J209" s="6" t="e">
        <f ca="1">_xll.xlqxhSMA($C209,$L$4,$J$7,$K$3)</f>
        <v>#NAME?</v>
      </c>
      <c r="K209" s="7" t="e">
        <f ca="1">_xll.xlqhClose($C209,K$8,$K$3)</f>
        <v>#NAME?</v>
      </c>
      <c r="L209" s="7" t="e">
        <f ca="1">_xll.xlqhClose($C209,L$8,$K$3)</f>
        <v>#NAME?</v>
      </c>
      <c r="N209" s="9" t="e">
        <f t="shared" ca="1" si="35"/>
        <v>#NAME?</v>
      </c>
      <c r="O209" s="9" t="e">
        <f t="shared" ca="1" si="36"/>
        <v>#NAME?</v>
      </c>
      <c r="P209" s="9" t="e">
        <f t="shared" ca="1" si="37"/>
        <v>#NAME?</v>
      </c>
      <c r="Q209" s="9" t="e">
        <f t="shared" ca="1" si="38"/>
        <v>#NAME?</v>
      </c>
      <c r="R209" s="9" t="e">
        <f t="shared" ca="1" si="39"/>
        <v>#NAME?</v>
      </c>
    </row>
    <row r="210" spans="1:18" x14ac:dyDescent="0.25">
      <c r="A210" s="18"/>
      <c r="B210" s="19" t="s">
        <v>332</v>
      </c>
      <c r="C210" s="5" t="s">
        <v>333</v>
      </c>
      <c r="D210" s="7" t="e">
        <f ca="1">_xll.xlqPrice(C210)</f>
        <v>#NAME?</v>
      </c>
      <c r="E210" s="9" t="e">
        <f t="shared" ca="1" si="30"/>
        <v>#NAME?</v>
      </c>
      <c r="F210" s="9" t="e">
        <f t="shared" ca="1" si="31"/>
        <v>#NAME?</v>
      </c>
      <c r="G210" s="8" t="e">
        <f t="shared" ca="1" si="32"/>
        <v>#NAME?</v>
      </c>
      <c r="H210" s="8" t="e">
        <f t="shared" ca="1" si="33"/>
        <v>#NAME?</v>
      </c>
      <c r="I210" s="8" t="e">
        <f t="shared" ca="1" si="34"/>
        <v>#NAME?</v>
      </c>
      <c r="J210" s="6" t="e">
        <f ca="1">_xll.xlqxhSMA($C210,$L$4,$J$7,$K$3)</f>
        <v>#NAME?</v>
      </c>
      <c r="K210" s="7" t="e">
        <f ca="1">_xll.xlqhClose($C210,K$8,$K$3)</f>
        <v>#NAME?</v>
      </c>
      <c r="L210" s="7" t="e">
        <f ca="1">_xll.xlqhClose($C210,L$8,$K$3)</f>
        <v>#NAME?</v>
      </c>
      <c r="N210" s="9" t="e">
        <f t="shared" ca="1" si="35"/>
        <v>#NAME?</v>
      </c>
      <c r="O210" s="9" t="e">
        <f t="shared" ca="1" si="36"/>
        <v>#NAME?</v>
      </c>
      <c r="P210" s="9" t="e">
        <f t="shared" ca="1" si="37"/>
        <v>#NAME?</v>
      </c>
      <c r="Q210" s="9" t="e">
        <f t="shared" ca="1" si="38"/>
        <v>#NAME?</v>
      </c>
      <c r="R210" s="9" t="e">
        <f t="shared" ca="1" si="39"/>
        <v>#NAME?</v>
      </c>
    </row>
    <row r="211" spans="1:18" x14ac:dyDescent="0.25">
      <c r="A211" s="18"/>
      <c r="B211" s="19" t="s">
        <v>438</v>
      </c>
      <c r="C211" s="5" t="s">
        <v>439</v>
      </c>
      <c r="D211" s="7" t="e">
        <f ca="1">_xll.xlqPrice(C211)</f>
        <v>#NAME?</v>
      </c>
      <c r="E211" s="9" t="e">
        <f t="shared" ca="1" si="30"/>
        <v>#NAME?</v>
      </c>
      <c r="F211" s="9" t="e">
        <f t="shared" ca="1" si="31"/>
        <v>#NAME?</v>
      </c>
      <c r="G211" s="8" t="e">
        <f t="shared" ca="1" si="32"/>
        <v>#NAME?</v>
      </c>
      <c r="H211" s="8" t="e">
        <f t="shared" ca="1" si="33"/>
        <v>#NAME?</v>
      </c>
      <c r="I211" s="8" t="e">
        <f t="shared" ca="1" si="34"/>
        <v>#NAME?</v>
      </c>
      <c r="J211" s="6" t="e">
        <f ca="1">_xll.xlqxhSMA($C211,$L$4,$J$7,$K$3)</f>
        <v>#NAME?</v>
      </c>
      <c r="K211" s="7" t="e">
        <f ca="1">_xll.xlqhClose($C211,K$8,$K$3)</f>
        <v>#NAME?</v>
      </c>
      <c r="L211" s="7" t="e">
        <f ca="1">_xll.xlqhClose($C211,L$8,$K$3)</f>
        <v>#NAME?</v>
      </c>
      <c r="N211" s="9" t="e">
        <f t="shared" ca="1" si="35"/>
        <v>#NAME?</v>
      </c>
      <c r="O211" s="9" t="e">
        <f t="shared" ca="1" si="36"/>
        <v>#NAME?</v>
      </c>
      <c r="P211" s="9" t="e">
        <f t="shared" ca="1" si="37"/>
        <v>#NAME?</v>
      </c>
      <c r="Q211" s="9" t="e">
        <f t="shared" ca="1" si="38"/>
        <v>#NAME?</v>
      </c>
      <c r="R211" s="9" t="e">
        <f t="shared" ca="1" si="39"/>
        <v>#NAME?</v>
      </c>
    </row>
    <row r="212" spans="1:18" x14ac:dyDescent="0.25">
      <c r="A212" s="18"/>
      <c r="B212" s="19" t="s">
        <v>57</v>
      </c>
      <c r="C212" s="5" t="s">
        <v>58</v>
      </c>
      <c r="D212" s="7" t="e">
        <f ca="1">_xll.xlqPrice(C212)</f>
        <v>#NAME?</v>
      </c>
      <c r="E212" s="9" t="e">
        <f t="shared" ca="1" si="30"/>
        <v>#NAME?</v>
      </c>
      <c r="F212" s="9" t="e">
        <f t="shared" ca="1" si="31"/>
        <v>#NAME?</v>
      </c>
      <c r="G212" s="8" t="e">
        <f t="shared" ca="1" si="32"/>
        <v>#NAME?</v>
      </c>
      <c r="H212" s="8" t="e">
        <f t="shared" ca="1" si="33"/>
        <v>#NAME?</v>
      </c>
      <c r="I212" s="8" t="e">
        <f t="shared" ca="1" si="34"/>
        <v>#NAME?</v>
      </c>
      <c r="J212" s="6" t="e">
        <f ca="1">_xll.xlqxhSMA($C212,$L$4,$J$7,$K$3)</f>
        <v>#NAME?</v>
      </c>
      <c r="K212" s="7" t="e">
        <f ca="1">_xll.xlqhClose($C212,K$8,$K$3)</f>
        <v>#NAME?</v>
      </c>
      <c r="L212" s="7" t="e">
        <f ca="1">_xll.xlqhClose($C212,L$8,$K$3)</f>
        <v>#NAME?</v>
      </c>
      <c r="N212" s="9" t="e">
        <f t="shared" ca="1" si="35"/>
        <v>#NAME?</v>
      </c>
      <c r="O212" s="9" t="e">
        <f t="shared" ca="1" si="36"/>
        <v>#NAME?</v>
      </c>
      <c r="P212" s="9" t="e">
        <f t="shared" ca="1" si="37"/>
        <v>#NAME?</v>
      </c>
      <c r="Q212" s="9" t="e">
        <f t="shared" ca="1" si="38"/>
        <v>#NAME?</v>
      </c>
      <c r="R212" s="9" t="e">
        <f t="shared" ca="1" si="39"/>
        <v>#NAME?</v>
      </c>
    </row>
    <row r="213" spans="1:18" x14ac:dyDescent="0.25">
      <c r="A213" s="18"/>
      <c r="B213" s="19" t="s">
        <v>46</v>
      </c>
      <c r="C213" s="5" t="s">
        <v>25</v>
      </c>
      <c r="D213" s="7" t="e">
        <f ca="1">_xll.xlqPrice(C213)</f>
        <v>#NAME?</v>
      </c>
      <c r="E213" s="9" t="e">
        <f t="shared" ca="1" si="30"/>
        <v>#NAME?</v>
      </c>
      <c r="F213" s="9" t="e">
        <f t="shared" ca="1" si="31"/>
        <v>#NAME?</v>
      </c>
      <c r="G213" s="8" t="e">
        <f t="shared" ca="1" si="32"/>
        <v>#NAME?</v>
      </c>
      <c r="H213" s="8" t="e">
        <f t="shared" ca="1" si="33"/>
        <v>#NAME?</v>
      </c>
      <c r="I213" s="8" t="e">
        <f t="shared" ca="1" si="34"/>
        <v>#NAME?</v>
      </c>
      <c r="J213" s="6" t="e">
        <f ca="1">_xll.xlqxhSMA($C213,$L$4,$J$7,$K$3)</f>
        <v>#NAME?</v>
      </c>
      <c r="K213" s="7" t="e">
        <f ca="1">_xll.xlqhClose($C213,K$8,$K$3)</f>
        <v>#NAME?</v>
      </c>
      <c r="L213" s="7" t="e">
        <f ca="1">_xll.xlqhClose($C213,L$8,$K$3)</f>
        <v>#NAME?</v>
      </c>
      <c r="N213" s="9" t="e">
        <f t="shared" ca="1" si="35"/>
        <v>#NAME?</v>
      </c>
      <c r="O213" s="9" t="e">
        <f t="shared" ca="1" si="36"/>
        <v>#NAME?</v>
      </c>
      <c r="P213" s="9" t="e">
        <f t="shared" ca="1" si="37"/>
        <v>#NAME?</v>
      </c>
      <c r="Q213" s="9" t="e">
        <f t="shared" ca="1" si="38"/>
        <v>#NAME?</v>
      </c>
      <c r="R213" s="9" t="e">
        <f t="shared" ca="1" si="39"/>
        <v>#NAME?</v>
      </c>
    </row>
    <row r="214" spans="1:18" x14ac:dyDescent="0.25">
      <c r="A214" s="18"/>
      <c r="B214" s="19" t="s">
        <v>258</v>
      </c>
      <c r="C214" s="5" t="s">
        <v>259</v>
      </c>
      <c r="D214" s="7" t="e">
        <f ca="1">_xll.xlqPrice(C214)</f>
        <v>#NAME?</v>
      </c>
      <c r="E214" s="9" t="e">
        <f t="shared" ca="1" si="30"/>
        <v>#NAME?</v>
      </c>
      <c r="F214" s="9" t="e">
        <f t="shared" ca="1" si="31"/>
        <v>#NAME?</v>
      </c>
      <c r="G214" s="8" t="e">
        <f t="shared" ca="1" si="32"/>
        <v>#NAME?</v>
      </c>
      <c r="H214" s="8" t="e">
        <f t="shared" ca="1" si="33"/>
        <v>#NAME?</v>
      </c>
      <c r="I214" s="8" t="e">
        <f t="shared" ca="1" si="34"/>
        <v>#NAME?</v>
      </c>
      <c r="J214" s="6" t="e">
        <f ca="1">_xll.xlqxhSMA($C214,$L$4,$J$7,$K$3)</f>
        <v>#NAME?</v>
      </c>
      <c r="K214" s="7" t="e">
        <f ca="1">_xll.xlqhClose($C214,K$8,$K$3)</f>
        <v>#NAME?</v>
      </c>
      <c r="L214" s="7" t="e">
        <f ca="1">_xll.xlqhClose($C214,L$8,$K$3)</f>
        <v>#NAME?</v>
      </c>
      <c r="N214" s="9" t="e">
        <f t="shared" ca="1" si="35"/>
        <v>#NAME?</v>
      </c>
      <c r="O214" s="9" t="e">
        <f t="shared" ca="1" si="36"/>
        <v>#NAME?</v>
      </c>
      <c r="P214" s="9" t="e">
        <f t="shared" ca="1" si="37"/>
        <v>#NAME?</v>
      </c>
      <c r="Q214" s="9" t="e">
        <f t="shared" ca="1" si="38"/>
        <v>#NAME?</v>
      </c>
      <c r="R214" s="9" t="e">
        <f t="shared" ca="1" si="39"/>
        <v>#NAME?</v>
      </c>
    </row>
    <row r="215" spans="1:18" ht="15.75" thickBot="1" x14ac:dyDescent="0.3">
      <c r="A215" s="18"/>
      <c r="B215" s="27" t="s">
        <v>53</v>
      </c>
      <c r="C215" s="28" t="s">
        <v>54</v>
      </c>
      <c r="D215" s="7" t="e">
        <f ca="1">_xll.xlqPrice(C215)</f>
        <v>#NAME?</v>
      </c>
      <c r="E215" s="9" t="e">
        <f t="shared" ca="1" si="30"/>
        <v>#NAME?</v>
      </c>
      <c r="F215" s="9" t="e">
        <f t="shared" ca="1" si="31"/>
        <v>#NAME?</v>
      </c>
      <c r="G215" s="8" t="e">
        <f t="shared" ca="1" si="32"/>
        <v>#NAME?</v>
      </c>
      <c r="H215" s="8" t="e">
        <f t="shared" ca="1" si="33"/>
        <v>#NAME?</v>
      </c>
      <c r="I215" s="8" t="e">
        <f t="shared" ca="1" si="34"/>
        <v>#NAME?</v>
      </c>
      <c r="J215" s="6" t="e">
        <f ca="1">_xll.xlqxhSMA($C215,$L$4,$J$7,$K$3)</f>
        <v>#NAME?</v>
      </c>
      <c r="K215" s="7" t="e">
        <f ca="1">_xll.xlqhClose($C215,K$8,$K$3)</f>
        <v>#NAME?</v>
      </c>
      <c r="L215" s="7" t="e">
        <f ca="1">_xll.xlqhClose($C215,L$8,$K$3)</f>
        <v>#NAME?</v>
      </c>
      <c r="N215" s="9" t="e">
        <f t="shared" ca="1" si="35"/>
        <v>#NAME?</v>
      </c>
      <c r="O215" s="9" t="e">
        <f t="shared" ca="1" si="36"/>
        <v>#NAME?</v>
      </c>
      <c r="P215" s="9" t="e">
        <f t="shared" ca="1" si="37"/>
        <v>#NAME?</v>
      </c>
      <c r="Q215" s="9" t="e">
        <f t="shared" ca="1" si="38"/>
        <v>#NAME?</v>
      </c>
      <c r="R215" s="9" t="e">
        <f t="shared" ca="1" si="39"/>
        <v>#NAME?</v>
      </c>
    </row>
  </sheetData>
  <autoFilter ref="B10:R215">
    <sortState ref="B11:R215">
      <sortCondition ref="F10:F216"/>
    </sortState>
  </autoFilter>
  <mergeCells count="4">
    <mergeCell ref="J6:L6"/>
    <mergeCell ref="G9:I9"/>
    <mergeCell ref="J9:L9"/>
    <mergeCell ref="N9:R9"/>
  </mergeCells>
  <conditionalFormatting sqref="E11:E215">
    <cfRule type="containsText" dxfId="11" priority="6" operator="containsText" text="Cash">
      <formula>NOT(ISERROR(SEARCH("Cash",E11)))</formula>
    </cfRule>
    <cfRule type="containsText" dxfId="10" priority="7" operator="containsText" text="Buy">
      <formula>NOT(ISERROR(SEARCH("Buy",E11)))</formula>
    </cfRule>
  </conditionalFormatting>
  <conditionalFormatting sqref="G11:I215">
    <cfRule type="cellIs" dxfId="9" priority="1" operator="greaterThan">
      <formula>0</formula>
    </cfRule>
    <cfRule type="cellIs" dxfId="8" priority="2" operator="lessThan">
      <formula>0</formula>
    </cfRule>
  </conditionalFormatting>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138"/>
  <sheetViews>
    <sheetView workbookViewId="0">
      <selection activeCell="R10" sqref="R10"/>
    </sheetView>
  </sheetViews>
  <sheetFormatPr defaultRowHeight="15" x14ac:dyDescent="0.25"/>
  <cols>
    <col min="2" max="2" width="35.5703125" customWidth="1"/>
    <col min="3" max="3" width="12.42578125" style="39" customWidth="1"/>
    <col min="4" max="5" width="12.42578125" customWidth="1"/>
    <col min="6" max="6" width="8.85546875" customWidth="1"/>
    <col min="7" max="12" width="12.42578125" customWidth="1"/>
    <col min="13" max="13" width="3.85546875" customWidth="1"/>
  </cols>
  <sheetData>
    <row r="1" spans="1:18" x14ac:dyDescent="0.25">
      <c r="F1" s="7" t="s">
        <v>136</v>
      </c>
      <c r="G1" s="25">
        <f ca="1">MAX(G$11:G$1138)</f>
        <v>0</v>
      </c>
      <c r="H1" s="25">
        <f ca="1">MAX(H$11:H$1138)</f>
        <v>0</v>
      </c>
      <c r="I1" s="25">
        <f ca="1">MAX(I$11:I$1138)</f>
        <v>0</v>
      </c>
    </row>
    <row r="2" spans="1:18" x14ac:dyDescent="0.25">
      <c r="F2" s="26" t="s">
        <v>137</v>
      </c>
      <c r="G2" s="25">
        <f ca="1">G3+G6</f>
        <v>0</v>
      </c>
      <c r="H2" s="25">
        <f t="shared" ref="H2:I2" ca="1" si="0">H3+H6</f>
        <v>0</v>
      </c>
      <c r="I2" s="25">
        <f t="shared" ca="1" si="0"/>
        <v>0</v>
      </c>
      <c r="K2" s="29" t="s">
        <v>13</v>
      </c>
    </row>
    <row r="3" spans="1:18" x14ac:dyDescent="0.25">
      <c r="F3" s="7" t="s">
        <v>138</v>
      </c>
      <c r="G3" s="25">
        <f ca="1">AVERAGE(G$11:G$1138)</f>
        <v>0</v>
      </c>
      <c r="H3" s="25">
        <f ca="1">AVERAGE(H$11:H$1138)</f>
        <v>0</v>
      </c>
      <c r="I3" s="25">
        <f ca="1">AVERAGE(I$11:I$1138)</f>
        <v>0</v>
      </c>
      <c r="K3" s="4" t="s">
        <v>12</v>
      </c>
    </row>
    <row r="4" spans="1:18" x14ac:dyDescent="0.25">
      <c r="F4" s="7" t="s">
        <v>139</v>
      </c>
      <c r="G4" s="25">
        <f ca="1">G3-G6</f>
        <v>0</v>
      </c>
      <c r="H4" s="25">
        <f t="shared" ref="H4:I4" ca="1" si="1">H3-H6</f>
        <v>0</v>
      </c>
      <c r="I4" s="25">
        <f t="shared" ca="1" si="1"/>
        <v>0</v>
      </c>
      <c r="K4" s="29" t="s">
        <v>10</v>
      </c>
      <c r="L4">
        <v>0</v>
      </c>
    </row>
    <row r="5" spans="1:18" x14ac:dyDescent="0.25">
      <c r="F5" s="7" t="s">
        <v>140</v>
      </c>
      <c r="G5" s="25">
        <f ca="1">MIN(G$11:G$1138)</f>
        <v>0</v>
      </c>
      <c r="H5" s="25">
        <f ca="1">MIN(H$11:H$1138)</f>
        <v>0</v>
      </c>
      <c r="I5" s="25">
        <f ca="1">MIN(I$11:I$1138)</f>
        <v>0</v>
      </c>
      <c r="K5" s="3">
        <f ca="1">TODAY()</f>
        <v>41738</v>
      </c>
    </row>
    <row r="6" spans="1:18" x14ac:dyDescent="0.25">
      <c r="F6" s="7" t="s">
        <v>141</v>
      </c>
      <c r="G6" s="25">
        <f ca="1">STDEV(G$11:G$1138)</f>
        <v>0</v>
      </c>
      <c r="H6" s="25">
        <f ca="1">STDEV(H$11:H$1138)</f>
        <v>0</v>
      </c>
      <c r="I6" s="25">
        <f ca="1">STDEV(I$11:I$1138)</f>
        <v>0</v>
      </c>
      <c r="J6" s="54" t="s">
        <v>11</v>
      </c>
      <c r="K6" s="50"/>
      <c r="L6" s="50"/>
    </row>
    <row r="7" spans="1:18" x14ac:dyDescent="0.25">
      <c r="J7" s="4">
        <v>88</v>
      </c>
      <c r="K7" s="4">
        <v>-66</v>
      </c>
      <c r="L7" s="4">
        <v>-132</v>
      </c>
    </row>
    <row r="8" spans="1:18" x14ac:dyDescent="0.25">
      <c r="G8" s="47">
        <v>0.7</v>
      </c>
      <c r="H8" s="47">
        <v>0.3</v>
      </c>
      <c r="J8" s="3">
        <f ca="1">$K$5-J7</f>
        <v>41650</v>
      </c>
      <c r="K8" s="3" t="e">
        <f ca="1">_xll.xlqhDate("SPY",K$7,$K$3)</f>
        <v>#NAME?</v>
      </c>
      <c r="L8" s="3" t="e">
        <f ca="1">_xll.xlqhDate("SPY",L$7,$K$3)</f>
        <v>#NAME?</v>
      </c>
    </row>
    <row r="9" spans="1:18" x14ac:dyDescent="0.25">
      <c r="B9" s="46" t="s">
        <v>2367</v>
      </c>
      <c r="D9" s="13"/>
      <c r="E9" s="13"/>
      <c r="F9" s="13"/>
      <c r="G9" s="51" t="s">
        <v>33</v>
      </c>
      <c r="H9" s="51"/>
      <c r="I9" s="51"/>
      <c r="J9" s="52" t="s">
        <v>34</v>
      </c>
      <c r="K9" s="52"/>
      <c r="L9" s="52"/>
      <c r="N9" s="53" t="s">
        <v>48</v>
      </c>
      <c r="O9" s="53"/>
      <c r="P9" s="53"/>
      <c r="Q9" s="53"/>
      <c r="R9" s="53"/>
    </row>
    <row r="10" spans="1:18" x14ac:dyDescent="0.25">
      <c r="A10" s="17"/>
      <c r="B10" s="12" t="s">
        <v>0</v>
      </c>
      <c r="C10" s="40" t="s">
        <v>1</v>
      </c>
      <c r="D10" s="14" t="s">
        <v>2</v>
      </c>
      <c r="E10" s="14" t="s">
        <v>26</v>
      </c>
      <c r="F10" s="14" t="s">
        <v>31</v>
      </c>
      <c r="G10" s="15" t="s">
        <v>4</v>
      </c>
      <c r="H10" s="15" t="s">
        <v>3</v>
      </c>
      <c r="I10" s="15" t="s">
        <v>5</v>
      </c>
      <c r="J10" s="16" t="s">
        <v>6</v>
      </c>
      <c r="K10" s="16" t="s">
        <v>8</v>
      </c>
      <c r="L10" s="16" t="s">
        <v>7</v>
      </c>
      <c r="N10" s="30" t="s">
        <v>29</v>
      </c>
      <c r="O10" s="30" t="s">
        <v>30</v>
      </c>
      <c r="P10" s="30" t="s">
        <v>28</v>
      </c>
      <c r="Q10" s="30" t="s">
        <v>27</v>
      </c>
      <c r="R10" s="30" t="s">
        <v>32</v>
      </c>
    </row>
    <row r="11" spans="1:18" x14ac:dyDescent="0.25">
      <c r="A11" s="18"/>
      <c r="B11" s="19" t="s">
        <v>1241</v>
      </c>
      <c r="C11" s="5" t="s">
        <v>1242</v>
      </c>
      <c r="D11" s="7" t="e">
        <f ca="1">_xll.xlqPrice(C11)</f>
        <v>#NAME?</v>
      </c>
      <c r="E11" s="9" t="e">
        <f t="shared" ref="E11:E74" ca="1" si="2">IF(D11&gt;J11, "Buy","Cash")</f>
        <v>#NAME?</v>
      </c>
      <c r="F11" s="9">
        <f t="shared" ref="F11:F74" ca="1" si="3">RANK(I11,$I$11:$I$1138,0)</f>
        <v>1</v>
      </c>
      <c r="G11" s="8">
        <f t="shared" ref="G11:G74" ca="1" si="4">IFERROR(($D11-K11)/K11,0)</f>
        <v>0</v>
      </c>
      <c r="H11" s="8">
        <f t="shared" ref="H11:H74" ca="1" si="5">IFERROR(($D11-L11)/L11,0)</f>
        <v>0</v>
      </c>
      <c r="I11" s="8">
        <f t="shared" ref="I11:I74" ca="1" si="6">IFERROR((G11*$G$8)+(H11*$H$8),0)</f>
        <v>0</v>
      </c>
      <c r="J11" s="6" t="e">
        <f ca="1">_xll.xlqxhSMA($C11,$L$4,$J$7,$K$3)</f>
        <v>#NAME?</v>
      </c>
      <c r="K11" s="7" t="e">
        <f ca="1">_xll.xlqhClose($C11,K$8,$K$3)</f>
        <v>#NAME?</v>
      </c>
      <c r="L11" s="7" t="e">
        <f ca="1">_xll.xlqhClose($C11,L$8,$K$3)</f>
        <v>#NAME?</v>
      </c>
      <c r="N11" s="9">
        <f t="shared" ref="N11:N74" ca="1" si="7">RANK($G11,G$11:G$1138,0)</f>
        <v>1</v>
      </c>
      <c r="O11" s="9">
        <f t="shared" ref="O11:O74" ca="1" si="8">RANK($H11,H$11:H$1138,0)</f>
        <v>1</v>
      </c>
      <c r="P11" s="9">
        <f t="shared" ref="P11:P74" ca="1" si="9">RANK($I11,I$11:I$1138,0)</f>
        <v>1</v>
      </c>
      <c r="Q11" s="9">
        <f t="shared" ref="Q11:Q74" ca="1" si="10">RANK($P11,P$11:P$1138,1)</f>
        <v>1</v>
      </c>
      <c r="R11" s="9">
        <f t="shared" ref="R11:R74" ca="1" si="11">F11-Q11</f>
        <v>0</v>
      </c>
    </row>
    <row r="12" spans="1:18" x14ac:dyDescent="0.25">
      <c r="A12" s="18"/>
      <c r="B12" s="19" t="s">
        <v>1509</v>
      </c>
      <c r="C12" s="5" t="s">
        <v>1510</v>
      </c>
      <c r="D12" s="7" t="e">
        <f ca="1">_xll.xlqPrice(C12)</f>
        <v>#NAME?</v>
      </c>
      <c r="E12" s="9" t="e">
        <f t="shared" ca="1" si="2"/>
        <v>#NAME?</v>
      </c>
      <c r="F12" s="9">
        <f t="shared" ca="1" si="3"/>
        <v>1</v>
      </c>
      <c r="G12" s="8">
        <f t="shared" ca="1" si="4"/>
        <v>0</v>
      </c>
      <c r="H12" s="8">
        <f t="shared" ca="1" si="5"/>
        <v>0</v>
      </c>
      <c r="I12" s="8">
        <f t="shared" ca="1" si="6"/>
        <v>0</v>
      </c>
      <c r="J12" s="6" t="e">
        <f ca="1">_xll.xlqxhSMA($C12,$L$4,$J$7,$K$3)</f>
        <v>#NAME?</v>
      </c>
      <c r="K12" s="7" t="e">
        <f ca="1">_xll.xlqhClose($C12,K$8,$K$3)</f>
        <v>#NAME?</v>
      </c>
      <c r="L12" s="7" t="e">
        <f ca="1">_xll.xlqhClose($C12,L$8,$K$3)</f>
        <v>#NAME?</v>
      </c>
      <c r="N12" s="9">
        <f t="shared" ca="1" si="7"/>
        <v>1</v>
      </c>
      <c r="O12" s="9">
        <f t="shared" ca="1" si="8"/>
        <v>1</v>
      </c>
      <c r="P12" s="9">
        <f t="shared" ca="1" si="9"/>
        <v>1</v>
      </c>
      <c r="Q12" s="9">
        <f t="shared" ca="1" si="10"/>
        <v>1</v>
      </c>
      <c r="R12" s="9">
        <f t="shared" ca="1" si="11"/>
        <v>0</v>
      </c>
    </row>
    <row r="13" spans="1:18" x14ac:dyDescent="0.25">
      <c r="A13" s="18"/>
      <c r="B13" s="19" t="s">
        <v>704</v>
      </c>
      <c r="C13" s="5" t="s">
        <v>705</v>
      </c>
      <c r="D13" s="7" t="e">
        <f ca="1">_xll.xlqPrice(C13)</f>
        <v>#NAME?</v>
      </c>
      <c r="E13" s="9" t="e">
        <f t="shared" ca="1" si="2"/>
        <v>#NAME?</v>
      </c>
      <c r="F13" s="9">
        <f t="shared" ca="1" si="3"/>
        <v>1</v>
      </c>
      <c r="G13" s="8">
        <f t="shared" ca="1" si="4"/>
        <v>0</v>
      </c>
      <c r="H13" s="8">
        <f t="shared" ca="1" si="5"/>
        <v>0</v>
      </c>
      <c r="I13" s="8">
        <f t="shared" ca="1" si="6"/>
        <v>0</v>
      </c>
      <c r="J13" s="6" t="e">
        <f ca="1">_xll.xlqxhSMA($C13,$L$4,$J$7,$K$3)</f>
        <v>#NAME?</v>
      </c>
      <c r="K13" s="7" t="e">
        <f ca="1">_xll.xlqhClose($C13,K$8,$K$3)</f>
        <v>#NAME?</v>
      </c>
      <c r="L13" s="7" t="e">
        <f ca="1">_xll.xlqhClose($C13,L$8,$K$3)</f>
        <v>#NAME?</v>
      </c>
      <c r="N13" s="9">
        <f t="shared" ca="1" si="7"/>
        <v>1</v>
      </c>
      <c r="O13" s="9">
        <f t="shared" ca="1" si="8"/>
        <v>1</v>
      </c>
      <c r="P13" s="9">
        <f t="shared" ca="1" si="9"/>
        <v>1</v>
      </c>
      <c r="Q13" s="9">
        <f t="shared" ca="1" si="10"/>
        <v>1</v>
      </c>
      <c r="R13" s="9">
        <f t="shared" ca="1" si="11"/>
        <v>0</v>
      </c>
    </row>
    <row r="14" spans="1:18" x14ac:dyDescent="0.25">
      <c r="A14" s="18"/>
      <c r="B14" s="19" t="s">
        <v>506</v>
      </c>
      <c r="C14" s="5" t="s">
        <v>507</v>
      </c>
      <c r="D14" s="7" t="e">
        <f ca="1">_xll.xlqPrice(C14)</f>
        <v>#NAME?</v>
      </c>
      <c r="E14" s="9" t="e">
        <f t="shared" ca="1" si="2"/>
        <v>#NAME?</v>
      </c>
      <c r="F14" s="9">
        <f t="shared" ca="1" si="3"/>
        <v>1</v>
      </c>
      <c r="G14" s="8">
        <f t="shared" ca="1" si="4"/>
        <v>0</v>
      </c>
      <c r="H14" s="8">
        <f t="shared" ca="1" si="5"/>
        <v>0</v>
      </c>
      <c r="I14" s="8">
        <f t="shared" ca="1" si="6"/>
        <v>0</v>
      </c>
      <c r="J14" s="6" t="e">
        <f ca="1">_xll.xlqxhSMA($C14,$L$4,$J$7,$K$3)</f>
        <v>#NAME?</v>
      </c>
      <c r="K14" s="7" t="e">
        <f ca="1">_xll.xlqhClose($C14,K$8,$K$3)</f>
        <v>#NAME?</v>
      </c>
      <c r="L14" s="7" t="e">
        <f ca="1">_xll.xlqhClose($C14,L$8,$K$3)</f>
        <v>#NAME?</v>
      </c>
      <c r="N14" s="9">
        <f t="shared" ca="1" si="7"/>
        <v>1</v>
      </c>
      <c r="O14" s="9">
        <f t="shared" ca="1" si="8"/>
        <v>1</v>
      </c>
      <c r="P14" s="9">
        <f t="shared" ca="1" si="9"/>
        <v>1</v>
      </c>
      <c r="Q14" s="9">
        <f t="shared" ca="1" si="10"/>
        <v>1</v>
      </c>
      <c r="R14" s="9">
        <f t="shared" ca="1" si="11"/>
        <v>0</v>
      </c>
    </row>
    <row r="15" spans="1:18" x14ac:dyDescent="0.25">
      <c r="A15" s="18"/>
      <c r="B15" s="19" t="s">
        <v>204</v>
      </c>
      <c r="C15" s="5" t="s">
        <v>205</v>
      </c>
      <c r="D15" s="7" t="e">
        <f ca="1">_xll.xlqPrice(C15)</f>
        <v>#NAME?</v>
      </c>
      <c r="E15" s="9" t="e">
        <f t="shared" ca="1" si="2"/>
        <v>#NAME?</v>
      </c>
      <c r="F15" s="9">
        <f t="shared" ca="1" si="3"/>
        <v>1</v>
      </c>
      <c r="G15" s="8">
        <f t="shared" ca="1" si="4"/>
        <v>0</v>
      </c>
      <c r="H15" s="8">
        <f t="shared" ca="1" si="5"/>
        <v>0</v>
      </c>
      <c r="I15" s="8">
        <f t="shared" ca="1" si="6"/>
        <v>0</v>
      </c>
      <c r="J15" s="6" t="e">
        <f ca="1">_xll.xlqxhSMA($C15,$L$4,$J$7,$K$3)</f>
        <v>#NAME?</v>
      </c>
      <c r="K15" s="7" t="e">
        <f ca="1">_xll.xlqhClose($C15,K$8,$K$3)</f>
        <v>#NAME?</v>
      </c>
      <c r="L15" s="7" t="e">
        <f ca="1">_xll.xlqhClose($C15,L$8,$K$3)</f>
        <v>#NAME?</v>
      </c>
      <c r="N15" s="9">
        <f t="shared" ca="1" si="7"/>
        <v>1</v>
      </c>
      <c r="O15" s="9">
        <f t="shared" ca="1" si="8"/>
        <v>1</v>
      </c>
      <c r="P15" s="9">
        <f t="shared" ca="1" si="9"/>
        <v>1</v>
      </c>
      <c r="Q15" s="9">
        <f t="shared" ca="1" si="10"/>
        <v>1</v>
      </c>
      <c r="R15" s="9">
        <f t="shared" ca="1" si="11"/>
        <v>0</v>
      </c>
    </row>
    <row r="16" spans="1:18" x14ac:dyDescent="0.25">
      <c r="A16" s="18"/>
      <c r="B16" s="19" t="s">
        <v>478</v>
      </c>
      <c r="C16" s="5" t="s">
        <v>479</v>
      </c>
      <c r="D16" s="7" t="e">
        <f ca="1">_xll.xlqPrice(C16)</f>
        <v>#NAME?</v>
      </c>
      <c r="E16" s="9" t="e">
        <f t="shared" ca="1" si="2"/>
        <v>#NAME?</v>
      </c>
      <c r="F16" s="9">
        <f t="shared" ca="1" si="3"/>
        <v>1</v>
      </c>
      <c r="G16" s="8">
        <f t="shared" ca="1" si="4"/>
        <v>0</v>
      </c>
      <c r="H16" s="8">
        <f t="shared" ca="1" si="5"/>
        <v>0</v>
      </c>
      <c r="I16" s="8">
        <f t="shared" ca="1" si="6"/>
        <v>0</v>
      </c>
      <c r="J16" s="6" t="e">
        <f ca="1">_xll.xlqxhSMA($C16,$L$4,$J$7,$K$3)</f>
        <v>#NAME?</v>
      </c>
      <c r="K16" s="7" t="e">
        <f ca="1">_xll.xlqhClose($C16,K$8,$K$3)</f>
        <v>#NAME?</v>
      </c>
      <c r="L16" s="7" t="e">
        <f ca="1">_xll.xlqhClose($C16,L$8,$K$3)</f>
        <v>#NAME?</v>
      </c>
      <c r="N16" s="9">
        <f t="shared" ca="1" si="7"/>
        <v>1</v>
      </c>
      <c r="O16" s="9">
        <f t="shared" ca="1" si="8"/>
        <v>1</v>
      </c>
      <c r="P16" s="9">
        <f t="shared" ca="1" si="9"/>
        <v>1</v>
      </c>
      <c r="Q16" s="9">
        <f t="shared" ca="1" si="10"/>
        <v>1</v>
      </c>
      <c r="R16" s="9">
        <f t="shared" ca="1" si="11"/>
        <v>0</v>
      </c>
    </row>
    <row r="17" spans="1:18" x14ac:dyDescent="0.25">
      <c r="A17" s="18"/>
      <c r="B17" s="19" t="s">
        <v>408</v>
      </c>
      <c r="C17" s="5" t="s">
        <v>409</v>
      </c>
      <c r="D17" s="7" t="e">
        <f ca="1">_xll.xlqPrice(C17)</f>
        <v>#NAME?</v>
      </c>
      <c r="E17" s="9" t="e">
        <f t="shared" ca="1" si="2"/>
        <v>#NAME?</v>
      </c>
      <c r="F17" s="9">
        <f t="shared" ca="1" si="3"/>
        <v>1</v>
      </c>
      <c r="G17" s="8">
        <f t="shared" ca="1" si="4"/>
        <v>0</v>
      </c>
      <c r="H17" s="8">
        <f t="shared" ca="1" si="5"/>
        <v>0</v>
      </c>
      <c r="I17" s="8">
        <f t="shared" ca="1" si="6"/>
        <v>0</v>
      </c>
      <c r="J17" s="6" t="e">
        <f ca="1">_xll.xlqxhSMA($C17,$L$4,$J$7,$K$3)</f>
        <v>#NAME?</v>
      </c>
      <c r="K17" s="7" t="e">
        <f ca="1">_xll.xlqhClose($C17,K$8,$K$3)</f>
        <v>#NAME?</v>
      </c>
      <c r="L17" s="7" t="e">
        <f ca="1">_xll.xlqhClose($C17,L$8,$K$3)</f>
        <v>#NAME?</v>
      </c>
      <c r="N17" s="9">
        <f t="shared" ca="1" si="7"/>
        <v>1</v>
      </c>
      <c r="O17" s="9">
        <f t="shared" ca="1" si="8"/>
        <v>1</v>
      </c>
      <c r="P17" s="9">
        <f t="shared" ca="1" si="9"/>
        <v>1</v>
      </c>
      <c r="Q17" s="9">
        <f t="shared" ca="1" si="10"/>
        <v>1</v>
      </c>
      <c r="R17" s="9">
        <f t="shared" ca="1" si="11"/>
        <v>0</v>
      </c>
    </row>
    <row r="18" spans="1:18" x14ac:dyDescent="0.25">
      <c r="A18" s="18"/>
      <c r="B18" s="19" t="s">
        <v>922</v>
      </c>
      <c r="C18" s="5" t="s">
        <v>923</v>
      </c>
      <c r="D18" s="7" t="e">
        <f ca="1">_xll.xlqPrice(C18)</f>
        <v>#NAME?</v>
      </c>
      <c r="E18" s="9" t="e">
        <f t="shared" ca="1" si="2"/>
        <v>#NAME?</v>
      </c>
      <c r="F18" s="9">
        <f t="shared" ca="1" si="3"/>
        <v>1</v>
      </c>
      <c r="G18" s="8">
        <f t="shared" ca="1" si="4"/>
        <v>0</v>
      </c>
      <c r="H18" s="8">
        <f t="shared" ca="1" si="5"/>
        <v>0</v>
      </c>
      <c r="I18" s="8">
        <f t="shared" ca="1" si="6"/>
        <v>0</v>
      </c>
      <c r="J18" s="6" t="e">
        <f ca="1">_xll.xlqxhSMA($C18,$L$4,$J$7,$K$3)</f>
        <v>#NAME?</v>
      </c>
      <c r="K18" s="7" t="e">
        <f ca="1">_xll.xlqhClose($C18,K$8,$K$3)</f>
        <v>#NAME?</v>
      </c>
      <c r="L18" s="7" t="e">
        <f ca="1">_xll.xlqhClose($C18,L$8,$K$3)</f>
        <v>#NAME?</v>
      </c>
      <c r="N18" s="9">
        <f t="shared" ca="1" si="7"/>
        <v>1</v>
      </c>
      <c r="O18" s="9">
        <f t="shared" ca="1" si="8"/>
        <v>1</v>
      </c>
      <c r="P18" s="9">
        <f t="shared" ca="1" si="9"/>
        <v>1</v>
      </c>
      <c r="Q18" s="9">
        <f t="shared" ca="1" si="10"/>
        <v>1</v>
      </c>
      <c r="R18" s="9">
        <f t="shared" ca="1" si="11"/>
        <v>0</v>
      </c>
    </row>
    <row r="19" spans="1:18" x14ac:dyDescent="0.25">
      <c r="A19" s="18"/>
      <c r="B19" s="19" t="s">
        <v>1687</v>
      </c>
      <c r="C19" s="5" t="s">
        <v>1688</v>
      </c>
      <c r="D19" s="7" t="e">
        <f ca="1">_xll.xlqPrice(C19)</f>
        <v>#NAME?</v>
      </c>
      <c r="E19" s="9" t="e">
        <f t="shared" ca="1" si="2"/>
        <v>#NAME?</v>
      </c>
      <c r="F19" s="9">
        <f t="shared" ca="1" si="3"/>
        <v>1</v>
      </c>
      <c r="G19" s="8">
        <f t="shared" ca="1" si="4"/>
        <v>0</v>
      </c>
      <c r="H19" s="8">
        <f t="shared" ca="1" si="5"/>
        <v>0</v>
      </c>
      <c r="I19" s="8">
        <f t="shared" ca="1" si="6"/>
        <v>0</v>
      </c>
      <c r="J19" s="6" t="e">
        <f ca="1">_xll.xlqxhSMA($C19,$L$4,$J$7,$K$3)</f>
        <v>#NAME?</v>
      </c>
      <c r="K19" s="7" t="e">
        <f ca="1">_xll.xlqhClose($C19,K$8,$K$3)</f>
        <v>#NAME?</v>
      </c>
      <c r="L19" s="7" t="e">
        <f ca="1">_xll.xlqhClose($C19,L$8,$K$3)</f>
        <v>#NAME?</v>
      </c>
      <c r="N19" s="9">
        <f t="shared" ca="1" si="7"/>
        <v>1</v>
      </c>
      <c r="O19" s="9">
        <f t="shared" ca="1" si="8"/>
        <v>1</v>
      </c>
      <c r="P19" s="9">
        <f t="shared" ca="1" si="9"/>
        <v>1</v>
      </c>
      <c r="Q19" s="9">
        <f t="shared" ca="1" si="10"/>
        <v>1</v>
      </c>
      <c r="R19" s="9">
        <f t="shared" ca="1" si="11"/>
        <v>0</v>
      </c>
    </row>
    <row r="20" spans="1:18" x14ac:dyDescent="0.25">
      <c r="A20" s="18"/>
      <c r="B20" s="19" t="s">
        <v>160</v>
      </c>
      <c r="C20" s="5" t="s">
        <v>161</v>
      </c>
      <c r="D20" s="7" t="e">
        <f ca="1">_xll.xlqPrice(C20)</f>
        <v>#NAME?</v>
      </c>
      <c r="E20" s="9" t="e">
        <f t="shared" ca="1" si="2"/>
        <v>#NAME?</v>
      </c>
      <c r="F20" s="9">
        <f t="shared" ca="1" si="3"/>
        <v>1</v>
      </c>
      <c r="G20" s="8">
        <f t="shared" ca="1" si="4"/>
        <v>0</v>
      </c>
      <c r="H20" s="8">
        <f t="shared" ca="1" si="5"/>
        <v>0</v>
      </c>
      <c r="I20" s="8">
        <f t="shared" ca="1" si="6"/>
        <v>0</v>
      </c>
      <c r="J20" s="6" t="e">
        <f ca="1">_xll.xlqxhSMA($C20,$L$4,$J$7,$K$3)</f>
        <v>#NAME?</v>
      </c>
      <c r="K20" s="7" t="e">
        <f ca="1">_xll.xlqhClose($C20,K$8,$K$3)</f>
        <v>#NAME?</v>
      </c>
      <c r="L20" s="7" t="e">
        <f ca="1">_xll.xlqhClose($C20,L$8,$K$3)</f>
        <v>#NAME?</v>
      </c>
      <c r="N20" s="9">
        <f t="shared" ca="1" si="7"/>
        <v>1</v>
      </c>
      <c r="O20" s="9">
        <f t="shared" ca="1" si="8"/>
        <v>1</v>
      </c>
      <c r="P20" s="9">
        <f t="shared" ca="1" si="9"/>
        <v>1</v>
      </c>
      <c r="Q20" s="9">
        <f t="shared" ca="1" si="10"/>
        <v>1</v>
      </c>
      <c r="R20" s="9">
        <f t="shared" ca="1" si="11"/>
        <v>0</v>
      </c>
    </row>
    <row r="21" spans="1:18" x14ac:dyDescent="0.25">
      <c r="A21" s="18"/>
      <c r="B21" s="19" t="s">
        <v>1549</v>
      </c>
      <c r="C21" s="5" t="s">
        <v>1550</v>
      </c>
      <c r="D21" s="7" t="e">
        <f ca="1">_xll.xlqPrice(C21)</f>
        <v>#NAME?</v>
      </c>
      <c r="E21" s="9" t="e">
        <f t="shared" ca="1" si="2"/>
        <v>#NAME?</v>
      </c>
      <c r="F21" s="9">
        <f t="shared" ca="1" si="3"/>
        <v>1</v>
      </c>
      <c r="G21" s="8">
        <f t="shared" ca="1" si="4"/>
        <v>0</v>
      </c>
      <c r="H21" s="8">
        <f t="shared" ca="1" si="5"/>
        <v>0</v>
      </c>
      <c r="I21" s="8">
        <f t="shared" ca="1" si="6"/>
        <v>0</v>
      </c>
      <c r="J21" s="6" t="e">
        <f ca="1">_xll.xlqxhSMA($C21,$L$4,$J$7,$K$3)</f>
        <v>#NAME?</v>
      </c>
      <c r="K21" s="7" t="e">
        <f ca="1">_xll.xlqhClose($C21,K$8,$K$3)</f>
        <v>#NAME?</v>
      </c>
      <c r="L21" s="7" t="e">
        <f ca="1">_xll.xlqhClose($C21,L$8,$K$3)</f>
        <v>#NAME?</v>
      </c>
      <c r="N21" s="9">
        <f t="shared" ca="1" si="7"/>
        <v>1</v>
      </c>
      <c r="O21" s="9">
        <f t="shared" ca="1" si="8"/>
        <v>1</v>
      </c>
      <c r="P21" s="9">
        <f t="shared" ca="1" si="9"/>
        <v>1</v>
      </c>
      <c r="Q21" s="9">
        <f t="shared" ca="1" si="10"/>
        <v>1</v>
      </c>
      <c r="R21" s="9">
        <f t="shared" ca="1" si="11"/>
        <v>0</v>
      </c>
    </row>
    <row r="22" spans="1:18" x14ac:dyDescent="0.25">
      <c r="A22" s="18"/>
      <c r="B22" s="19" t="s">
        <v>2093</v>
      </c>
      <c r="C22" s="5" t="s">
        <v>2094</v>
      </c>
      <c r="D22" s="7" t="e">
        <f ca="1">_xll.xlqPrice(C22)</f>
        <v>#NAME?</v>
      </c>
      <c r="E22" s="9" t="e">
        <f t="shared" ca="1" si="2"/>
        <v>#NAME?</v>
      </c>
      <c r="F22" s="9">
        <f t="shared" ca="1" si="3"/>
        <v>1</v>
      </c>
      <c r="G22" s="8">
        <f t="shared" ca="1" si="4"/>
        <v>0</v>
      </c>
      <c r="H22" s="8">
        <f t="shared" ca="1" si="5"/>
        <v>0</v>
      </c>
      <c r="I22" s="8">
        <f t="shared" ca="1" si="6"/>
        <v>0</v>
      </c>
      <c r="J22" s="6" t="e">
        <f ca="1">_xll.xlqxhSMA($C22,$L$4,$J$7,$K$3)</f>
        <v>#NAME?</v>
      </c>
      <c r="K22" s="7" t="e">
        <f ca="1">_xll.xlqhClose($C22,K$8,$K$3)</f>
        <v>#NAME?</v>
      </c>
      <c r="L22" s="7" t="e">
        <f ca="1">_xll.xlqhClose($C22,L$8,$K$3)</f>
        <v>#NAME?</v>
      </c>
      <c r="N22" s="9">
        <f t="shared" ca="1" si="7"/>
        <v>1</v>
      </c>
      <c r="O22" s="9">
        <f t="shared" ca="1" si="8"/>
        <v>1</v>
      </c>
      <c r="P22" s="9">
        <f t="shared" ca="1" si="9"/>
        <v>1</v>
      </c>
      <c r="Q22" s="9">
        <f t="shared" ca="1" si="10"/>
        <v>1</v>
      </c>
      <c r="R22" s="9">
        <f t="shared" ca="1" si="11"/>
        <v>0</v>
      </c>
    </row>
    <row r="23" spans="1:18" x14ac:dyDescent="0.25">
      <c r="A23" s="18"/>
      <c r="B23" s="19" t="s">
        <v>624</v>
      </c>
      <c r="C23" s="5" t="s">
        <v>625</v>
      </c>
      <c r="D23" s="7" t="e">
        <f ca="1">_xll.xlqPrice(C23)</f>
        <v>#NAME?</v>
      </c>
      <c r="E23" s="9" t="e">
        <f t="shared" ca="1" si="2"/>
        <v>#NAME?</v>
      </c>
      <c r="F23" s="9">
        <f t="shared" ca="1" si="3"/>
        <v>1</v>
      </c>
      <c r="G23" s="8">
        <f t="shared" ca="1" si="4"/>
        <v>0</v>
      </c>
      <c r="H23" s="8">
        <f t="shared" ca="1" si="5"/>
        <v>0</v>
      </c>
      <c r="I23" s="8">
        <f t="shared" ca="1" si="6"/>
        <v>0</v>
      </c>
      <c r="J23" s="6" t="e">
        <f ca="1">_xll.xlqxhSMA($C23,$L$4,$J$7,$K$3)</f>
        <v>#NAME?</v>
      </c>
      <c r="K23" s="7" t="e">
        <f ca="1">_xll.xlqhClose($C23,K$8,$K$3)</f>
        <v>#NAME?</v>
      </c>
      <c r="L23" s="7" t="e">
        <f ca="1">_xll.xlqhClose($C23,L$8,$K$3)</f>
        <v>#NAME?</v>
      </c>
      <c r="N23" s="9">
        <f t="shared" ca="1" si="7"/>
        <v>1</v>
      </c>
      <c r="O23" s="9">
        <f t="shared" ca="1" si="8"/>
        <v>1</v>
      </c>
      <c r="P23" s="9">
        <f t="shared" ca="1" si="9"/>
        <v>1</v>
      </c>
      <c r="Q23" s="9">
        <f t="shared" ca="1" si="10"/>
        <v>1</v>
      </c>
      <c r="R23" s="9">
        <f t="shared" ca="1" si="11"/>
        <v>0</v>
      </c>
    </row>
    <row r="24" spans="1:18" x14ac:dyDescent="0.25">
      <c r="A24" s="18"/>
      <c r="B24" s="19" t="s">
        <v>1637</v>
      </c>
      <c r="C24" s="5" t="s">
        <v>1638</v>
      </c>
      <c r="D24" s="7" t="e">
        <f ca="1">_xll.xlqPrice(C24)</f>
        <v>#NAME?</v>
      </c>
      <c r="E24" s="9" t="e">
        <f t="shared" ca="1" si="2"/>
        <v>#NAME?</v>
      </c>
      <c r="F24" s="9">
        <f t="shared" ca="1" si="3"/>
        <v>1</v>
      </c>
      <c r="G24" s="8">
        <f t="shared" ca="1" si="4"/>
        <v>0</v>
      </c>
      <c r="H24" s="8">
        <f t="shared" ca="1" si="5"/>
        <v>0</v>
      </c>
      <c r="I24" s="8">
        <f t="shared" ca="1" si="6"/>
        <v>0</v>
      </c>
      <c r="J24" s="6" t="e">
        <f ca="1">_xll.xlqxhSMA($C24,$L$4,$J$7,$K$3)</f>
        <v>#NAME?</v>
      </c>
      <c r="K24" s="7" t="e">
        <f ca="1">_xll.xlqhClose($C24,K$8,$K$3)</f>
        <v>#NAME?</v>
      </c>
      <c r="L24" s="7" t="e">
        <f ca="1">_xll.xlqhClose($C24,L$8,$K$3)</f>
        <v>#NAME?</v>
      </c>
      <c r="N24" s="9">
        <f t="shared" ca="1" si="7"/>
        <v>1</v>
      </c>
      <c r="O24" s="9">
        <f t="shared" ca="1" si="8"/>
        <v>1</v>
      </c>
      <c r="P24" s="9">
        <f t="shared" ca="1" si="9"/>
        <v>1</v>
      </c>
      <c r="Q24" s="9">
        <f t="shared" ca="1" si="10"/>
        <v>1</v>
      </c>
      <c r="R24" s="9">
        <f t="shared" ca="1" si="11"/>
        <v>0</v>
      </c>
    </row>
    <row r="25" spans="1:18" x14ac:dyDescent="0.25">
      <c r="A25" s="18"/>
      <c r="B25" s="19" t="s">
        <v>1871</v>
      </c>
      <c r="C25" s="5" t="s">
        <v>1872</v>
      </c>
      <c r="D25" s="7" t="e">
        <f ca="1">_xll.xlqPrice(C25)</f>
        <v>#NAME?</v>
      </c>
      <c r="E25" s="9" t="e">
        <f t="shared" ca="1" si="2"/>
        <v>#NAME?</v>
      </c>
      <c r="F25" s="9">
        <f t="shared" ca="1" si="3"/>
        <v>1</v>
      </c>
      <c r="G25" s="8">
        <f t="shared" ca="1" si="4"/>
        <v>0</v>
      </c>
      <c r="H25" s="8">
        <f t="shared" ca="1" si="5"/>
        <v>0</v>
      </c>
      <c r="I25" s="8">
        <f t="shared" ca="1" si="6"/>
        <v>0</v>
      </c>
      <c r="J25" s="6" t="e">
        <f ca="1">_xll.xlqxhSMA($C25,$L$4,$J$7,$K$3)</f>
        <v>#NAME?</v>
      </c>
      <c r="K25" s="7" t="e">
        <f ca="1">_xll.xlqhClose($C25,K$8,$K$3)</f>
        <v>#NAME?</v>
      </c>
      <c r="L25" s="7" t="e">
        <f ca="1">_xll.xlqhClose($C25,L$8,$K$3)</f>
        <v>#NAME?</v>
      </c>
      <c r="N25" s="9">
        <f t="shared" ca="1" si="7"/>
        <v>1</v>
      </c>
      <c r="O25" s="9">
        <f t="shared" ca="1" si="8"/>
        <v>1</v>
      </c>
      <c r="P25" s="9">
        <f t="shared" ca="1" si="9"/>
        <v>1</v>
      </c>
      <c r="Q25" s="9">
        <f t="shared" ca="1" si="10"/>
        <v>1</v>
      </c>
      <c r="R25" s="9">
        <f t="shared" ca="1" si="11"/>
        <v>0</v>
      </c>
    </row>
    <row r="26" spans="1:18" x14ac:dyDescent="0.25">
      <c r="A26" s="18"/>
      <c r="B26" s="19" t="s">
        <v>896</v>
      </c>
      <c r="C26" s="5" t="s">
        <v>897</v>
      </c>
      <c r="D26" s="7" t="e">
        <f ca="1">_xll.xlqPrice(C26)</f>
        <v>#NAME?</v>
      </c>
      <c r="E26" s="9" t="e">
        <f t="shared" ca="1" si="2"/>
        <v>#NAME?</v>
      </c>
      <c r="F26" s="9">
        <f t="shared" ca="1" si="3"/>
        <v>1</v>
      </c>
      <c r="G26" s="8">
        <f t="shared" ca="1" si="4"/>
        <v>0</v>
      </c>
      <c r="H26" s="8">
        <f t="shared" ca="1" si="5"/>
        <v>0</v>
      </c>
      <c r="I26" s="8">
        <f t="shared" ca="1" si="6"/>
        <v>0</v>
      </c>
      <c r="J26" s="6" t="e">
        <f ca="1">_xll.xlqxhSMA($C26,$L$4,$J$7,$K$3)</f>
        <v>#NAME?</v>
      </c>
      <c r="K26" s="7" t="e">
        <f ca="1">_xll.xlqhClose($C26,K$8,$K$3)</f>
        <v>#NAME?</v>
      </c>
      <c r="L26" s="7" t="e">
        <f ca="1">_xll.xlqhClose($C26,L$8,$K$3)</f>
        <v>#NAME?</v>
      </c>
      <c r="N26" s="9">
        <f t="shared" ca="1" si="7"/>
        <v>1</v>
      </c>
      <c r="O26" s="9">
        <f t="shared" ca="1" si="8"/>
        <v>1</v>
      </c>
      <c r="P26" s="9">
        <f t="shared" ca="1" si="9"/>
        <v>1</v>
      </c>
      <c r="Q26" s="9">
        <f t="shared" ca="1" si="10"/>
        <v>1</v>
      </c>
      <c r="R26" s="9">
        <f t="shared" ca="1" si="11"/>
        <v>0</v>
      </c>
    </row>
    <row r="27" spans="1:18" x14ac:dyDescent="0.25">
      <c r="A27" s="18"/>
      <c r="B27" s="19" t="s">
        <v>862</v>
      </c>
      <c r="C27" s="5" t="s">
        <v>863</v>
      </c>
      <c r="D27" s="7" t="e">
        <f ca="1">_xll.xlqPrice(C27)</f>
        <v>#NAME?</v>
      </c>
      <c r="E27" s="9" t="e">
        <f t="shared" ca="1" si="2"/>
        <v>#NAME?</v>
      </c>
      <c r="F27" s="9">
        <f t="shared" ca="1" si="3"/>
        <v>1</v>
      </c>
      <c r="G27" s="8">
        <f t="shared" ca="1" si="4"/>
        <v>0</v>
      </c>
      <c r="H27" s="8">
        <f t="shared" ca="1" si="5"/>
        <v>0</v>
      </c>
      <c r="I27" s="8">
        <f t="shared" ca="1" si="6"/>
        <v>0</v>
      </c>
      <c r="J27" s="6" t="e">
        <f ca="1">_xll.xlqxhSMA($C27,$L$4,$J$7,$K$3)</f>
        <v>#NAME?</v>
      </c>
      <c r="K27" s="7" t="e">
        <f ca="1">_xll.xlqhClose($C27,K$8,$K$3)</f>
        <v>#NAME?</v>
      </c>
      <c r="L27" s="7" t="e">
        <f ca="1">_xll.xlqhClose($C27,L$8,$K$3)</f>
        <v>#NAME?</v>
      </c>
      <c r="N27" s="9">
        <f t="shared" ca="1" si="7"/>
        <v>1</v>
      </c>
      <c r="O27" s="9">
        <f t="shared" ca="1" si="8"/>
        <v>1</v>
      </c>
      <c r="P27" s="9">
        <f t="shared" ca="1" si="9"/>
        <v>1</v>
      </c>
      <c r="Q27" s="9">
        <f t="shared" ca="1" si="10"/>
        <v>1</v>
      </c>
      <c r="R27" s="9">
        <f t="shared" ca="1" si="11"/>
        <v>0</v>
      </c>
    </row>
    <row r="28" spans="1:18" x14ac:dyDescent="0.25">
      <c r="A28" s="18"/>
      <c r="B28" s="19" t="s">
        <v>2331</v>
      </c>
      <c r="C28" s="5" t="s">
        <v>2332</v>
      </c>
      <c r="D28" s="7" t="e">
        <f ca="1">_xll.xlqPrice(C28)</f>
        <v>#NAME?</v>
      </c>
      <c r="E28" s="9" t="e">
        <f t="shared" ca="1" si="2"/>
        <v>#NAME?</v>
      </c>
      <c r="F28" s="9">
        <f t="shared" ca="1" si="3"/>
        <v>1</v>
      </c>
      <c r="G28" s="8">
        <f t="shared" ca="1" si="4"/>
        <v>0</v>
      </c>
      <c r="H28" s="8">
        <f t="shared" ca="1" si="5"/>
        <v>0</v>
      </c>
      <c r="I28" s="8">
        <f t="shared" ca="1" si="6"/>
        <v>0</v>
      </c>
      <c r="J28" s="6" t="e">
        <f ca="1">_xll.xlqxhSMA($C28,$L$4,$J$7,$K$3)</f>
        <v>#NAME?</v>
      </c>
      <c r="K28" s="7" t="e">
        <f ca="1">_xll.xlqhClose($C28,K$8,$K$3)</f>
        <v>#NAME?</v>
      </c>
      <c r="L28" s="7" t="e">
        <f ca="1">_xll.xlqhClose($C28,L$8,$K$3)</f>
        <v>#NAME?</v>
      </c>
      <c r="N28" s="9">
        <f t="shared" ca="1" si="7"/>
        <v>1</v>
      </c>
      <c r="O28" s="9">
        <f t="shared" ca="1" si="8"/>
        <v>1</v>
      </c>
      <c r="P28" s="9">
        <f t="shared" ca="1" si="9"/>
        <v>1</v>
      </c>
      <c r="Q28" s="9">
        <f t="shared" ca="1" si="10"/>
        <v>1</v>
      </c>
      <c r="R28" s="9">
        <f t="shared" ca="1" si="11"/>
        <v>0</v>
      </c>
    </row>
    <row r="29" spans="1:18" x14ac:dyDescent="0.25">
      <c r="A29" s="18"/>
      <c r="B29" s="19" t="s">
        <v>2191</v>
      </c>
      <c r="C29" s="5" t="s">
        <v>2192</v>
      </c>
      <c r="D29" s="7" t="e">
        <f ca="1">_xll.xlqPrice(C29)</f>
        <v>#NAME?</v>
      </c>
      <c r="E29" s="9" t="e">
        <f t="shared" ca="1" si="2"/>
        <v>#NAME?</v>
      </c>
      <c r="F29" s="9">
        <f t="shared" ca="1" si="3"/>
        <v>1</v>
      </c>
      <c r="G29" s="8">
        <f t="shared" ca="1" si="4"/>
        <v>0</v>
      </c>
      <c r="H29" s="8">
        <f t="shared" ca="1" si="5"/>
        <v>0</v>
      </c>
      <c r="I29" s="8">
        <f t="shared" ca="1" si="6"/>
        <v>0</v>
      </c>
      <c r="J29" s="6" t="e">
        <f ca="1">_xll.xlqxhSMA($C29,$L$4,$J$7,$K$3)</f>
        <v>#NAME?</v>
      </c>
      <c r="K29" s="7" t="e">
        <f ca="1">_xll.xlqhClose($C29,K$8,$K$3)</f>
        <v>#NAME?</v>
      </c>
      <c r="L29" s="7" t="e">
        <f ca="1">_xll.xlqhClose($C29,L$8,$K$3)</f>
        <v>#NAME?</v>
      </c>
      <c r="N29" s="9">
        <f t="shared" ca="1" si="7"/>
        <v>1</v>
      </c>
      <c r="O29" s="9">
        <f t="shared" ca="1" si="8"/>
        <v>1</v>
      </c>
      <c r="P29" s="9">
        <f t="shared" ca="1" si="9"/>
        <v>1</v>
      </c>
      <c r="Q29" s="9">
        <f t="shared" ca="1" si="10"/>
        <v>1</v>
      </c>
      <c r="R29" s="9">
        <f t="shared" ca="1" si="11"/>
        <v>0</v>
      </c>
    </row>
    <row r="30" spans="1:18" x14ac:dyDescent="0.25">
      <c r="A30" s="18"/>
      <c r="B30" s="19" t="s">
        <v>1847</v>
      </c>
      <c r="C30" s="5" t="s">
        <v>1848</v>
      </c>
      <c r="D30" s="7" t="e">
        <f ca="1">_xll.xlqPrice(C30)</f>
        <v>#NAME?</v>
      </c>
      <c r="E30" s="9" t="e">
        <f t="shared" ca="1" si="2"/>
        <v>#NAME?</v>
      </c>
      <c r="F30" s="9">
        <f t="shared" ca="1" si="3"/>
        <v>1</v>
      </c>
      <c r="G30" s="8">
        <f t="shared" ca="1" si="4"/>
        <v>0</v>
      </c>
      <c r="H30" s="8">
        <f t="shared" ca="1" si="5"/>
        <v>0</v>
      </c>
      <c r="I30" s="8">
        <f t="shared" ca="1" si="6"/>
        <v>0</v>
      </c>
      <c r="J30" s="6" t="e">
        <f ca="1">_xll.xlqxhSMA($C30,$L$4,$J$7,$K$3)</f>
        <v>#NAME?</v>
      </c>
      <c r="K30" s="7" t="e">
        <f ca="1">_xll.xlqhClose($C30,K$8,$K$3)</f>
        <v>#NAME?</v>
      </c>
      <c r="L30" s="7" t="e">
        <f ca="1">_xll.xlqhClose($C30,L$8,$K$3)</f>
        <v>#NAME?</v>
      </c>
      <c r="N30" s="9">
        <f t="shared" ca="1" si="7"/>
        <v>1</v>
      </c>
      <c r="O30" s="9">
        <f t="shared" ca="1" si="8"/>
        <v>1</v>
      </c>
      <c r="P30" s="9">
        <f t="shared" ca="1" si="9"/>
        <v>1</v>
      </c>
      <c r="Q30" s="9">
        <f t="shared" ca="1" si="10"/>
        <v>1</v>
      </c>
      <c r="R30" s="9">
        <f t="shared" ca="1" si="11"/>
        <v>0</v>
      </c>
    </row>
    <row r="31" spans="1:18" x14ac:dyDescent="0.25">
      <c r="A31" s="18"/>
      <c r="B31" s="19" t="s">
        <v>1737</v>
      </c>
      <c r="C31" s="5" t="s">
        <v>1738</v>
      </c>
      <c r="D31" s="7" t="e">
        <f ca="1">_xll.xlqPrice(C31)</f>
        <v>#NAME?</v>
      </c>
      <c r="E31" s="9" t="e">
        <f t="shared" ca="1" si="2"/>
        <v>#NAME?</v>
      </c>
      <c r="F31" s="9">
        <f t="shared" ca="1" si="3"/>
        <v>1</v>
      </c>
      <c r="G31" s="8">
        <f t="shared" ca="1" si="4"/>
        <v>0</v>
      </c>
      <c r="H31" s="8">
        <f t="shared" ca="1" si="5"/>
        <v>0</v>
      </c>
      <c r="I31" s="8">
        <f t="shared" ca="1" si="6"/>
        <v>0</v>
      </c>
      <c r="J31" s="6" t="e">
        <f ca="1">_xll.xlqxhSMA($C31,$L$4,$J$7,$K$3)</f>
        <v>#NAME?</v>
      </c>
      <c r="K31" s="7" t="e">
        <f ca="1">_xll.xlqhClose($C31,K$8,$K$3)</f>
        <v>#NAME?</v>
      </c>
      <c r="L31" s="7" t="e">
        <f ca="1">_xll.xlqhClose($C31,L$8,$K$3)</f>
        <v>#NAME?</v>
      </c>
      <c r="N31" s="9">
        <f t="shared" ca="1" si="7"/>
        <v>1</v>
      </c>
      <c r="O31" s="9">
        <f t="shared" ca="1" si="8"/>
        <v>1</v>
      </c>
      <c r="P31" s="9">
        <f t="shared" ca="1" si="9"/>
        <v>1</v>
      </c>
      <c r="Q31" s="9">
        <f t="shared" ca="1" si="10"/>
        <v>1</v>
      </c>
      <c r="R31" s="9">
        <f t="shared" ca="1" si="11"/>
        <v>0</v>
      </c>
    </row>
    <row r="32" spans="1:18" x14ac:dyDescent="0.25">
      <c r="A32" s="18"/>
      <c r="B32" s="19" t="s">
        <v>1591</v>
      </c>
      <c r="C32" s="5" t="s">
        <v>1592</v>
      </c>
      <c r="D32" s="7" t="e">
        <f ca="1">_xll.xlqPrice(C32)</f>
        <v>#NAME?</v>
      </c>
      <c r="E32" s="9" t="e">
        <f t="shared" ca="1" si="2"/>
        <v>#NAME?</v>
      </c>
      <c r="F32" s="9">
        <f t="shared" ca="1" si="3"/>
        <v>1</v>
      </c>
      <c r="G32" s="8">
        <f t="shared" ca="1" si="4"/>
        <v>0</v>
      </c>
      <c r="H32" s="8">
        <f t="shared" ca="1" si="5"/>
        <v>0</v>
      </c>
      <c r="I32" s="8">
        <f t="shared" ca="1" si="6"/>
        <v>0</v>
      </c>
      <c r="J32" s="6" t="e">
        <f ca="1">_xll.xlqxhSMA($C32,$L$4,$J$7,$K$3)</f>
        <v>#NAME?</v>
      </c>
      <c r="K32" s="7" t="e">
        <f ca="1">_xll.xlqhClose($C32,K$8,$K$3)</f>
        <v>#NAME?</v>
      </c>
      <c r="L32" s="7" t="e">
        <f ca="1">_xll.xlqhClose($C32,L$8,$K$3)</f>
        <v>#NAME?</v>
      </c>
      <c r="N32" s="9">
        <f t="shared" ca="1" si="7"/>
        <v>1</v>
      </c>
      <c r="O32" s="9">
        <f t="shared" ca="1" si="8"/>
        <v>1</v>
      </c>
      <c r="P32" s="9">
        <f t="shared" ca="1" si="9"/>
        <v>1</v>
      </c>
      <c r="Q32" s="9">
        <f t="shared" ca="1" si="10"/>
        <v>1</v>
      </c>
      <c r="R32" s="9">
        <f t="shared" ca="1" si="11"/>
        <v>0</v>
      </c>
    </row>
    <row r="33" spans="1:18" x14ac:dyDescent="0.25">
      <c r="A33" s="18"/>
      <c r="B33" s="19" t="s">
        <v>224</v>
      </c>
      <c r="C33" s="5" t="s">
        <v>225</v>
      </c>
      <c r="D33" s="7" t="e">
        <f ca="1">_xll.xlqPrice(C33)</f>
        <v>#NAME?</v>
      </c>
      <c r="E33" s="9" t="e">
        <f t="shared" ca="1" si="2"/>
        <v>#NAME?</v>
      </c>
      <c r="F33" s="9">
        <f t="shared" ca="1" si="3"/>
        <v>1</v>
      </c>
      <c r="G33" s="8">
        <f t="shared" ca="1" si="4"/>
        <v>0</v>
      </c>
      <c r="H33" s="8">
        <f t="shared" ca="1" si="5"/>
        <v>0</v>
      </c>
      <c r="I33" s="8">
        <f t="shared" ca="1" si="6"/>
        <v>0</v>
      </c>
      <c r="J33" s="6" t="e">
        <f ca="1">_xll.xlqxhSMA($C33,$L$4,$J$7,$K$3)</f>
        <v>#NAME?</v>
      </c>
      <c r="K33" s="7" t="e">
        <f ca="1">_xll.xlqhClose($C33,K$8,$K$3)</f>
        <v>#NAME?</v>
      </c>
      <c r="L33" s="7" t="e">
        <f ca="1">_xll.xlqhClose($C33,L$8,$K$3)</f>
        <v>#NAME?</v>
      </c>
      <c r="N33" s="9">
        <f t="shared" ca="1" si="7"/>
        <v>1</v>
      </c>
      <c r="O33" s="9">
        <f t="shared" ca="1" si="8"/>
        <v>1</v>
      </c>
      <c r="P33" s="9">
        <f t="shared" ca="1" si="9"/>
        <v>1</v>
      </c>
      <c r="Q33" s="9">
        <f t="shared" ca="1" si="10"/>
        <v>1</v>
      </c>
      <c r="R33" s="9">
        <f t="shared" ca="1" si="11"/>
        <v>0</v>
      </c>
    </row>
    <row r="34" spans="1:18" x14ac:dyDescent="0.25">
      <c r="A34" s="18"/>
      <c r="B34" s="19" t="s">
        <v>1257</v>
      </c>
      <c r="C34" s="5" t="s">
        <v>1258</v>
      </c>
      <c r="D34" s="7" t="e">
        <f ca="1">_xll.xlqPrice(C34)</f>
        <v>#NAME?</v>
      </c>
      <c r="E34" s="9" t="e">
        <f t="shared" ca="1" si="2"/>
        <v>#NAME?</v>
      </c>
      <c r="F34" s="9">
        <f t="shared" ca="1" si="3"/>
        <v>1</v>
      </c>
      <c r="G34" s="8">
        <f t="shared" ca="1" si="4"/>
        <v>0</v>
      </c>
      <c r="H34" s="8">
        <f t="shared" ca="1" si="5"/>
        <v>0</v>
      </c>
      <c r="I34" s="8">
        <f t="shared" ca="1" si="6"/>
        <v>0</v>
      </c>
      <c r="J34" s="6" t="e">
        <f ca="1">_xll.xlqxhSMA($C34,$L$4,$J$7,$K$3)</f>
        <v>#NAME?</v>
      </c>
      <c r="K34" s="7" t="e">
        <f ca="1">_xll.xlqhClose($C34,K$8,$K$3)</f>
        <v>#NAME?</v>
      </c>
      <c r="L34" s="7" t="e">
        <f ca="1">_xll.xlqhClose($C34,L$8,$K$3)</f>
        <v>#NAME?</v>
      </c>
      <c r="N34" s="9">
        <f t="shared" ca="1" si="7"/>
        <v>1</v>
      </c>
      <c r="O34" s="9">
        <f t="shared" ca="1" si="8"/>
        <v>1</v>
      </c>
      <c r="P34" s="9">
        <f t="shared" ca="1" si="9"/>
        <v>1</v>
      </c>
      <c r="Q34" s="9">
        <f t="shared" ca="1" si="10"/>
        <v>1</v>
      </c>
      <c r="R34" s="9">
        <f t="shared" ca="1" si="11"/>
        <v>0</v>
      </c>
    </row>
    <row r="35" spans="1:18" x14ac:dyDescent="0.25">
      <c r="A35" s="18"/>
      <c r="B35" s="19" t="s">
        <v>630</v>
      </c>
      <c r="C35" s="5" t="s">
        <v>631</v>
      </c>
      <c r="D35" s="7" t="e">
        <f ca="1">_xll.xlqPrice(C35)</f>
        <v>#NAME?</v>
      </c>
      <c r="E35" s="9" t="e">
        <f t="shared" ca="1" si="2"/>
        <v>#NAME?</v>
      </c>
      <c r="F35" s="9">
        <f t="shared" ca="1" si="3"/>
        <v>1</v>
      </c>
      <c r="G35" s="8">
        <f t="shared" ca="1" si="4"/>
        <v>0</v>
      </c>
      <c r="H35" s="8">
        <f t="shared" ca="1" si="5"/>
        <v>0</v>
      </c>
      <c r="I35" s="8">
        <f t="shared" ca="1" si="6"/>
        <v>0</v>
      </c>
      <c r="J35" s="6" t="e">
        <f ca="1">_xll.xlqxhSMA($C35,$L$4,$J$7,$K$3)</f>
        <v>#NAME?</v>
      </c>
      <c r="K35" s="7" t="e">
        <f ca="1">_xll.xlqhClose($C35,K$8,$K$3)</f>
        <v>#NAME?</v>
      </c>
      <c r="L35" s="7" t="e">
        <f ca="1">_xll.xlqhClose($C35,L$8,$K$3)</f>
        <v>#NAME?</v>
      </c>
      <c r="N35" s="9">
        <f t="shared" ca="1" si="7"/>
        <v>1</v>
      </c>
      <c r="O35" s="9">
        <f t="shared" ca="1" si="8"/>
        <v>1</v>
      </c>
      <c r="P35" s="9">
        <f t="shared" ca="1" si="9"/>
        <v>1</v>
      </c>
      <c r="Q35" s="9">
        <f t="shared" ca="1" si="10"/>
        <v>1</v>
      </c>
      <c r="R35" s="9">
        <f t="shared" ca="1" si="11"/>
        <v>0</v>
      </c>
    </row>
    <row r="36" spans="1:18" x14ac:dyDescent="0.25">
      <c r="A36" s="18"/>
      <c r="B36" s="19" t="s">
        <v>830</v>
      </c>
      <c r="C36" s="5" t="s">
        <v>831</v>
      </c>
      <c r="D36" s="7" t="e">
        <f ca="1">_xll.xlqPrice(C36)</f>
        <v>#NAME?</v>
      </c>
      <c r="E36" s="9" t="e">
        <f t="shared" ca="1" si="2"/>
        <v>#NAME?</v>
      </c>
      <c r="F36" s="9">
        <f t="shared" ca="1" si="3"/>
        <v>1</v>
      </c>
      <c r="G36" s="8">
        <f t="shared" ca="1" si="4"/>
        <v>0</v>
      </c>
      <c r="H36" s="8">
        <f t="shared" ca="1" si="5"/>
        <v>0</v>
      </c>
      <c r="I36" s="8">
        <f t="shared" ca="1" si="6"/>
        <v>0</v>
      </c>
      <c r="J36" s="6" t="e">
        <f ca="1">_xll.xlqxhSMA($C36,$L$4,$J$7,$K$3)</f>
        <v>#NAME?</v>
      </c>
      <c r="K36" s="7" t="e">
        <f ca="1">_xll.xlqhClose($C36,K$8,$K$3)</f>
        <v>#NAME?</v>
      </c>
      <c r="L36" s="7" t="e">
        <f ca="1">_xll.xlqhClose($C36,L$8,$K$3)</f>
        <v>#NAME?</v>
      </c>
      <c r="N36" s="9">
        <f t="shared" ca="1" si="7"/>
        <v>1</v>
      </c>
      <c r="O36" s="9">
        <f t="shared" ca="1" si="8"/>
        <v>1</v>
      </c>
      <c r="P36" s="9">
        <f t="shared" ca="1" si="9"/>
        <v>1</v>
      </c>
      <c r="Q36" s="9">
        <f t="shared" ca="1" si="10"/>
        <v>1</v>
      </c>
      <c r="R36" s="9">
        <f t="shared" ca="1" si="11"/>
        <v>0</v>
      </c>
    </row>
    <row r="37" spans="1:18" x14ac:dyDescent="0.25">
      <c r="A37" s="18"/>
      <c r="B37" s="19" t="s">
        <v>930</v>
      </c>
      <c r="C37" s="5" t="s">
        <v>931</v>
      </c>
      <c r="D37" s="7" t="e">
        <f ca="1">_xll.xlqPrice(C37)</f>
        <v>#NAME?</v>
      </c>
      <c r="E37" s="9" t="e">
        <f t="shared" ca="1" si="2"/>
        <v>#NAME?</v>
      </c>
      <c r="F37" s="9">
        <f t="shared" ca="1" si="3"/>
        <v>1</v>
      </c>
      <c r="G37" s="8">
        <f t="shared" ca="1" si="4"/>
        <v>0</v>
      </c>
      <c r="H37" s="8">
        <f t="shared" ca="1" si="5"/>
        <v>0</v>
      </c>
      <c r="I37" s="8">
        <f t="shared" ca="1" si="6"/>
        <v>0</v>
      </c>
      <c r="J37" s="6" t="e">
        <f ca="1">_xll.xlqxhSMA($C37,$L$4,$J$7,$K$3)</f>
        <v>#NAME?</v>
      </c>
      <c r="K37" s="7" t="e">
        <f ca="1">_xll.xlqhClose($C37,K$8,$K$3)</f>
        <v>#NAME?</v>
      </c>
      <c r="L37" s="7" t="e">
        <f ca="1">_xll.xlqhClose($C37,L$8,$K$3)</f>
        <v>#NAME?</v>
      </c>
      <c r="N37" s="9">
        <f t="shared" ca="1" si="7"/>
        <v>1</v>
      </c>
      <c r="O37" s="9">
        <f t="shared" ca="1" si="8"/>
        <v>1</v>
      </c>
      <c r="P37" s="9">
        <f t="shared" ca="1" si="9"/>
        <v>1</v>
      </c>
      <c r="Q37" s="9">
        <f t="shared" ca="1" si="10"/>
        <v>1</v>
      </c>
      <c r="R37" s="9">
        <f t="shared" ca="1" si="11"/>
        <v>0</v>
      </c>
    </row>
    <row r="38" spans="1:18" x14ac:dyDescent="0.25">
      <c r="A38" s="18"/>
      <c r="B38" s="19" t="s">
        <v>1759</v>
      </c>
      <c r="C38" s="5" t="s">
        <v>1760</v>
      </c>
      <c r="D38" s="7" t="e">
        <f ca="1">_xll.xlqPrice(C38)</f>
        <v>#NAME?</v>
      </c>
      <c r="E38" s="9" t="e">
        <f t="shared" ca="1" si="2"/>
        <v>#NAME?</v>
      </c>
      <c r="F38" s="9">
        <f t="shared" ca="1" si="3"/>
        <v>1</v>
      </c>
      <c r="G38" s="8">
        <f t="shared" ca="1" si="4"/>
        <v>0</v>
      </c>
      <c r="H38" s="8">
        <f t="shared" ca="1" si="5"/>
        <v>0</v>
      </c>
      <c r="I38" s="8">
        <f t="shared" ca="1" si="6"/>
        <v>0</v>
      </c>
      <c r="J38" s="6" t="e">
        <f ca="1">_xll.xlqxhSMA($C38,$L$4,$J$7,$K$3)</f>
        <v>#NAME?</v>
      </c>
      <c r="K38" s="7" t="e">
        <f ca="1">_xll.xlqhClose($C38,K$8,$K$3)</f>
        <v>#NAME?</v>
      </c>
      <c r="L38" s="7" t="e">
        <f ca="1">_xll.xlqhClose($C38,L$8,$K$3)</f>
        <v>#NAME?</v>
      </c>
      <c r="N38" s="9">
        <f t="shared" ca="1" si="7"/>
        <v>1</v>
      </c>
      <c r="O38" s="9">
        <f t="shared" ca="1" si="8"/>
        <v>1</v>
      </c>
      <c r="P38" s="9">
        <f t="shared" ca="1" si="9"/>
        <v>1</v>
      </c>
      <c r="Q38" s="9">
        <f t="shared" ca="1" si="10"/>
        <v>1</v>
      </c>
      <c r="R38" s="9">
        <f t="shared" ca="1" si="11"/>
        <v>0</v>
      </c>
    </row>
    <row r="39" spans="1:18" x14ac:dyDescent="0.25">
      <c r="A39" s="18"/>
      <c r="B39" s="19" t="s">
        <v>1193</v>
      </c>
      <c r="C39" s="5" t="s">
        <v>1194</v>
      </c>
      <c r="D39" s="7" t="e">
        <f ca="1">_xll.xlqPrice(C39)</f>
        <v>#NAME?</v>
      </c>
      <c r="E39" s="9" t="e">
        <f t="shared" ca="1" si="2"/>
        <v>#NAME?</v>
      </c>
      <c r="F39" s="9">
        <f t="shared" ca="1" si="3"/>
        <v>1</v>
      </c>
      <c r="G39" s="8">
        <f t="shared" ca="1" si="4"/>
        <v>0</v>
      </c>
      <c r="H39" s="8">
        <f t="shared" ca="1" si="5"/>
        <v>0</v>
      </c>
      <c r="I39" s="8">
        <f t="shared" ca="1" si="6"/>
        <v>0</v>
      </c>
      <c r="J39" s="6" t="e">
        <f ca="1">_xll.xlqxhSMA($C39,$L$4,$J$7,$K$3)</f>
        <v>#NAME?</v>
      </c>
      <c r="K39" s="7" t="e">
        <f ca="1">_xll.xlqhClose($C39,K$8,$K$3)</f>
        <v>#NAME?</v>
      </c>
      <c r="L39" s="7" t="e">
        <f ca="1">_xll.xlqhClose($C39,L$8,$K$3)</f>
        <v>#NAME?</v>
      </c>
      <c r="N39" s="9">
        <f t="shared" ca="1" si="7"/>
        <v>1</v>
      </c>
      <c r="O39" s="9">
        <f t="shared" ca="1" si="8"/>
        <v>1</v>
      </c>
      <c r="P39" s="9">
        <f t="shared" ca="1" si="9"/>
        <v>1</v>
      </c>
      <c r="Q39" s="9">
        <f t="shared" ca="1" si="10"/>
        <v>1</v>
      </c>
      <c r="R39" s="9">
        <f t="shared" ca="1" si="11"/>
        <v>0</v>
      </c>
    </row>
    <row r="40" spans="1:18" x14ac:dyDescent="0.25">
      <c r="A40" s="18"/>
      <c r="B40" s="19" t="s">
        <v>1359</v>
      </c>
      <c r="C40" s="5" t="s">
        <v>1360</v>
      </c>
      <c r="D40" s="7" t="e">
        <f ca="1">_xll.xlqPrice(C40)</f>
        <v>#NAME?</v>
      </c>
      <c r="E40" s="9" t="e">
        <f t="shared" ca="1" si="2"/>
        <v>#NAME?</v>
      </c>
      <c r="F40" s="9">
        <f t="shared" ca="1" si="3"/>
        <v>1</v>
      </c>
      <c r="G40" s="8">
        <f t="shared" ca="1" si="4"/>
        <v>0</v>
      </c>
      <c r="H40" s="8">
        <f t="shared" ca="1" si="5"/>
        <v>0</v>
      </c>
      <c r="I40" s="8">
        <f t="shared" ca="1" si="6"/>
        <v>0</v>
      </c>
      <c r="J40" s="6" t="e">
        <f ca="1">_xll.xlqxhSMA($C40,$L$4,$J$7,$K$3)</f>
        <v>#NAME?</v>
      </c>
      <c r="K40" s="7" t="e">
        <f ca="1">_xll.xlqhClose($C40,K$8,$K$3)</f>
        <v>#NAME?</v>
      </c>
      <c r="L40" s="7" t="e">
        <f ca="1">_xll.xlqhClose($C40,L$8,$K$3)</f>
        <v>#NAME?</v>
      </c>
      <c r="N40" s="9">
        <f t="shared" ca="1" si="7"/>
        <v>1</v>
      </c>
      <c r="O40" s="9">
        <f t="shared" ca="1" si="8"/>
        <v>1</v>
      </c>
      <c r="P40" s="9">
        <f t="shared" ca="1" si="9"/>
        <v>1</v>
      </c>
      <c r="Q40" s="9">
        <f t="shared" ca="1" si="10"/>
        <v>1</v>
      </c>
      <c r="R40" s="9">
        <f t="shared" ca="1" si="11"/>
        <v>0</v>
      </c>
    </row>
    <row r="41" spans="1:18" x14ac:dyDescent="0.25">
      <c r="A41" s="18"/>
      <c r="B41" s="19" t="s">
        <v>222</v>
      </c>
      <c r="C41" s="5" t="s">
        <v>223</v>
      </c>
      <c r="D41" s="7" t="e">
        <f ca="1">_xll.xlqPrice(C41)</f>
        <v>#NAME?</v>
      </c>
      <c r="E41" s="9" t="e">
        <f t="shared" ca="1" si="2"/>
        <v>#NAME?</v>
      </c>
      <c r="F41" s="9">
        <f t="shared" ca="1" si="3"/>
        <v>1</v>
      </c>
      <c r="G41" s="8">
        <f t="shared" ca="1" si="4"/>
        <v>0</v>
      </c>
      <c r="H41" s="8">
        <f t="shared" ca="1" si="5"/>
        <v>0</v>
      </c>
      <c r="I41" s="8">
        <f t="shared" ca="1" si="6"/>
        <v>0</v>
      </c>
      <c r="J41" s="6" t="e">
        <f ca="1">_xll.xlqxhSMA($C41,$L$4,$J$7,$K$3)</f>
        <v>#NAME?</v>
      </c>
      <c r="K41" s="7" t="e">
        <f ca="1">_xll.xlqhClose($C41,K$8,$K$3)</f>
        <v>#NAME?</v>
      </c>
      <c r="L41" s="7" t="e">
        <f ca="1">_xll.xlqhClose($C41,L$8,$K$3)</f>
        <v>#NAME?</v>
      </c>
      <c r="N41" s="9">
        <f t="shared" ca="1" si="7"/>
        <v>1</v>
      </c>
      <c r="O41" s="9">
        <f t="shared" ca="1" si="8"/>
        <v>1</v>
      </c>
      <c r="P41" s="9">
        <f t="shared" ca="1" si="9"/>
        <v>1</v>
      </c>
      <c r="Q41" s="9">
        <f t="shared" ca="1" si="10"/>
        <v>1</v>
      </c>
      <c r="R41" s="9">
        <f t="shared" ca="1" si="11"/>
        <v>0</v>
      </c>
    </row>
    <row r="42" spans="1:18" x14ac:dyDescent="0.25">
      <c r="A42" s="18"/>
      <c r="B42" s="19" t="s">
        <v>1209</v>
      </c>
      <c r="C42" s="5" t="s">
        <v>1210</v>
      </c>
      <c r="D42" s="7" t="e">
        <f ca="1">_xll.xlqPrice(C42)</f>
        <v>#NAME?</v>
      </c>
      <c r="E42" s="9" t="e">
        <f t="shared" ca="1" si="2"/>
        <v>#NAME?</v>
      </c>
      <c r="F42" s="9">
        <f t="shared" ca="1" si="3"/>
        <v>1</v>
      </c>
      <c r="G42" s="8">
        <f t="shared" ca="1" si="4"/>
        <v>0</v>
      </c>
      <c r="H42" s="8">
        <f t="shared" ca="1" si="5"/>
        <v>0</v>
      </c>
      <c r="I42" s="8">
        <f t="shared" ca="1" si="6"/>
        <v>0</v>
      </c>
      <c r="J42" s="6" t="e">
        <f ca="1">_xll.xlqxhSMA($C42,$L$4,$J$7,$K$3)</f>
        <v>#NAME?</v>
      </c>
      <c r="K42" s="7" t="e">
        <f ca="1">_xll.xlqhClose($C42,K$8,$K$3)</f>
        <v>#NAME?</v>
      </c>
      <c r="L42" s="7" t="e">
        <f ca="1">_xll.xlqhClose($C42,L$8,$K$3)</f>
        <v>#NAME?</v>
      </c>
      <c r="N42" s="9">
        <f t="shared" ca="1" si="7"/>
        <v>1</v>
      </c>
      <c r="O42" s="9">
        <f t="shared" ca="1" si="8"/>
        <v>1</v>
      </c>
      <c r="P42" s="9">
        <f t="shared" ca="1" si="9"/>
        <v>1</v>
      </c>
      <c r="Q42" s="9">
        <f t="shared" ca="1" si="10"/>
        <v>1</v>
      </c>
      <c r="R42" s="9">
        <f t="shared" ca="1" si="11"/>
        <v>0</v>
      </c>
    </row>
    <row r="43" spans="1:18" x14ac:dyDescent="0.25">
      <c r="A43" s="18"/>
      <c r="B43" s="19" t="s">
        <v>1763</v>
      </c>
      <c r="C43" s="5" t="s">
        <v>1764</v>
      </c>
      <c r="D43" s="7" t="e">
        <f ca="1">_xll.xlqPrice(C43)</f>
        <v>#NAME?</v>
      </c>
      <c r="E43" s="9" t="e">
        <f t="shared" ca="1" si="2"/>
        <v>#NAME?</v>
      </c>
      <c r="F43" s="9">
        <f t="shared" ca="1" si="3"/>
        <v>1</v>
      </c>
      <c r="G43" s="8">
        <f t="shared" ca="1" si="4"/>
        <v>0</v>
      </c>
      <c r="H43" s="8">
        <f t="shared" ca="1" si="5"/>
        <v>0</v>
      </c>
      <c r="I43" s="8">
        <f t="shared" ca="1" si="6"/>
        <v>0</v>
      </c>
      <c r="J43" s="6" t="e">
        <f ca="1">_xll.xlqxhSMA($C43,$L$4,$J$7,$K$3)</f>
        <v>#NAME?</v>
      </c>
      <c r="K43" s="7" t="e">
        <f ca="1">_xll.xlqhClose($C43,K$8,$K$3)</f>
        <v>#NAME?</v>
      </c>
      <c r="L43" s="7" t="e">
        <f ca="1">_xll.xlqhClose($C43,L$8,$K$3)</f>
        <v>#NAME?</v>
      </c>
      <c r="N43" s="9">
        <f t="shared" ca="1" si="7"/>
        <v>1</v>
      </c>
      <c r="O43" s="9">
        <f t="shared" ca="1" si="8"/>
        <v>1</v>
      </c>
      <c r="P43" s="9">
        <f t="shared" ca="1" si="9"/>
        <v>1</v>
      </c>
      <c r="Q43" s="9">
        <f t="shared" ca="1" si="10"/>
        <v>1</v>
      </c>
      <c r="R43" s="9">
        <f t="shared" ca="1" si="11"/>
        <v>0</v>
      </c>
    </row>
    <row r="44" spans="1:18" x14ac:dyDescent="0.25">
      <c r="A44" s="18"/>
      <c r="B44" s="19" t="s">
        <v>1755</v>
      </c>
      <c r="C44" s="5" t="s">
        <v>1756</v>
      </c>
      <c r="D44" s="7" t="e">
        <f ca="1">_xll.xlqPrice(C44)</f>
        <v>#NAME?</v>
      </c>
      <c r="E44" s="9" t="e">
        <f t="shared" ca="1" si="2"/>
        <v>#NAME?</v>
      </c>
      <c r="F44" s="9">
        <f t="shared" ca="1" si="3"/>
        <v>1</v>
      </c>
      <c r="G44" s="8">
        <f t="shared" ca="1" si="4"/>
        <v>0</v>
      </c>
      <c r="H44" s="8">
        <f t="shared" ca="1" si="5"/>
        <v>0</v>
      </c>
      <c r="I44" s="8">
        <f t="shared" ca="1" si="6"/>
        <v>0</v>
      </c>
      <c r="J44" s="6" t="e">
        <f ca="1">_xll.xlqxhSMA($C44,$L$4,$J$7,$K$3)</f>
        <v>#NAME?</v>
      </c>
      <c r="K44" s="7" t="e">
        <f ca="1">_xll.xlqhClose($C44,K$8,$K$3)</f>
        <v>#NAME?</v>
      </c>
      <c r="L44" s="7" t="e">
        <f ca="1">_xll.xlqhClose($C44,L$8,$K$3)</f>
        <v>#NAME?</v>
      </c>
      <c r="N44" s="9">
        <f t="shared" ca="1" si="7"/>
        <v>1</v>
      </c>
      <c r="O44" s="9">
        <f t="shared" ca="1" si="8"/>
        <v>1</v>
      </c>
      <c r="P44" s="9">
        <f t="shared" ca="1" si="9"/>
        <v>1</v>
      </c>
      <c r="Q44" s="9">
        <f t="shared" ca="1" si="10"/>
        <v>1</v>
      </c>
      <c r="R44" s="9">
        <f t="shared" ca="1" si="11"/>
        <v>0</v>
      </c>
    </row>
    <row r="45" spans="1:18" x14ac:dyDescent="0.25">
      <c r="A45" s="18"/>
      <c r="B45" s="19" t="s">
        <v>820</v>
      </c>
      <c r="C45" s="5" t="s">
        <v>821</v>
      </c>
      <c r="D45" s="7" t="e">
        <f ca="1">_xll.xlqPrice(C45)</f>
        <v>#NAME?</v>
      </c>
      <c r="E45" s="9" t="e">
        <f t="shared" ca="1" si="2"/>
        <v>#NAME?</v>
      </c>
      <c r="F45" s="9">
        <f t="shared" ca="1" si="3"/>
        <v>1</v>
      </c>
      <c r="G45" s="8">
        <f t="shared" ca="1" si="4"/>
        <v>0</v>
      </c>
      <c r="H45" s="8">
        <f t="shared" ca="1" si="5"/>
        <v>0</v>
      </c>
      <c r="I45" s="8">
        <f t="shared" ca="1" si="6"/>
        <v>0</v>
      </c>
      <c r="J45" s="6" t="e">
        <f ca="1">_xll.xlqxhSMA($C45,$L$4,$J$7,$K$3)</f>
        <v>#NAME?</v>
      </c>
      <c r="K45" s="7" t="e">
        <f ca="1">_xll.xlqhClose($C45,K$8,$K$3)</f>
        <v>#NAME?</v>
      </c>
      <c r="L45" s="7" t="e">
        <f ca="1">_xll.xlqhClose($C45,L$8,$K$3)</f>
        <v>#NAME?</v>
      </c>
      <c r="N45" s="9">
        <f t="shared" ca="1" si="7"/>
        <v>1</v>
      </c>
      <c r="O45" s="9">
        <f t="shared" ca="1" si="8"/>
        <v>1</v>
      </c>
      <c r="P45" s="9">
        <f t="shared" ca="1" si="9"/>
        <v>1</v>
      </c>
      <c r="Q45" s="9">
        <f t="shared" ca="1" si="10"/>
        <v>1</v>
      </c>
      <c r="R45" s="9">
        <f t="shared" ca="1" si="11"/>
        <v>0</v>
      </c>
    </row>
    <row r="46" spans="1:18" x14ac:dyDescent="0.25">
      <c r="A46" s="18"/>
      <c r="B46" s="19" t="s">
        <v>1943</v>
      </c>
      <c r="C46" s="5" t="s">
        <v>1944</v>
      </c>
      <c r="D46" s="7" t="e">
        <f ca="1">_xll.xlqPrice(C46)</f>
        <v>#NAME?</v>
      </c>
      <c r="E46" s="9" t="e">
        <f t="shared" ca="1" si="2"/>
        <v>#NAME?</v>
      </c>
      <c r="F46" s="9">
        <f t="shared" ca="1" si="3"/>
        <v>1</v>
      </c>
      <c r="G46" s="8">
        <f t="shared" ca="1" si="4"/>
        <v>0</v>
      </c>
      <c r="H46" s="8">
        <f t="shared" ca="1" si="5"/>
        <v>0</v>
      </c>
      <c r="I46" s="8">
        <f t="shared" ca="1" si="6"/>
        <v>0</v>
      </c>
      <c r="J46" s="6" t="e">
        <f ca="1">_xll.xlqxhSMA($C46,$L$4,$J$7,$K$3)</f>
        <v>#NAME?</v>
      </c>
      <c r="K46" s="7" t="e">
        <f ca="1">_xll.xlqhClose($C46,K$8,$K$3)</f>
        <v>#NAME?</v>
      </c>
      <c r="L46" s="7" t="e">
        <f ca="1">_xll.xlqhClose($C46,L$8,$K$3)</f>
        <v>#NAME?</v>
      </c>
      <c r="N46" s="9">
        <f t="shared" ca="1" si="7"/>
        <v>1</v>
      </c>
      <c r="O46" s="9">
        <f t="shared" ca="1" si="8"/>
        <v>1</v>
      </c>
      <c r="P46" s="9">
        <f t="shared" ca="1" si="9"/>
        <v>1</v>
      </c>
      <c r="Q46" s="9">
        <f t="shared" ca="1" si="10"/>
        <v>1</v>
      </c>
      <c r="R46" s="9">
        <f t="shared" ca="1" si="11"/>
        <v>0</v>
      </c>
    </row>
    <row r="47" spans="1:18" x14ac:dyDescent="0.25">
      <c r="A47" s="18"/>
      <c r="B47" s="19" t="s">
        <v>2305</v>
      </c>
      <c r="C47" s="5" t="s">
        <v>2306</v>
      </c>
      <c r="D47" s="7" t="e">
        <f ca="1">_xll.xlqPrice(C47)</f>
        <v>#NAME?</v>
      </c>
      <c r="E47" s="9" t="e">
        <f t="shared" ca="1" si="2"/>
        <v>#NAME?</v>
      </c>
      <c r="F47" s="9">
        <f t="shared" ca="1" si="3"/>
        <v>1</v>
      </c>
      <c r="G47" s="8">
        <f t="shared" ca="1" si="4"/>
        <v>0</v>
      </c>
      <c r="H47" s="8">
        <f t="shared" ca="1" si="5"/>
        <v>0</v>
      </c>
      <c r="I47" s="8">
        <f t="shared" ca="1" si="6"/>
        <v>0</v>
      </c>
      <c r="J47" s="6" t="e">
        <f ca="1">_xll.xlqxhSMA($C47,$L$4,$J$7,$K$3)</f>
        <v>#NAME?</v>
      </c>
      <c r="K47" s="7" t="e">
        <f ca="1">_xll.xlqhClose($C47,K$8,$K$3)</f>
        <v>#NAME?</v>
      </c>
      <c r="L47" s="7" t="e">
        <f ca="1">_xll.xlqhClose($C47,L$8,$K$3)</f>
        <v>#NAME?</v>
      </c>
      <c r="N47" s="9">
        <f t="shared" ca="1" si="7"/>
        <v>1</v>
      </c>
      <c r="O47" s="9">
        <f t="shared" ca="1" si="8"/>
        <v>1</v>
      </c>
      <c r="P47" s="9">
        <f t="shared" ca="1" si="9"/>
        <v>1</v>
      </c>
      <c r="Q47" s="9">
        <f t="shared" ca="1" si="10"/>
        <v>1</v>
      </c>
      <c r="R47" s="9">
        <f t="shared" ca="1" si="11"/>
        <v>0</v>
      </c>
    </row>
    <row r="48" spans="1:18" x14ac:dyDescent="0.25">
      <c r="A48" s="18"/>
      <c r="B48" s="19" t="s">
        <v>2055</v>
      </c>
      <c r="C48" s="5" t="s">
        <v>2056</v>
      </c>
      <c r="D48" s="7" t="e">
        <f ca="1">_xll.xlqPrice(C48)</f>
        <v>#NAME?</v>
      </c>
      <c r="E48" s="9" t="e">
        <f t="shared" ca="1" si="2"/>
        <v>#NAME?</v>
      </c>
      <c r="F48" s="9">
        <f t="shared" ca="1" si="3"/>
        <v>1</v>
      </c>
      <c r="G48" s="8">
        <f t="shared" ca="1" si="4"/>
        <v>0</v>
      </c>
      <c r="H48" s="8">
        <f t="shared" ca="1" si="5"/>
        <v>0</v>
      </c>
      <c r="I48" s="8">
        <f t="shared" ca="1" si="6"/>
        <v>0</v>
      </c>
      <c r="J48" s="6" t="e">
        <f ca="1">_xll.xlqxhSMA($C48,$L$4,$J$7,$K$3)</f>
        <v>#NAME?</v>
      </c>
      <c r="K48" s="7" t="e">
        <f ca="1">_xll.xlqhClose($C48,K$8,$K$3)</f>
        <v>#NAME?</v>
      </c>
      <c r="L48" s="7" t="e">
        <f ca="1">_xll.xlqhClose($C48,L$8,$K$3)</f>
        <v>#NAME?</v>
      </c>
      <c r="N48" s="9">
        <f t="shared" ca="1" si="7"/>
        <v>1</v>
      </c>
      <c r="O48" s="9">
        <f t="shared" ca="1" si="8"/>
        <v>1</v>
      </c>
      <c r="P48" s="9">
        <f t="shared" ca="1" si="9"/>
        <v>1</v>
      </c>
      <c r="Q48" s="9">
        <f t="shared" ca="1" si="10"/>
        <v>1</v>
      </c>
      <c r="R48" s="9">
        <f t="shared" ca="1" si="11"/>
        <v>0</v>
      </c>
    </row>
    <row r="49" spans="1:18" x14ac:dyDescent="0.25">
      <c r="A49" s="18"/>
      <c r="B49" s="19" t="s">
        <v>1685</v>
      </c>
      <c r="C49" s="5" t="s">
        <v>1686</v>
      </c>
      <c r="D49" s="7" t="e">
        <f ca="1">_xll.xlqPrice(C49)</f>
        <v>#NAME?</v>
      </c>
      <c r="E49" s="9" t="e">
        <f t="shared" ca="1" si="2"/>
        <v>#NAME?</v>
      </c>
      <c r="F49" s="9">
        <f t="shared" ca="1" si="3"/>
        <v>1</v>
      </c>
      <c r="G49" s="8">
        <f t="shared" ca="1" si="4"/>
        <v>0</v>
      </c>
      <c r="H49" s="8">
        <f t="shared" ca="1" si="5"/>
        <v>0</v>
      </c>
      <c r="I49" s="8">
        <f t="shared" ca="1" si="6"/>
        <v>0</v>
      </c>
      <c r="J49" s="6" t="e">
        <f ca="1">_xll.xlqxhSMA($C49,$L$4,$J$7,$K$3)</f>
        <v>#NAME?</v>
      </c>
      <c r="K49" s="7" t="e">
        <f ca="1">_xll.xlqhClose($C49,K$8,$K$3)</f>
        <v>#NAME?</v>
      </c>
      <c r="L49" s="7" t="e">
        <f ca="1">_xll.xlqhClose($C49,L$8,$K$3)</f>
        <v>#NAME?</v>
      </c>
      <c r="N49" s="9">
        <f t="shared" ca="1" si="7"/>
        <v>1</v>
      </c>
      <c r="O49" s="9">
        <f t="shared" ca="1" si="8"/>
        <v>1</v>
      </c>
      <c r="P49" s="9">
        <f t="shared" ca="1" si="9"/>
        <v>1</v>
      </c>
      <c r="Q49" s="9">
        <f t="shared" ca="1" si="10"/>
        <v>1</v>
      </c>
      <c r="R49" s="9">
        <f t="shared" ca="1" si="11"/>
        <v>0</v>
      </c>
    </row>
    <row r="50" spans="1:18" x14ac:dyDescent="0.25">
      <c r="A50" s="18"/>
      <c r="B50" s="19" t="s">
        <v>2249</v>
      </c>
      <c r="C50" s="5" t="s">
        <v>2250</v>
      </c>
      <c r="D50" s="7" t="e">
        <f ca="1">_xll.xlqPrice(C50)</f>
        <v>#NAME?</v>
      </c>
      <c r="E50" s="9" t="e">
        <f t="shared" ca="1" si="2"/>
        <v>#NAME?</v>
      </c>
      <c r="F50" s="9">
        <f t="shared" ca="1" si="3"/>
        <v>1</v>
      </c>
      <c r="G50" s="8">
        <f t="shared" ca="1" si="4"/>
        <v>0</v>
      </c>
      <c r="H50" s="8">
        <f t="shared" ca="1" si="5"/>
        <v>0</v>
      </c>
      <c r="I50" s="8">
        <f t="shared" ca="1" si="6"/>
        <v>0</v>
      </c>
      <c r="J50" s="6" t="e">
        <f ca="1">_xll.xlqxhSMA($C50,$L$4,$J$7,$K$3)</f>
        <v>#NAME?</v>
      </c>
      <c r="K50" s="7" t="e">
        <f ca="1">_xll.xlqhClose($C50,K$8,$K$3)</f>
        <v>#NAME?</v>
      </c>
      <c r="L50" s="7" t="e">
        <f ca="1">_xll.xlqhClose($C50,L$8,$K$3)</f>
        <v>#NAME?</v>
      </c>
      <c r="N50" s="9">
        <f t="shared" ca="1" si="7"/>
        <v>1</v>
      </c>
      <c r="O50" s="9">
        <f t="shared" ca="1" si="8"/>
        <v>1</v>
      </c>
      <c r="P50" s="9">
        <f t="shared" ca="1" si="9"/>
        <v>1</v>
      </c>
      <c r="Q50" s="9">
        <f t="shared" ca="1" si="10"/>
        <v>1</v>
      </c>
      <c r="R50" s="9">
        <f t="shared" ca="1" si="11"/>
        <v>0</v>
      </c>
    </row>
    <row r="51" spans="1:18" x14ac:dyDescent="0.25">
      <c r="A51" s="18"/>
      <c r="B51" s="19" t="s">
        <v>1353</v>
      </c>
      <c r="C51" s="5" t="s">
        <v>1354</v>
      </c>
      <c r="D51" s="7" t="e">
        <f ca="1">_xll.xlqPrice(C51)</f>
        <v>#NAME?</v>
      </c>
      <c r="E51" s="9" t="e">
        <f t="shared" ca="1" si="2"/>
        <v>#NAME?</v>
      </c>
      <c r="F51" s="9">
        <f t="shared" ca="1" si="3"/>
        <v>1</v>
      </c>
      <c r="G51" s="8">
        <f t="shared" ca="1" si="4"/>
        <v>0</v>
      </c>
      <c r="H51" s="8">
        <f t="shared" ca="1" si="5"/>
        <v>0</v>
      </c>
      <c r="I51" s="8">
        <f t="shared" ca="1" si="6"/>
        <v>0</v>
      </c>
      <c r="J51" s="6" t="e">
        <f ca="1">_xll.xlqxhSMA($C51,$L$4,$J$7,$K$3)</f>
        <v>#NAME?</v>
      </c>
      <c r="K51" s="7" t="e">
        <f ca="1">_xll.xlqhClose($C51,K$8,$K$3)</f>
        <v>#NAME?</v>
      </c>
      <c r="L51" s="7" t="e">
        <f ca="1">_xll.xlqhClose($C51,L$8,$K$3)</f>
        <v>#NAME?</v>
      </c>
      <c r="N51" s="9">
        <f t="shared" ca="1" si="7"/>
        <v>1</v>
      </c>
      <c r="O51" s="9">
        <f t="shared" ca="1" si="8"/>
        <v>1</v>
      </c>
      <c r="P51" s="9">
        <f t="shared" ca="1" si="9"/>
        <v>1</v>
      </c>
      <c r="Q51" s="9">
        <f t="shared" ca="1" si="10"/>
        <v>1</v>
      </c>
      <c r="R51" s="9">
        <f t="shared" ca="1" si="11"/>
        <v>0</v>
      </c>
    </row>
    <row r="52" spans="1:18" x14ac:dyDescent="0.25">
      <c r="A52" s="18"/>
      <c r="B52" s="19" t="s">
        <v>1027</v>
      </c>
      <c r="C52" s="5" t="s">
        <v>1028</v>
      </c>
      <c r="D52" s="7" t="e">
        <f ca="1">_xll.xlqPrice(C52)</f>
        <v>#NAME?</v>
      </c>
      <c r="E52" s="9" t="e">
        <f t="shared" ca="1" si="2"/>
        <v>#NAME?</v>
      </c>
      <c r="F52" s="9">
        <f t="shared" ca="1" si="3"/>
        <v>1</v>
      </c>
      <c r="G52" s="8">
        <f t="shared" ca="1" si="4"/>
        <v>0</v>
      </c>
      <c r="H52" s="8">
        <f t="shared" ca="1" si="5"/>
        <v>0</v>
      </c>
      <c r="I52" s="8">
        <f t="shared" ca="1" si="6"/>
        <v>0</v>
      </c>
      <c r="J52" s="6" t="e">
        <f ca="1">_xll.xlqxhSMA($C52,$L$4,$J$7,$K$3)</f>
        <v>#NAME?</v>
      </c>
      <c r="K52" s="7" t="e">
        <f ca="1">_xll.xlqhClose($C52,K$8,$K$3)</f>
        <v>#NAME?</v>
      </c>
      <c r="L52" s="7" t="e">
        <f ca="1">_xll.xlqhClose($C52,L$8,$K$3)</f>
        <v>#NAME?</v>
      </c>
      <c r="N52" s="9">
        <f t="shared" ca="1" si="7"/>
        <v>1</v>
      </c>
      <c r="O52" s="9">
        <f t="shared" ca="1" si="8"/>
        <v>1</v>
      </c>
      <c r="P52" s="9">
        <f t="shared" ca="1" si="9"/>
        <v>1</v>
      </c>
      <c r="Q52" s="9">
        <f t="shared" ca="1" si="10"/>
        <v>1</v>
      </c>
      <c r="R52" s="9">
        <f t="shared" ca="1" si="11"/>
        <v>0</v>
      </c>
    </row>
    <row r="53" spans="1:18" x14ac:dyDescent="0.25">
      <c r="A53" s="18"/>
      <c r="B53" s="19" t="s">
        <v>2333</v>
      </c>
      <c r="C53" s="5" t="s">
        <v>2334</v>
      </c>
      <c r="D53" s="7" t="e">
        <f ca="1">_xll.xlqPrice(C53)</f>
        <v>#NAME?</v>
      </c>
      <c r="E53" s="9" t="e">
        <f t="shared" ca="1" si="2"/>
        <v>#NAME?</v>
      </c>
      <c r="F53" s="9">
        <f t="shared" ca="1" si="3"/>
        <v>1</v>
      </c>
      <c r="G53" s="8">
        <f t="shared" ca="1" si="4"/>
        <v>0</v>
      </c>
      <c r="H53" s="8">
        <f t="shared" ca="1" si="5"/>
        <v>0</v>
      </c>
      <c r="I53" s="8">
        <f t="shared" ca="1" si="6"/>
        <v>0</v>
      </c>
      <c r="J53" s="6" t="e">
        <f ca="1">_xll.xlqxhSMA($C53,$L$4,$J$7,$K$3)</f>
        <v>#NAME?</v>
      </c>
      <c r="K53" s="7" t="e">
        <f ca="1">_xll.xlqhClose($C53,K$8,$K$3)</f>
        <v>#NAME?</v>
      </c>
      <c r="L53" s="7" t="e">
        <f ca="1">_xll.xlqhClose($C53,L$8,$K$3)</f>
        <v>#NAME?</v>
      </c>
      <c r="N53" s="9">
        <f t="shared" ca="1" si="7"/>
        <v>1</v>
      </c>
      <c r="O53" s="9">
        <f t="shared" ca="1" si="8"/>
        <v>1</v>
      </c>
      <c r="P53" s="9">
        <f t="shared" ca="1" si="9"/>
        <v>1</v>
      </c>
      <c r="Q53" s="9">
        <f t="shared" ca="1" si="10"/>
        <v>1</v>
      </c>
      <c r="R53" s="9">
        <f t="shared" ca="1" si="11"/>
        <v>0</v>
      </c>
    </row>
    <row r="54" spans="1:18" x14ac:dyDescent="0.25">
      <c r="A54" s="18"/>
      <c r="B54" s="19" t="s">
        <v>1099</v>
      </c>
      <c r="C54" s="5" t="s">
        <v>1100</v>
      </c>
      <c r="D54" s="7" t="e">
        <f ca="1">_xll.xlqPrice(C54)</f>
        <v>#NAME?</v>
      </c>
      <c r="E54" s="9" t="e">
        <f t="shared" ca="1" si="2"/>
        <v>#NAME?</v>
      </c>
      <c r="F54" s="9">
        <f t="shared" ca="1" si="3"/>
        <v>1</v>
      </c>
      <c r="G54" s="8">
        <f t="shared" ca="1" si="4"/>
        <v>0</v>
      </c>
      <c r="H54" s="8">
        <f t="shared" ca="1" si="5"/>
        <v>0</v>
      </c>
      <c r="I54" s="8">
        <f t="shared" ca="1" si="6"/>
        <v>0</v>
      </c>
      <c r="J54" s="6" t="e">
        <f ca="1">_xll.xlqxhSMA($C54,$L$4,$J$7,$K$3)</f>
        <v>#NAME?</v>
      </c>
      <c r="K54" s="7" t="e">
        <f ca="1">_xll.xlqhClose($C54,K$8,$K$3)</f>
        <v>#NAME?</v>
      </c>
      <c r="L54" s="7" t="e">
        <f ca="1">_xll.xlqhClose($C54,L$8,$K$3)</f>
        <v>#NAME?</v>
      </c>
      <c r="N54" s="9">
        <f t="shared" ca="1" si="7"/>
        <v>1</v>
      </c>
      <c r="O54" s="9">
        <f t="shared" ca="1" si="8"/>
        <v>1</v>
      </c>
      <c r="P54" s="9">
        <f t="shared" ca="1" si="9"/>
        <v>1</v>
      </c>
      <c r="Q54" s="9">
        <f t="shared" ca="1" si="10"/>
        <v>1</v>
      </c>
      <c r="R54" s="9">
        <f t="shared" ca="1" si="11"/>
        <v>0</v>
      </c>
    </row>
    <row r="55" spans="1:18" x14ac:dyDescent="0.25">
      <c r="A55" s="18"/>
      <c r="B55" s="19" t="s">
        <v>1807</v>
      </c>
      <c r="C55" s="5" t="s">
        <v>1808</v>
      </c>
      <c r="D55" s="7" t="e">
        <f ca="1">_xll.xlqPrice(C55)</f>
        <v>#NAME?</v>
      </c>
      <c r="E55" s="9" t="e">
        <f t="shared" ca="1" si="2"/>
        <v>#NAME?</v>
      </c>
      <c r="F55" s="9">
        <f t="shared" ca="1" si="3"/>
        <v>1</v>
      </c>
      <c r="G55" s="8">
        <f t="shared" ca="1" si="4"/>
        <v>0</v>
      </c>
      <c r="H55" s="8">
        <f t="shared" ca="1" si="5"/>
        <v>0</v>
      </c>
      <c r="I55" s="8">
        <f t="shared" ca="1" si="6"/>
        <v>0</v>
      </c>
      <c r="J55" s="6" t="e">
        <f ca="1">_xll.xlqxhSMA($C55,$L$4,$J$7,$K$3)</f>
        <v>#NAME?</v>
      </c>
      <c r="K55" s="7" t="e">
        <f ca="1">_xll.xlqhClose($C55,K$8,$K$3)</f>
        <v>#NAME?</v>
      </c>
      <c r="L55" s="7" t="e">
        <f ca="1">_xll.xlqhClose($C55,L$8,$K$3)</f>
        <v>#NAME?</v>
      </c>
      <c r="N55" s="9">
        <f t="shared" ca="1" si="7"/>
        <v>1</v>
      </c>
      <c r="O55" s="9">
        <f t="shared" ca="1" si="8"/>
        <v>1</v>
      </c>
      <c r="P55" s="9">
        <f t="shared" ca="1" si="9"/>
        <v>1</v>
      </c>
      <c r="Q55" s="9">
        <f t="shared" ca="1" si="10"/>
        <v>1</v>
      </c>
      <c r="R55" s="9">
        <f t="shared" ca="1" si="11"/>
        <v>0</v>
      </c>
    </row>
    <row r="56" spans="1:18" x14ac:dyDescent="0.25">
      <c r="A56" s="18"/>
      <c r="B56" s="19" t="s">
        <v>1129</v>
      </c>
      <c r="C56" s="5" t="s">
        <v>1130</v>
      </c>
      <c r="D56" s="7" t="e">
        <f ca="1">_xll.xlqPrice(C56)</f>
        <v>#NAME?</v>
      </c>
      <c r="E56" s="9" t="e">
        <f t="shared" ca="1" si="2"/>
        <v>#NAME?</v>
      </c>
      <c r="F56" s="9">
        <f t="shared" ca="1" si="3"/>
        <v>1</v>
      </c>
      <c r="G56" s="8">
        <f t="shared" ca="1" si="4"/>
        <v>0</v>
      </c>
      <c r="H56" s="8">
        <f t="shared" ca="1" si="5"/>
        <v>0</v>
      </c>
      <c r="I56" s="8">
        <f t="shared" ca="1" si="6"/>
        <v>0</v>
      </c>
      <c r="J56" s="6" t="e">
        <f ca="1">_xll.xlqxhSMA($C56,$L$4,$J$7,$K$3)</f>
        <v>#NAME?</v>
      </c>
      <c r="K56" s="7" t="e">
        <f ca="1">_xll.xlqhClose($C56,K$8,$K$3)</f>
        <v>#NAME?</v>
      </c>
      <c r="L56" s="7" t="e">
        <f ca="1">_xll.xlqhClose($C56,L$8,$K$3)</f>
        <v>#NAME?</v>
      </c>
      <c r="N56" s="9">
        <f t="shared" ca="1" si="7"/>
        <v>1</v>
      </c>
      <c r="O56" s="9">
        <f t="shared" ca="1" si="8"/>
        <v>1</v>
      </c>
      <c r="P56" s="9">
        <f t="shared" ca="1" si="9"/>
        <v>1</v>
      </c>
      <c r="Q56" s="9">
        <f t="shared" ca="1" si="10"/>
        <v>1</v>
      </c>
      <c r="R56" s="9">
        <f t="shared" ca="1" si="11"/>
        <v>0</v>
      </c>
    </row>
    <row r="57" spans="1:18" x14ac:dyDescent="0.25">
      <c r="A57" s="18"/>
      <c r="B57" s="19" t="s">
        <v>1233</v>
      </c>
      <c r="C57" s="5" t="s">
        <v>1234</v>
      </c>
      <c r="D57" s="7" t="e">
        <f ca="1">_xll.xlqPrice(C57)</f>
        <v>#NAME?</v>
      </c>
      <c r="E57" s="9" t="e">
        <f t="shared" ca="1" si="2"/>
        <v>#NAME?</v>
      </c>
      <c r="F57" s="9">
        <f t="shared" ca="1" si="3"/>
        <v>1</v>
      </c>
      <c r="G57" s="8">
        <f t="shared" ca="1" si="4"/>
        <v>0</v>
      </c>
      <c r="H57" s="8">
        <f t="shared" ca="1" si="5"/>
        <v>0</v>
      </c>
      <c r="I57" s="8">
        <f t="shared" ca="1" si="6"/>
        <v>0</v>
      </c>
      <c r="J57" s="6" t="e">
        <f ca="1">_xll.xlqxhSMA($C57,$L$4,$J$7,$K$3)</f>
        <v>#NAME?</v>
      </c>
      <c r="K57" s="7" t="e">
        <f ca="1">_xll.xlqhClose($C57,K$8,$K$3)</f>
        <v>#NAME?</v>
      </c>
      <c r="L57" s="7" t="e">
        <f ca="1">_xll.xlqhClose($C57,L$8,$K$3)</f>
        <v>#NAME?</v>
      </c>
      <c r="N57" s="9">
        <f t="shared" ca="1" si="7"/>
        <v>1</v>
      </c>
      <c r="O57" s="9">
        <f t="shared" ca="1" si="8"/>
        <v>1</v>
      </c>
      <c r="P57" s="9">
        <f t="shared" ca="1" si="9"/>
        <v>1</v>
      </c>
      <c r="Q57" s="9">
        <f t="shared" ca="1" si="10"/>
        <v>1</v>
      </c>
      <c r="R57" s="9">
        <f t="shared" ca="1" si="11"/>
        <v>0</v>
      </c>
    </row>
    <row r="58" spans="1:18" x14ac:dyDescent="0.25">
      <c r="A58" s="18"/>
      <c r="B58" s="19" t="s">
        <v>2317</v>
      </c>
      <c r="C58" s="5" t="s">
        <v>2318</v>
      </c>
      <c r="D58" s="7" t="e">
        <f ca="1">_xll.xlqPrice(C58)</f>
        <v>#NAME?</v>
      </c>
      <c r="E58" s="9" t="e">
        <f t="shared" ca="1" si="2"/>
        <v>#NAME?</v>
      </c>
      <c r="F58" s="9">
        <f t="shared" ca="1" si="3"/>
        <v>1</v>
      </c>
      <c r="G58" s="8">
        <f t="shared" ca="1" si="4"/>
        <v>0</v>
      </c>
      <c r="H58" s="8">
        <f t="shared" ca="1" si="5"/>
        <v>0</v>
      </c>
      <c r="I58" s="8">
        <f t="shared" ca="1" si="6"/>
        <v>0</v>
      </c>
      <c r="J58" s="6" t="e">
        <f ca="1">_xll.xlqxhSMA($C58,$L$4,$J$7,$K$3)</f>
        <v>#NAME?</v>
      </c>
      <c r="K58" s="7" t="e">
        <f ca="1">_xll.xlqhClose($C58,K$8,$K$3)</f>
        <v>#NAME?</v>
      </c>
      <c r="L58" s="7" t="e">
        <f ca="1">_xll.xlqhClose($C58,L$8,$K$3)</f>
        <v>#NAME?</v>
      </c>
      <c r="N58" s="9">
        <f t="shared" ca="1" si="7"/>
        <v>1</v>
      </c>
      <c r="O58" s="9">
        <f t="shared" ca="1" si="8"/>
        <v>1</v>
      </c>
      <c r="P58" s="9">
        <f t="shared" ca="1" si="9"/>
        <v>1</v>
      </c>
      <c r="Q58" s="9">
        <f t="shared" ca="1" si="10"/>
        <v>1</v>
      </c>
      <c r="R58" s="9">
        <f t="shared" ca="1" si="11"/>
        <v>0</v>
      </c>
    </row>
    <row r="59" spans="1:18" x14ac:dyDescent="0.25">
      <c r="A59" s="18"/>
      <c r="B59" s="19" t="s">
        <v>1485</v>
      </c>
      <c r="C59" s="5" t="s">
        <v>1486</v>
      </c>
      <c r="D59" s="7" t="e">
        <f ca="1">_xll.xlqPrice(C59)</f>
        <v>#NAME?</v>
      </c>
      <c r="E59" s="9" t="e">
        <f t="shared" ca="1" si="2"/>
        <v>#NAME?</v>
      </c>
      <c r="F59" s="9">
        <f t="shared" ca="1" si="3"/>
        <v>1</v>
      </c>
      <c r="G59" s="8">
        <f t="shared" ca="1" si="4"/>
        <v>0</v>
      </c>
      <c r="H59" s="8">
        <f t="shared" ca="1" si="5"/>
        <v>0</v>
      </c>
      <c r="I59" s="8">
        <f t="shared" ca="1" si="6"/>
        <v>0</v>
      </c>
      <c r="J59" s="6" t="e">
        <f ca="1">_xll.xlqxhSMA($C59,$L$4,$J$7,$K$3)</f>
        <v>#NAME?</v>
      </c>
      <c r="K59" s="7" t="e">
        <f ca="1">_xll.xlqhClose($C59,K$8,$K$3)</f>
        <v>#NAME?</v>
      </c>
      <c r="L59" s="7" t="e">
        <f ca="1">_xll.xlqhClose($C59,L$8,$K$3)</f>
        <v>#NAME?</v>
      </c>
      <c r="N59" s="9">
        <f t="shared" ca="1" si="7"/>
        <v>1</v>
      </c>
      <c r="O59" s="9">
        <f t="shared" ca="1" si="8"/>
        <v>1</v>
      </c>
      <c r="P59" s="9">
        <f t="shared" ca="1" si="9"/>
        <v>1</v>
      </c>
      <c r="Q59" s="9">
        <f t="shared" ca="1" si="10"/>
        <v>1</v>
      </c>
      <c r="R59" s="9">
        <f t="shared" ca="1" si="11"/>
        <v>0</v>
      </c>
    </row>
    <row r="60" spans="1:18" x14ac:dyDescent="0.25">
      <c r="A60" s="18"/>
      <c r="B60" s="19" t="s">
        <v>1889</v>
      </c>
      <c r="C60" s="5" t="s">
        <v>1890</v>
      </c>
      <c r="D60" s="7" t="e">
        <f ca="1">_xll.xlqPrice(C60)</f>
        <v>#NAME?</v>
      </c>
      <c r="E60" s="9" t="e">
        <f t="shared" ca="1" si="2"/>
        <v>#NAME?</v>
      </c>
      <c r="F60" s="9">
        <f t="shared" ca="1" si="3"/>
        <v>1</v>
      </c>
      <c r="G60" s="8">
        <f t="shared" ca="1" si="4"/>
        <v>0</v>
      </c>
      <c r="H60" s="8">
        <f t="shared" ca="1" si="5"/>
        <v>0</v>
      </c>
      <c r="I60" s="8">
        <f t="shared" ca="1" si="6"/>
        <v>0</v>
      </c>
      <c r="J60" s="6" t="e">
        <f ca="1">_xll.xlqxhSMA($C60,$L$4,$J$7,$K$3)</f>
        <v>#NAME?</v>
      </c>
      <c r="K60" s="7" t="e">
        <f ca="1">_xll.xlqhClose($C60,K$8,$K$3)</f>
        <v>#NAME?</v>
      </c>
      <c r="L60" s="7" t="e">
        <f ca="1">_xll.xlqhClose($C60,L$8,$K$3)</f>
        <v>#NAME?</v>
      </c>
      <c r="N60" s="9">
        <f t="shared" ca="1" si="7"/>
        <v>1</v>
      </c>
      <c r="O60" s="9">
        <f t="shared" ca="1" si="8"/>
        <v>1</v>
      </c>
      <c r="P60" s="9">
        <f t="shared" ca="1" si="9"/>
        <v>1</v>
      </c>
      <c r="Q60" s="9">
        <f t="shared" ca="1" si="10"/>
        <v>1</v>
      </c>
      <c r="R60" s="9">
        <f t="shared" ca="1" si="11"/>
        <v>0</v>
      </c>
    </row>
    <row r="61" spans="1:18" x14ac:dyDescent="0.25">
      <c r="A61" s="18"/>
      <c r="B61" s="19" t="s">
        <v>2035</v>
      </c>
      <c r="C61" s="5" t="s">
        <v>2036</v>
      </c>
      <c r="D61" s="7" t="e">
        <f ca="1">_xll.xlqPrice(C61)</f>
        <v>#NAME?</v>
      </c>
      <c r="E61" s="9" t="e">
        <f t="shared" ca="1" si="2"/>
        <v>#NAME?</v>
      </c>
      <c r="F61" s="9">
        <f t="shared" ca="1" si="3"/>
        <v>1</v>
      </c>
      <c r="G61" s="8">
        <f t="shared" ca="1" si="4"/>
        <v>0</v>
      </c>
      <c r="H61" s="8">
        <f t="shared" ca="1" si="5"/>
        <v>0</v>
      </c>
      <c r="I61" s="8">
        <f t="shared" ca="1" si="6"/>
        <v>0</v>
      </c>
      <c r="J61" s="6" t="e">
        <f ca="1">_xll.xlqxhSMA($C61,$L$4,$J$7,$K$3)</f>
        <v>#NAME?</v>
      </c>
      <c r="K61" s="7" t="e">
        <f ca="1">_xll.xlqhClose($C61,K$8,$K$3)</f>
        <v>#NAME?</v>
      </c>
      <c r="L61" s="7" t="e">
        <f ca="1">_xll.xlqhClose($C61,L$8,$K$3)</f>
        <v>#NAME?</v>
      </c>
      <c r="N61" s="9">
        <f t="shared" ca="1" si="7"/>
        <v>1</v>
      </c>
      <c r="O61" s="9">
        <f t="shared" ca="1" si="8"/>
        <v>1</v>
      </c>
      <c r="P61" s="9">
        <f t="shared" ca="1" si="9"/>
        <v>1</v>
      </c>
      <c r="Q61" s="9">
        <f t="shared" ca="1" si="10"/>
        <v>1</v>
      </c>
      <c r="R61" s="9">
        <f t="shared" ca="1" si="11"/>
        <v>0</v>
      </c>
    </row>
    <row r="62" spans="1:18" x14ac:dyDescent="0.25">
      <c r="A62" s="18"/>
      <c r="B62" s="19" t="s">
        <v>1925</v>
      </c>
      <c r="C62" s="5" t="s">
        <v>1926</v>
      </c>
      <c r="D62" s="7" t="e">
        <f ca="1">_xll.xlqPrice(C62)</f>
        <v>#NAME?</v>
      </c>
      <c r="E62" s="9" t="e">
        <f t="shared" ca="1" si="2"/>
        <v>#NAME?</v>
      </c>
      <c r="F62" s="9">
        <f t="shared" ca="1" si="3"/>
        <v>1</v>
      </c>
      <c r="G62" s="8">
        <f t="shared" ca="1" si="4"/>
        <v>0</v>
      </c>
      <c r="H62" s="8">
        <f t="shared" ca="1" si="5"/>
        <v>0</v>
      </c>
      <c r="I62" s="8">
        <f t="shared" ca="1" si="6"/>
        <v>0</v>
      </c>
      <c r="J62" s="6" t="e">
        <f ca="1">_xll.xlqxhSMA($C62,$L$4,$J$7,$K$3)</f>
        <v>#NAME?</v>
      </c>
      <c r="K62" s="7" t="e">
        <f ca="1">_xll.xlqhClose($C62,K$8,$K$3)</f>
        <v>#NAME?</v>
      </c>
      <c r="L62" s="7" t="e">
        <f ca="1">_xll.xlqhClose($C62,L$8,$K$3)</f>
        <v>#NAME?</v>
      </c>
      <c r="N62" s="9">
        <f t="shared" ca="1" si="7"/>
        <v>1</v>
      </c>
      <c r="O62" s="9">
        <f t="shared" ca="1" si="8"/>
        <v>1</v>
      </c>
      <c r="P62" s="9">
        <f t="shared" ca="1" si="9"/>
        <v>1</v>
      </c>
      <c r="Q62" s="9">
        <f t="shared" ca="1" si="10"/>
        <v>1</v>
      </c>
      <c r="R62" s="9">
        <f t="shared" ca="1" si="11"/>
        <v>0</v>
      </c>
    </row>
    <row r="63" spans="1:18" x14ac:dyDescent="0.25">
      <c r="A63" s="18"/>
      <c r="B63" s="19" t="s">
        <v>142</v>
      </c>
      <c r="C63" s="5" t="s">
        <v>143</v>
      </c>
      <c r="D63" s="7" t="e">
        <f ca="1">_xll.xlqPrice(C63)</f>
        <v>#NAME?</v>
      </c>
      <c r="E63" s="9" t="e">
        <f t="shared" ca="1" si="2"/>
        <v>#NAME?</v>
      </c>
      <c r="F63" s="9">
        <f t="shared" ca="1" si="3"/>
        <v>1</v>
      </c>
      <c r="G63" s="8">
        <f t="shared" ca="1" si="4"/>
        <v>0</v>
      </c>
      <c r="H63" s="8">
        <f t="shared" ca="1" si="5"/>
        <v>0</v>
      </c>
      <c r="I63" s="8">
        <f t="shared" ca="1" si="6"/>
        <v>0</v>
      </c>
      <c r="J63" s="6" t="e">
        <f ca="1">_xll.xlqxhSMA($C63,$L$4,$J$7,$K$3)</f>
        <v>#NAME?</v>
      </c>
      <c r="K63" s="7" t="e">
        <f ca="1">_xll.xlqhClose($C63,K$8,$K$3)</f>
        <v>#NAME?</v>
      </c>
      <c r="L63" s="7" t="e">
        <f ca="1">_xll.xlqhClose($C63,L$8,$K$3)</f>
        <v>#NAME?</v>
      </c>
      <c r="N63" s="9">
        <f t="shared" ca="1" si="7"/>
        <v>1</v>
      </c>
      <c r="O63" s="9">
        <f t="shared" ca="1" si="8"/>
        <v>1</v>
      </c>
      <c r="P63" s="9">
        <f t="shared" ca="1" si="9"/>
        <v>1</v>
      </c>
      <c r="Q63" s="9">
        <f t="shared" ca="1" si="10"/>
        <v>1</v>
      </c>
      <c r="R63" s="9">
        <f t="shared" ca="1" si="11"/>
        <v>0</v>
      </c>
    </row>
    <row r="64" spans="1:18" x14ac:dyDescent="0.25">
      <c r="A64" s="18"/>
      <c r="B64" s="19" t="s">
        <v>2059</v>
      </c>
      <c r="C64" s="5" t="s">
        <v>2060</v>
      </c>
      <c r="D64" s="7" t="e">
        <f ca="1">_xll.xlqPrice(C64)</f>
        <v>#NAME?</v>
      </c>
      <c r="E64" s="9" t="e">
        <f t="shared" ca="1" si="2"/>
        <v>#NAME?</v>
      </c>
      <c r="F64" s="9">
        <f t="shared" ca="1" si="3"/>
        <v>1</v>
      </c>
      <c r="G64" s="8">
        <f t="shared" ca="1" si="4"/>
        <v>0</v>
      </c>
      <c r="H64" s="8">
        <f t="shared" ca="1" si="5"/>
        <v>0</v>
      </c>
      <c r="I64" s="8">
        <f t="shared" ca="1" si="6"/>
        <v>0</v>
      </c>
      <c r="J64" s="6" t="e">
        <f ca="1">_xll.xlqxhSMA($C64,$L$4,$J$7,$K$3)</f>
        <v>#NAME?</v>
      </c>
      <c r="K64" s="7" t="e">
        <f ca="1">_xll.xlqhClose($C64,K$8,$K$3)</f>
        <v>#NAME?</v>
      </c>
      <c r="L64" s="7" t="e">
        <f ca="1">_xll.xlqhClose($C64,L$8,$K$3)</f>
        <v>#NAME?</v>
      </c>
      <c r="N64" s="9">
        <f t="shared" ca="1" si="7"/>
        <v>1</v>
      </c>
      <c r="O64" s="9">
        <f t="shared" ca="1" si="8"/>
        <v>1</v>
      </c>
      <c r="P64" s="9">
        <f t="shared" ca="1" si="9"/>
        <v>1</v>
      </c>
      <c r="Q64" s="9">
        <f t="shared" ca="1" si="10"/>
        <v>1</v>
      </c>
      <c r="R64" s="9">
        <f t="shared" ca="1" si="11"/>
        <v>0</v>
      </c>
    </row>
    <row r="65" spans="1:18" x14ac:dyDescent="0.25">
      <c r="A65" s="18"/>
      <c r="B65" s="19" t="s">
        <v>502</v>
      </c>
      <c r="C65" s="5" t="s">
        <v>503</v>
      </c>
      <c r="D65" s="7" t="e">
        <f ca="1">_xll.xlqPrice(C65)</f>
        <v>#NAME?</v>
      </c>
      <c r="E65" s="9" t="e">
        <f t="shared" ca="1" si="2"/>
        <v>#NAME?</v>
      </c>
      <c r="F65" s="9">
        <f t="shared" ca="1" si="3"/>
        <v>1</v>
      </c>
      <c r="G65" s="8">
        <f t="shared" ca="1" si="4"/>
        <v>0</v>
      </c>
      <c r="H65" s="8">
        <f t="shared" ca="1" si="5"/>
        <v>0</v>
      </c>
      <c r="I65" s="8">
        <f t="shared" ca="1" si="6"/>
        <v>0</v>
      </c>
      <c r="J65" s="6" t="e">
        <f ca="1">_xll.xlqxhSMA($C65,$L$4,$J$7,$K$3)</f>
        <v>#NAME?</v>
      </c>
      <c r="K65" s="7" t="e">
        <f ca="1">_xll.xlqhClose($C65,K$8,$K$3)</f>
        <v>#NAME?</v>
      </c>
      <c r="L65" s="7" t="e">
        <f ca="1">_xll.xlqhClose($C65,L$8,$K$3)</f>
        <v>#NAME?</v>
      </c>
      <c r="N65" s="9">
        <f t="shared" ca="1" si="7"/>
        <v>1</v>
      </c>
      <c r="O65" s="9">
        <f t="shared" ca="1" si="8"/>
        <v>1</v>
      </c>
      <c r="P65" s="9">
        <f t="shared" ca="1" si="9"/>
        <v>1</v>
      </c>
      <c r="Q65" s="9">
        <f t="shared" ca="1" si="10"/>
        <v>1</v>
      </c>
      <c r="R65" s="9">
        <f t="shared" ca="1" si="11"/>
        <v>0</v>
      </c>
    </row>
    <row r="66" spans="1:18" x14ac:dyDescent="0.25">
      <c r="A66" s="18"/>
      <c r="B66" s="19" t="s">
        <v>500</v>
      </c>
      <c r="C66" s="5" t="s">
        <v>501</v>
      </c>
      <c r="D66" s="7" t="e">
        <f ca="1">_xll.xlqPrice(C66)</f>
        <v>#NAME?</v>
      </c>
      <c r="E66" s="9" t="e">
        <f t="shared" ca="1" si="2"/>
        <v>#NAME?</v>
      </c>
      <c r="F66" s="9">
        <f t="shared" ca="1" si="3"/>
        <v>1</v>
      </c>
      <c r="G66" s="8">
        <f t="shared" ca="1" si="4"/>
        <v>0</v>
      </c>
      <c r="H66" s="8">
        <f t="shared" ca="1" si="5"/>
        <v>0</v>
      </c>
      <c r="I66" s="8">
        <f t="shared" ca="1" si="6"/>
        <v>0</v>
      </c>
      <c r="J66" s="6" t="e">
        <f ca="1">_xll.xlqxhSMA($C66,$L$4,$J$7,$K$3)</f>
        <v>#NAME?</v>
      </c>
      <c r="K66" s="7" t="e">
        <f ca="1">_xll.xlqhClose($C66,K$8,$K$3)</f>
        <v>#NAME?</v>
      </c>
      <c r="L66" s="7" t="e">
        <f ca="1">_xll.xlqhClose($C66,L$8,$K$3)</f>
        <v>#NAME?</v>
      </c>
      <c r="N66" s="9">
        <f t="shared" ca="1" si="7"/>
        <v>1</v>
      </c>
      <c r="O66" s="9">
        <f t="shared" ca="1" si="8"/>
        <v>1</v>
      </c>
      <c r="P66" s="9">
        <f t="shared" ca="1" si="9"/>
        <v>1</v>
      </c>
      <c r="Q66" s="9">
        <f t="shared" ca="1" si="10"/>
        <v>1</v>
      </c>
      <c r="R66" s="9">
        <f t="shared" ca="1" si="11"/>
        <v>0</v>
      </c>
    </row>
    <row r="67" spans="1:18" x14ac:dyDescent="0.25">
      <c r="A67" s="18"/>
      <c r="B67" s="19" t="s">
        <v>1793</v>
      </c>
      <c r="C67" s="5" t="s">
        <v>1794</v>
      </c>
      <c r="D67" s="7" t="e">
        <f ca="1">_xll.xlqPrice(C67)</f>
        <v>#NAME?</v>
      </c>
      <c r="E67" s="9" t="e">
        <f t="shared" ca="1" si="2"/>
        <v>#NAME?</v>
      </c>
      <c r="F67" s="9">
        <f t="shared" ca="1" si="3"/>
        <v>1</v>
      </c>
      <c r="G67" s="8">
        <f t="shared" ca="1" si="4"/>
        <v>0</v>
      </c>
      <c r="H67" s="8">
        <f t="shared" ca="1" si="5"/>
        <v>0</v>
      </c>
      <c r="I67" s="8">
        <f t="shared" ca="1" si="6"/>
        <v>0</v>
      </c>
      <c r="J67" s="6" t="e">
        <f ca="1">_xll.xlqxhSMA($C67,$L$4,$J$7,$K$3)</f>
        <v>#NAME?</v>
      </c>
      <c r="K67" s="7" t="e">
        <f ca="1">_xll.xlqhClose($C67,K$8,$K$3)</f>
        <v>#NAME?</v>
      </c>
      <c r="L67" s="7" t="e">
        <f ca="1">_xll.xlqhClose($C67,L$8,$K$3)</f>
        <v>#NAME?</v>
      </c>
      <c r="N67" s="9">
        <f t="shared" ca="1" si="7"/>
        <v>1</v>
      </c>
      <c r="O67" s="9">
        <f t="shared" ca="1" si="8"/>
        <v>1</v>
      </c>
      <c r="P67" s="9">
        <f t="shared" ca="1" si="9"/>
        <v>1</v>
      </c>
      <c r="Q67" s="9">
        <f t="shared" ca="1" si="10"/>
        <v>1</v>
      </c>
      <c r="R67" s="9">
        <f t="shared" ca="1" si="11"/>
        <v>0</v>
      </c>
    </row>
    <row r="68" spans="1:18" x14ac:dyDescent="0.25">
      <c r="A68" s="18"/>
      <c r="B68" s="19" t="s">
        <v>2231</v>
      </c>
      <c r="C68" s="5" t="s">
        <v>2232</v>
      </c>
      <c r="D68" s="7" t="e">
        <f ca="1">_xll.xlqPrice(C68)</f>
        <v>#NAME?</v>
      </c>
      <c r="E68" s="9" t="e">
        <f t="shared" ca="1" si="2"/>
        <v>#NAME?</v>
      </c>
      <c r="F68" s="9">
        <f t="shared" ca="1" si="3"/>
        <v>1</v>
      </c>
      <c r="G68" s="8">
        <f t="shared" ca="1" si="4"/>
        <v>0</v>
      </c>
      <c r="H68" s="8">
        <f t="shared" ca="1" si="5"/>
        <v>0</v>
      </c>
      <c r="I68" s="8">
        <f t="shared" ca="1" si="6"/>
        <v>0</v>
      </c>
      <c r="J68" s="6" t="e">
        <f ca="1">_xll.xlqxhSMA($C68,$L$4,$J$7,$K$3)</f>
        <v>#NAME?</v>
      </c>
      <c r="K68" s="7" t="e">
        <f ca="1">_xll.xlqhClose($C68,K$8,$K$3)</f>
        <v>#NAME?</v>
      </c>
      <c r="L68" s="7" t="e">
        <f ca="1">_xll.xlqhClose($C68,L$8,$K$3)</f>
        <v>#NAME?</v>
      </c>
      <c r="N68" s="9">
        <f t="shared" ca="1" si="7"/>
        <v>1</v>
      </c>
      <c r="O68" s="9">
        <f t="shared" ca="1" si="8"/>
        <v>1</v>
      </c>
      <c r="P68" s="9">
        <f t="shared" ca="1" si="9"/>
        <v>1</v>
      </c>
      <c r="Q68" s="9">
        <f t="shared" ca="1" si="10"/>
        <v>1</v>
      </c>
      <c r="R68" s="9">
        <f t="shared" ca="1" si="11"/>
        <v>0</v>
      </c>
    </row>
    <row r="69" spans="1:18" x14ac:dyDescent="0.25">
      <c r="A69" s="18"/>
      <c r="B69" s="19" t="s">
        <v>1849</v>
      </c>
      <c r="C69" s="5" t="s">
        <v>1850</v>
      </c>
      <c r="D69" s="7" t="e">
        <f ca="1">_xll.xlqPrice(C69)</f>
        <v>#NAME?</v>
      </c>
      <c r="E69" s="9" t="e">
        <f t="shared" ca="1" si="2"/>
        <v>#NAME?</v>
      </c>
      <c r="F69" s="9">
        <f t="shared" ca="1" si="3"/>
        <v>1</v>
      </c>
      <c r="G69" s="8">
        <f t="shared" ca="1" si="4"/>
        <v>0</v>
      </c>
      <c r="H69" s="8">
        <f t="shared" ca="1" si="5"/>
        <v>0</v>
      </c>
      <c r="I69" s="8">
        <f t="shared" ca="1" si="6"/>
        <v>0</v>
      </c>
      <c r="J69" s="6" t="e">
        <f ca="1">_xll.xlqxhSMA($C69,$L$4,$J$7,$K$3)</f>
        <v>#NAME?</v>
      </c>
      <c r="K69" s="7" t="e">
        <f ca="1">_xll.xlqhClose($C69,K$8,$K$3)</f>
        <v>#NAME?</v>
      </c>
      <c r="L69" s="7" t="e">
        <f ca="1">_xll.xlqhClose($C69,L$8,$K$3)</f>
        <v>#NAME?</v>
      </c>
      <c r="N69" s="9">
        <f t="shared" ca="1" si="7"/>
        <v>1</v>
      </c>
      <c r="O69" s="9">
        <f t="shared" ca="1" si="8"/>
        <v>1</v>
      </c>
      <c r="P69" s="9">
        <f t="shared" ca="1" si="9"/>
        <v>1</v>
      </c>
      <c r="Q69" s="9">
        <f t="shared" ca="1" si="10"/>
        <v>1</v>
      </c>
      <c r="R69" s="9">
        <f t="shared" ca="1" si="11"/>
        <v>0</v>
      </c>
    </row>
    <row r="70" spans="1:18" x14ac:dyDescent="0.25">
      <c r="A70" s="18"/>
      <c r="B70" s="19" t="s">
        <v>1963</v>
      </c>
      <c r="C70" s="5" t="s">
        <v>1964</v>
      </c>
      <c r="D70" s="7" t="e">
        <f ca="1">_xll.xlqPrice(C70)</f>
        <v>#NAME?</v>
      </c>
      <c r="E70" s="9" t="e">
        <f t="shared" ca="1" si="2"/>
        <v>#NAME?</v>
      </c>
      <c r="F70" s="9">
        <f t="shared" ca="1" si="3"/>
        <v>1</v>
      </c>
      <c r="G70" s="8">
        <f t="shared" ca="1" si="4"/>
        <v>0</v>
      </c>
      <c r="H70" s="8">
        <f t="shared" ca="1" si="5"/>
        <v>0</v>
      </c>
      <c r="I70" s="8">
        <f t="shared" ca="1" si="6"/>
        <v>0</v>
      </c>
      <c r="J70" s="6" t="e">
        <f ca="1">_xll.xlqxhSMA($C70,$L$4,$J$7,$K$3)</f>
        <v>#NAME?</v>
      </c>
      <c r="K70" s="7" t="e">
        <f ca="1">_xll.xlqhClose($C70,K$8,$K$3)</f>
        <v>#NAME?</v>
      </c>
      <c r="L70" s="7" t="e">
        <f ca="1">_xll.xlqhClose($C70,L$8,$K$3)</f>
        <v>#NAME?</v>
      </c>
      <c r="N70" s="9">
        <f t="shared" ca="1" si="7"/>
        <v>1</v>
      </c>
      <c r="O70" s="9">
        <f t="shared" ca="1" si="8"/>
        <v>1</v>
      </c>
      <c r="P70" s="9">
        <f t="shared" ca="1" si="9"/>
        <v>1</v>
      </c>
      <c r="Q70" s="9">
        <f t="shared" ca="1" si="10"/>
        <v>1</v>
      </c>
      <c r="R70" s="9">
        <f t="shared" ca="1" si="11"/>
        <v>0</v>
      </c>
    </row>
    <row r="71" spans="1:18" x14ac:dyDescent="0.25">
      <c r="A71" s="18"/>
      <c r="B71" s="19" t="s">
        <v>210</v>
      </c>
      <c r="C71" s="5" t="s">
        <v>211</v>
      </c>
      <c r="D71" s="7" t="e">
        <f ca="1">_xll.xlqPrice(C71)</f>
        <v>#NAME?</v>
      </c>
      <c r="E71" s="9" t="e">
        <f t="shared" ca="1" si="2"/>
        <v>#NAME?</v>
      </c>
      <c r="F71" s="9">
        <f t="shared" ca="1" si="3"/>
        <v>1</v>
      </c>
      <c r="G71" s="8">
        <f t="shared" ca="1" si="4"/>
        <v>0</v>
      </c>
      <c r="H71" s="8">
        <f t="shared" ca="1" si="5"/>
        <v>0</v>
      </c>
      <c r="I71" s="8">
        <f t="shared" ca="1" si="6"/>
        <v>0</v>
      </c>
      <c r="J71" s="6" t="e">
        <f ca="1">_xll.xlqxhSMA($C71,$L$4,$J$7,$K$3)</f>
        <v>#NAME?</v>
      </c>
      <c r="K71" s="7" t="e">
        <f ca="1">_xll.xlqhClose($C71,K$8,$K$3)</f>
        <v>#NAME?</v>
      </c>
      <c r="L71" s="7" t="e">
        <f ca="1">_xll.xlqhClose($C71,L$8,$K$3)</f>
        <v>#NAME?</v>
      </c>
      <c r="N71" s="9">
        <f t="shared" ca="1" si="7"/>
        <v>1</v>
      </c>
      <c r="O71" s="9">
        <f t="shared" ca="1" si="8"/>
        <v>1</v>
      </c>
      <c r="P71" s="9">
        <f t="shared" ca="1" si="9"/>
        <v>1</v>
      </c>
      <c r="Q71" s="9">
        <f t="shared" ca="1" si="10"/>
        <v>1</v>
      </c>
      <c r="R71" s="9">
        <f t="shared" ca="1" si="11"/>
        <v>0</v>
      </c>
    </row>
    <row r="72" spans="1:18" x14ac:dyDescent="0.25">
      <c r="A72" s="18"/>
      <c r="B72" s="19" t="s">
        <v>2193</v>
      </c>
      <c r="C72" s="5" t="s">
        <v>2194</v>
      </c>
      <c r="D72" s="7" t="e">
        <f ca="1">_xll.xlqPrice(C72)</f>
        <v>#NAME?</v>
      </c>
      <c r="E72" s="9" t="e">
        <f t="shared" ca="1" si="2"/>
        <v>#NAME?</v>
      </c>
      <c r="F72" s="9">
        <f t="shared" ca="1" si="3"/>
        <v>1</v>
      </c>
      <c r="G72" s="8">
        <f t="shared" ca="1" si="4"/>
        <v>0</v>
      </c>
      <c r="H72" s="8">
        <f t="shared" ca="1" si="5"/>
        <v>0</v>
      </c>
      <c r="I72" s="8">
        <f t="shared" ca="1" si="6"/>
        <v>0</v>
      </c>
      <c r="J72" s="6" t="e">
        <f ca="1">_xll.xlqxhSMA($C72,$L$4,$J$7,$K$3)</f>
        <v>#NAME?</v>
      </c>
      <c r="K72" s="7" t="e">
        <f ca="1">_xll.xlqhClose($C72,K$8,$K$3)</f>
        <v>#NAME?</v>
      </c>
      <c r="L72" s="7" t="e">
        <f ca="1">_xll.xlqhClose($C72,L$8,$K$3)</f>
        <v>#NAME?</v>
      </c>
      <c r="N72" s="9">
        <f t="shared" ca="1" si="7"/>
        <v>1</v>
      </c>
      <c r="O72" s="9">
        <f t="shared" ca="1" si="8"/>
        <v>1</v>
      </c>
      <c r="P72" s="9">
        <f t="shared" ca="1" si="9"/>
        <v>1</v>
      </c>
      <c r="Q72" s="9">
        <f t="shared" ca="1" si="10"/>
        <v>1</v>
      </c>
      <c r="R72" s="9">
        <f t="shared" ca="1" si="11"/>
        <v>0</v>
      </c>
    </row>
    <row r="73" spans="1:18" x14ac:dyDescent="0.25">
      <c r="A73" s="18"/>
      <c r="B73" s="19" t="s">
        <v>236</v>
      </c>
      <c r="C73" s="5" t="s">
        <v>237</v>
      </c>
      <c r="D73" s="7" t="e">
        <f ca="1">_xll.xlqPrice(C73)</f>
        <v>#NAME?</v>
      </c>
      <c r="E73" s="9" t="e">
        <f t="shared" ca="1" si="2"/>
        <v>#NAME?</v>
      </c>
      <c r="F73" s="9">
        <f t="shared" ca="1" si="3"/>
        <v>1</v>
      </c>
      <c r="G73" s="8">
        <f t="shared" ca="1" si="4"/>
        <v>0</v>
      </c>
      <c r="H73" s="8">
        <f t="shared" ca="1" si="5"/>
        <v>0</v>
      </c>
      <c r="I73" s="8">
        <f t="shared" ca="1" si="6"/>
        <v>0</v>
      </c>
      <c r="J73" s="6" t="e">
        <f ca="1">_xll.xlqxhSMA($C73,$L$4,$J$7,$K$3)</f>
        <v>#NAME?</v>
      </c>
      <c r="K73" s="7" t="e">
        <f ca="1">_xll.xlqhClose($C73,K$8,$K$3)</f>
        <v>#NAME?</v>
      </c>
      <c r="L73" s="7" t="e">
        <f ca="1">_xll.xlqhClose($C73,L$8,$K$3)</f>
        <v>#NAME?</v>
      </c>
      <c r="N73" s="9">
        <f t="shared" ca="1" si="7"/>
        <v>1</v>
      </c>
      <c r="O73" s="9">
        <f t="shared" ca="1" si="8"/>
        <v>1</v>
      </c>
      <c r="P73" s="9">
        <f t="shared" ca="1" si="9"/>
        <v>1</v>
      </c>
      <c r="Q73" s="9">
        <f t="shared" ca="1" si="10"/>
        <v>1</v>
      </c>
      <c r="R73" s="9">
        <f t="shared" ca="1" si="11"/>
        <v>0</v>
      </c>
    </row>
    <row r="74" spans="1:18" x14ac:dyDescent="0.25">
      <c r="A74" s="18"/>
      <c r="B74" s="19" t="s">
        <v>634</v>
      </c>
      <c r="C74" s="5" t="s">
        <v>635</v>
      </c>
      <c r="D74" s="7" t="e">
        <f ca="1">_xll.xlqPrice(C74)</f>
        <v>#NAME?</v>
      </c>
      <c r="E74" s="9" t="e">
        <f t="shared" ca="1" si="2"/>
        <v>#NAME?</v>
      </c>
      <c r="F74" s="9">
        <f t="shared" ca="1" si="3"/>
        <v>1</v>
      </c>
      <c r="G74" s="8">
        <f t="shared" ca="1" si="4"/>
        <v>0</v>
      </c>
      <c r="H74" s="8">
        <f t="shared" ca="1" si="5"/>
        <v>0</v>
      </c>
      <c r="I74" s="8">
        <f t="shared" ca="1" si="6"/>
        <v>0</v>
      </c>
      <c r="J74" s="6" t="e">
        <f ca="1">_xll.xlqxhSMA($C74,$L$4,$J$7,$K$3)</f>
        <v>#NAME?</v>
      </c>
      <c r="K74" s="7" t="e">
        <f ca="1">_xll.xlqhClose($C74,K$8,$K$3)</f>
        <v>#NAME?</v>
      </c>
      <c r="L74" s="7" t="e">
        <f ca="1">_xll.xlqhClose($C74,L$8,$K$3)</f>
        <v>#NAME?</v>
      </c>
      <c r="N74" s="9">
        <f t="shared" ca="1" si="7"/>
        <v>1</v>
      </c>
      <c r="O74" s="9">
        <f t="shared" ca="1" si="8"/>
        <v>1</v>
      </c>
      <c r="P74" s="9">
        <f t="shared" ca="1" si="9"/>
        <v>1</v>
      </c>
      <c r="Q74" s="9">
        <f t="shared" ca="1" si="10"/>
        <v>1</v>
      </c>
      <c r="R74" s="9">
        <f t="shared" ca="1" si="11"/>
        <v>0</v>
      </c>
    </row>
    <row r="75" spans="1:18" x14ac:dyDescent="0.25">
      <c r="A75" s="18"/>
      <c r="B75" s="19" t="s">
        <v>1075</v>
      </c>
      <c r="C75" s="5" t="s">
        <v>1076</v>
      </c>
      <c r="D75" s="7" t="e">
        <f ca="1">_xll.xlqPrice(C75)</f>
        <v>#NAME?</v>
      </c>
      <c r="E75" s="9" t="e">
        <f t="shared" ref="E75:E138" ca="1" si="12">IF(D75&gt;J75, "Buy","Cash")</f>
        <v>#NAME?</v>
      </c>
      <c r="F75" s="9">
        <f t="shared" ref="F75:F138" ca="1" si="13">RANK(I75,$I$11:$I$1138,0)</f>
        <v>1</v>
      </c>
      <c r="G75" s="8">
        <f t="shared" ref="G75:G138" ca="1" si="14">IFERROR(($D75-K75)/K75,0)</f>
        <v>0</v>
      </c>
      <c r="H75" s="8">
        <f t="shared" ref="H75:H138" ca="1" si="15">IFERROR(($D75-L75)/L75,0)</f>
        <v>0</v>
      </c>
      <c r="I75" s="8">
        <f t="shared" ref="I75:I138" ca="1" si="16">IFERROR((G75*$G$8)+(H75*$H$8),0)</f>
        <v>0</v>
      </c>
      <c r="J75" s="6" t="e">
        <f ca="1">_xll.xlqxhSMA($C75,$L$4,$J$7,$K$3)</f>
        <v>#NAME?</v>
      </c>
      <c r="K75" s="7" t="e">
        <f ca="1">_xll.xlqhClose($C75,K$8,$K$3)</f>
        <v>#NAME?</v>
      </c>
      <c r="L75" s="7" t="e">
        <f ca="1">_xll.xlqhClose($C75,L$8,$K$3)</f>
        <v>#NAME?</v>
      </c>
      <c r="N75" s="9">
        <f t="shared" ref="N75:N138" ca="1" si="17">RANK($G75,G$11:G$1138,0)</f>
        <v>1</v>
      </c>
      <c r="O75" s="9">
        <f t="shared" ref="O75:O138" ca="1" si="18">RANK($H75,H$11:H$1138,0)</f>
        <v>1</v>
      </c>
      <c r="P75" s="9">
        <f t="shared" ref="P75:P138" ca="1" si="19">RANK($I75,I$11:I$1138,0)</f>
        <v>1</v>
      </c>
      <c r="Q75" s="9">
        <f t="shared" ref="Q75:Q138" ca="1" si="20">RANK($P75,P$11:P$1138,1)</f>
        <v>1</v>
      </c>
      <c r="R75" s="9">
        <f t="shared" ref="R75:R138" ca="1" si="21">F75-Q75</f>
        <v>0</v>
      </c>
    </row>
    <row r="76" spans="1:18" x14ac:dyDescent="0.25">
      <c r="A76" s="18"/>
      <c r="B76" s="19" t="s">
        <v>1761</v>
      </c>
      <c r="C76" s="5" t="s">
        <v>1762</v>
      </c>
      <c r="D76" s="7" t="e">
        <f ca="1">_xll.xlqPrice(C76)</f>
        <v>#NAME?</v>
      </c>
      <c r="E76" s="9" t="e">
        <f t="shared" ca="1" si="12"/>
        <v>#NAME?</v>
      </c>
      <c r="F76" s="9">
        <f t="shared" ca="1" si="13"/>
        <v>1</v>
      </c>
      <c r="G76" s="8">
        <f t="shared" ca="1" si="14"/>
        <v>0</v>
      </c>
      <c r="H76" s="8">
        <f t="shared" ca="1" si="15"/>
        <v>0</v>
      </c>
      <c r="I76" s="8">
        <f t="shared" ca="1" si="16"/>
        <v>0</v>
      </c>
      <c r="J76" s="6" t="e">
        <f ca="1">_xll.xlqxhSMA($C76,$L$4,$J$7,$K$3)</f>
        <v>#NAME?</v>
      </c>
      <c r="K76" s="7" t="e">
        <f ca="1">_xll.xlqhClose($C76,K$8,$K$3)</f>
        <v>#NAME?</v>
      </c>
      <c r="L76" s="7" t="e">
        <f ca="1">_xll.xlqhClose($C76,L$8,$K$3)</f>
        <v>#NAME?</v>
      </c>
      <c r="N76" s="9">
        <f t="shared" ca="1" si="17"/>
        <v>1</v>
      </c>
      <c r="O76" s="9">
        <f t="shared" ca="1" si="18"/>
        <v>1</v>
      </c>
      <c r="P76" s="9">
        <f t="shared" ca="1" si="19"/>
        <v>1</v>
      </c>
      <c r="Q76" s="9">
        <f t="shared" ca="1" si="20"/>
        <v>1</v>
      </c>
      <c r="R76" s="9">
        <f t="shared" ca="1" si="21"/>
        <v>0</v>
      </c>
    </row>
    <row r="77" spans="1:18" x14ac:dyDescent="0.25">
      <c r="A77" s="18"/>
      <c r="B77" s="19" t="s">
        <v>1881</v>
      </c>
      <c r="C77" s="5" t="s">
        <v>1882</v>
      </c>
      <c r="D77" s="7" t="e">
        <f ca="1">_xll.xlqPrice(C77)</f>
        <v>#NAME?</v>
      </c>
      <c r="E77" s="9" t="e">
        <f t="shared" ca="1" si="12"/>
        <v>#NAME?</v>
      </c>
      <c r="F77" s="9">
        <f t="shared" ca="1" si="13"/>
        <v>1</v>
      </c>
      <c r="G77" s="8">
        <f t="shared" ca="1" si="14"/>
        <v>0</v>
      </c>
      <c r="H77" s="8">
        <f t="shared" ca="1" si="15"/>
        <v>0</v>
      </c>
      <c r="I77" s="8">
        <f t="shared" ca="1" si="16"/>
        <v>0</v>
      </c>
      <c r="J77" s="6" t="e">
        <f ca="1">_xll.xlqxhSMA($C77,$L$4,$J$7,$K$3)</f>
        <v>#NAME?</v>
      </c>
      <c r="K77" s="7" t="e">
        <f ca="1">_xll.xlqhClose($C77,K$8,$K$3)</f>
        <v>#NAME?</v>
      </c>
      <c r="L77" s="7" t="e">
        <f ca="1">_xll.xlqhClose($C77,L$8,$K$3)</f>
        <v>#NAME?</v>
      </c>
      <c r="N77" s="9">
        <f t="shared" ca="1" si="17"/>
        <v>1</v>
      </c>
      <c r="O77" s="9">
        <f t="shared" ca="1" si="18"/>
        <v>1</v>
      </c>
      <c r="P77" s="9">
        <f t="shared" ca="1" si="19"/>
        <v>1</v>
      </c>
      <c r="Q77" s="9">
        <f t="shared" ca="1" si="20"/>
        <v>1</v>
      </c>
      <c r="R77" s="9">
        <f t="shared" ca="1" si="21"/>
        <v>0</v>
      </c>
    </row>
    <row r="78" spans="1:18" x14ac:dyDescent="0.25">
      <c r="A78" s="18"/>
      <c r="B78" s="19" t="s">
        <v>1885</v>
      </c>
      <c r="C78" s="5" t="s">
        <v>1886</v>
      </c>
      <c r="D78" s="7" t="e">
        <f ca="1">_xll.xlqPrice(C78)</f>
        <v>#NAME?</v>
      </c>
      <c r="E78" s="9" t="e">
        <f t="shared" ca="1" si="12"/>
        <v>#NAME?</v>
      </c>
      <c r="F78" s="9">
        <f t="shared" ca="1" si="13"/>
        <v>1</v>
      </c>
      <c r="G78" s="8">
        <f t="shared" ca="1" si="14"/>
        <v>0</v>
      </c>
      <c r="H78" s="8">
        <f t="shared" ca="1" si="15"/>
        <v>0</v>
      </c>
      <c r="I78" s="8">
        <f t="shared" ca="1" si="16"/>
        <v>0</v>
      </c>
      <c r="J78" s="6" t="e">
        <f ca="1">_xll.xlqxhSMA($C78,$L$4,$J$7,$K$3)</f>
        <v>#NAME?</v>
      </c>
      <c r="K78" s="7" t="e">
        <f ca="1">_xll.xlqhClose($C78,K$8,$K$3)</f>
        <v>#NAME?</v>
      </c>
      <c r="L78" s="7" t="e">
        <f ca="1">_xll.xlqhClose($C78,L$8,$K$3)</f>
        <v>#NAME?</v>
      </c>
      <c r="N78" s="9">
        <f t="shared" ca="1" si="17"/>
        <v>1</v>
      </c>
      <c r="O78" s="9">
        <f t="shared" ca="1" si="18"/>
        <v>1</v>
      </c>
      <c r="P78" s="9">
        <f t="shared" ca="1" si="19"/>
        <v>1</v>
      </c>
      <c r="Q78" s="9">
        <f t="shared" ca="1" si="20"/>
        <v>1</v>
      </c>
      <c r="R78" s="9">
        <f t="shared" ca="1" si="21"/>
        <v>0</v>
      </c>
    </row>
    <row r="79" spans="1:18" x14ac:dyDescent="0.25">
      <c r="A79" s="18"/>
      <c r="B79" s="19" t="s">
        <v>1475</v>
      </c>
      <c r="C79" s="5" t="s">
        <v>1476</v>
      </c>
      <c r="D79" s="7" t="e">
        <f ca="1">_xll.xlqPrice(C79)</f>
        <v>#NAME?</v>
      </c>
      <c r="E79" s="9" t="e">
        <f t="shared" ca="1" si="12"/>
        <v>#NAME?</v>
      </c>
      <c r="F79" s="9">
        <f t="shared" ca="1" si="13"/>
        <v>1</v>
      </c>
      <c r="G79" s="8">
        <f t="shared" ca="1" si="14"/>
        <v>0</v>
      </c>
      <c r="H79" s="8">
        <f t="shared" ca="1" si="15"/>
        <v>0</v>
      </c>
      <c r="I79" s="8">
        <f t="shared" ca="1" si="16"/>
        <v>0</v>
      </c>
      <c r="J79" s="6" t="e">
        <f ca="1">_xll.xlqxhSMA($C79,$L$4,$J$7,$K$3)</f>
        <v>#NAME?</v>
      </c>
      <c r="K79" s="7" t="e">
        <f ca="1">_xll.xlqhClose($C79,K$8,$K$3)</f>
        <v>#NAME?</v>
      </c>
      <c r="L79" s="7" t="e">
        <f ca="1">_xll.xlqhClose($C79,L$8,$K$3)</f>
        <v>#NAME?</v>
      </c>
      <c r="N79" s="9">
        <f t="shared" ca="1" si="17"/>
        <v>1</v>
      </c>
      <c r="O79" s="9">
        <f t="shared" ca="1" si="18"/>
        <v>1</v>
      </c>
      <c r="P79" s="9">
        <f t="shared" ca="1" si="19"/>
        <v>1</v>
      </c>
      <c r="Q79" s="9">
        <f t="shared" ca="1" si="20"/>
        <v>1</v>
      </c>
      <c r="R79" s="9">
        <f t="shared" ca="1" si="21"/>
        <v>0</v>
      </c>
    </row>
    <row r="80" spans="1:18" x14ac:dyDescent="0.25">
      <c r="A80" s="18"/>
      <c r="B80" s="19" t="s">
        <v>1415</v>
      </c>
      <c r="C80" s="5" t="s">
        <v>1416</v>
      </c>
      <c r="D80" s="7" t="e">
        <f ca="1">_xll.xlqPrice(C80)</f>
        <v>#NAME?</v>
      </c>
      <c r="E80" s="9" t="e">
        <f t="shared" ca="1" si="12"/>
        <v>#NAME?</v>
      </c>
      <c r="F80" s="9">
        <f t="shared" ca="1" si="13"/>
        <v>1</v>
      </c>
      <c r="G80" s="8">
        <f t="shared" ca="1" si="14"/>
        <v>0</v>
      </c>
      <c r="H80" s="8">
        <f t="shared" ca="1" si="15"/>
        <v>0</v>
      </c>
      <c r="I80" s="8">
        <f t="shared" ca="1" si="16"/>
        <v>0</v>
      </c>
      <c r="J80" s="6" t="e">
        <f ca="1">_xll.xlqxhSMA($C80,$L$4,$J$7,$K$3)</f>
        <v>#NAME?</v>
      </c>
      <c r="K80" s="7" t="e">
        <f ca="1">_xll.xlqhClose($C80,K$8,$K$3)</f>
        <v>#NAME?</v>
      </c>
      <c r="L80" s="7" t="e">
        <f ca="1">_xll.xlqhClose($C80,L$8,$K$3)</f>
        <v>#NAME?</v>
      </c>
      <c r="N80" s="9">
        <f t="shared" ca="1" si="17"/>
        <v>1</v>
      </c>
      <c r="O80" s="9">
        <f t="shared" ca="1" si="18"/>
        <v>1</v>
      </c>
      <c r="P80" s="9">
        <f t="shared" ca="1" si="19"/>
        <v>1</v>
      </c>
      <c r="Q80" s="9">
        <f t="shared" ca="1" si="20"/>
        <v>1</v>
      </c>
      <c r="R80" s="9">
        <f t="shared" ca="1" si="21"/>
        <v>0</v>
      </c>
    </row>
    <row r="81" spans="1:18" x14ac:dyDescent="0.25">
      <c r="A81" s="18"/>
      <c r="B81" s="19" t="s">
        <v>1457</v>
      </c>
      <c r="C81" s="5" t="s">
        <v>1458</v>
      </c>
      <c r="D81" s="7" t="e">
        <f ca="1">_xll.xlqPrice(C81)</f>
        <v>#NAME?</v>
      </c>
      <c r="E81" s="9" t="e">
        <f t="shared" ca="1" si="12"/>
        <v>#NAME?</v>
      </c>
      <c r="F81" s="9">
        <f t="shared" ca="1" si="13"/>
        <v>1</v>
      </c>
      <c r="G81" s="8">
        <f t="shared" ca="1" si="14"/>
        <v>0</v>
      </c>
      <c r="H81" s="8">
        <f t="shared" ca="1" si="15"/>
        <v>0</v>
      </c>
      <c r="I81" s="8">
        <f t="shared" ca="1" si="16"/>
        <v>0</v>
      </c>
      <c r="J81" s="6" t="e">
        <f ca="1">_xll.xlqxhSMA($C81,$L$4,$J$7,$K$3)</f>
        <v>#NAME?</v>
      </c>
      <c r="K81" s="7" t="e">
        <f ca="1">_xll.xlqhClose($C81,K$8,$K$3)</f>
        <v>#NAME?</v>
      </c>
      <c r="L81" s="7" t="e">
        <f ca="1">_xll.xlqhClose($C81,L$8,$K$3)</f>
        <v>#NAME?</v>
      </c>
      <c r="N81" s="9">
        <f t="shared" ca="1" si="17"/>
        <v>1</v>
      </c>
      <c r="O81" s="9">
        <f t="shared" ca="1" si="18"/>
        <v>1</v>
      </c>
      <c r="P81" s="9">
        <f t="shared" ca="1" si="19"/>
        <v>1</v>
      </c>
      <c r="Q81" s="9">
        <f t="shared" ca="1" si="20"/>
        <v>1</v>
      </c>
      <c r="R81" s="9">
        <f t="shared" ca="1" si="21"/>
        <v>0</v>
      </c>
    </row>
    <row r="82" spans="1:18" x14ac:dyDescent="0.25">
      <c r="A82" s="18"/>
      <c r="B82" s="19" t="s">
        <v>2007</v>
      </c>
      <c r="C82" s="5" t="s">
        <v>2008</v>
      </c>
      <c r="D82" s="7" t="e">
        <f ca="1">_xll.xlqPrice(C82)</f>
        <v>#NAME?</v>
      </c>
      <c r="E82" s="9" t="e">
        <f t="shared" ca="1" si="12"/>
        <v>#NAME?</v>
      </c>
      <c r="F82" s="9">
        <f t="shared" ca="1" si="13"/>
        <v>1</v>
      </c>
      <c r="G82" s="8">
        <f t="shared" ca="1" si="14"/>
        <v>0</v>
      </c>
      <c r="H82" s="8">
        <f t="shared" ca="1" si="15"/>
        <v>0</v>
      </c>
      <c r="I82" s="8">
        <f t="shared" ca="1" si="16"/>
        <v>0</v>
      </c>
      <c r="J82" s="6" t="e">
        <f ca="1">_xll.xlqxhSMA($C82,$L$4,$J$7,$K$3)</f>
        <v>#NAME?</v>
      </c>
      <c r="K82" s="7" t="e">
        <f ca="1">_xll.xlqhClose($C82,K$8,$K$3)</f>
        <v>#NAME?</v>
      </c>
      <c r="L82" s="7" t="e">
        <f ca="1">_xll.xlqhClose($C82,L$8,$K$3)</f>
        <v>#NAME?</v>
      </c>
      <c r="N82" s="9">
        <f t="shared" ca="1" si="17"/>
        <v>1</v>
      </c>
      <c r="O82" s="9">
        <f t="shared" ca="1" si="18"/>
        <v>1</v>
      </c>
      <c r="P82" s="9">
        <f t="shared" ca="1" si="19"/>
        <v>1</v>
      </c>
      <c r="Q82" s="9">
        <f t="shared" ca="1" si="20"/>
        <v>1</v>
      </c>
      <c r="R82" s="9">
        <f t="shared" ca="1" si="21"/>
        <v>0</v>
      </c>
    </row>
    <row r="83" spans="1:18" x14ac:dyDescent="0.25">
      <c r="A83" s="18"/>
      <c r="B83" s="19" t="s">
        <v>556</v>
      </c>
      <c r="C83" s="5" t="s">
        <v>557</v>
      </c>
      <c r="D83" s="7" t="e">
        <f ca="1">_xll.xlqPrice(C83)</f>
        <v>#NAME?</v>
      </c>
      <c r="E83" s="9" t="e">
        <f t="shared" ca="1" si="12"/>
        <v>#NAME?</v>
      </c>
      <c r="F83" s="9">
        <f t="shared" ca="1" si="13"/>
        <v>1</v>
      </c>
      <c r="G83" s="8">
        <f t="shared" ca="1" si="14"/>
        <v>0</v>
      </c>
      <c r="H83" s="8">
        <f t="shared" ca="1" si="15"/>
        <v>0</v>
      </c>
      <c r="I83" s="8">
        <f t="shared" ca="1" si="16"/>
        <v>0</v>
      </c>
      <c r="J83" s="6" t="e">
        <f ca="1">_xll.xlqxhSMA($C83,$L$4,$J$7,$K$3)</f>
        <v>#NAME?</v>
      </c>
      <c r="K83" s="7" t="e">
        <f ca="1">_xll.xlqhClose($C83,K$8,$K$3)</f>
        <v>#NAME?</v>
      </c>
      <c r="L83" s="7" t="e">
        <f ca="1">_xll.xlqhClose($C83,L$8,$K$3)</f>
        <v>#NAME?</v>
      </c>
      <c r="N83" s="9">
        <f t="shared" ca="1" si="17"/>
        <v>1</v>
      </c>
      <c r="O83" s="9">
        <f t="shared" ca="1" si="18"/>
        <v>1</v>
      </c>
      <c r="P83" s="9">
        <f t="shared" ca="1" si="19"/>
        <v>1</v>
      </c>
      <c r="Q83" s="9">
        <f t="shared" ca="1" si="20"/>
        <v>1</v>
      </c>
      <c r="R83" s="9">
        <f t="shared" ca="1" si="21"/>
        <v>0</v>
      </c>
    </row>
    <row r="84" spans="1:18" x14ac:dyDescent="0.25">
      <c r="A84" s="18"/>
      <c r="B84" s="19" t="s">
        <v>1621</v>
      </c>
      <c r="C84" s="5" t="s">
        <v>1622</v>
      </c>
      <c r="D84" s="7" t="e">
        <f ca="1">_xll.xlqPrice(C84)</f>
        <v>#NAME?</v>
      </c>
      <c r="E84" s="9" t="e">
        <f t="shared" ca="1" si="12"/>
        <v>#NAME?</v>
      </c>
      <c r="F84" s="9">
        <f t="shared" ca="1" si="13"/>
        <v>1</v>
      </c>
      <c r="G84" s="8">
        <f t="shared" ca="1" si="14"/>
        <v>0</v>
      </c>
      <c r="H84" s="8">
        <f t="shared" ca="1" si="15"/>
        <v>0</v>
      </c>
      <c r="I84" s="8">
        <f t="shared" ca="1" si="16"/>
        <v>0</v>
      </c>
      <c r="J84" s="6" t="e">
        <f ca="1">_xll.xlqxhSMA($C84,$L$4,$J$7,$K$3)</f>
        <v>#NAME?</v>
      </c>
      <c r="K84" s="7" t="e">
        <f ca="1">_xll.xlqhClose($C84,K$8,$K$3)</f>
        <v>#NAME?</v>
      </c>
      <c r="L84" s="7" t="e">
        <f ca="1">_xll.xlqhClose($C84,L$8,$K$3)</f>
        <v>#NAME?</v>
      </c>
      <c r="N84" s="9">
        <f t="shared" ca="1" si="17"/>
        <v>1</v>
      </c>
      <c r="O84" s="9">
        <f t="shared" ca="1" si="18"/>
        <v>1</v>
      </c>
      <c r="P84" s="9">
        <f t="shared" ca="1" si="19"/>
        <v>1</v>
      </c>
      <c r="Q84" s="9">
        <f t="shared" ca="1" si="20"/>
        <v>1</v>
      </c>
      <c r="R84" s="9">
        <f t="shared" ca="1" si="21"/>
        <v>0</v>
      </c>
    </row>
    <row r="85" spans="1:18" x14ac:dyDescent="0.25">
      <c r="A85" s="18"/>
      <c r="B85" s="19" t="s">
        <v>420</v>
      </c>
      <c r="C85" s="5" t="s">
        <v>421</v>
      </c>
      <c r="D85" s="7" t="e">
        <f ca="1">_xll.xlqPrice(C85)</f>
        <v>#NAME?</v>
      </c>
      <c r="E85" s="9" t="e">
        <f t="shared" ca="1" si="12"/>
        <v>#NAME?</v>
      </c>
      <c r="F85" s="9">
        <f t="shared" ca="1" si="13"/>
        <v>1</v>
      </c>
      <c r="G85" s="8">
        <f t="shared" ca="1" si="14"/>
        <v>0</v>
      </c>
      <c r="H85" s="8">
        <f t="shared" ca="1" si="15"/>
        <v>0</v>
      </c>
      <c r="I85" s="8">
        <f t="shared" ca="1" si="16"/>
        <v>0</v>
      </c>
      <c r="J85" s="6" t="e">
        <f ca="1">_xll.xlqxhSMA($C85,$L$4,$J$7,$K$3)</f>
        <v>#NAME?</v>
      </c>
      <c r="K85" s="7" t="e">
        <f ca="1">_xll.xlqhClose($C85,K$8,$K$3)</f>
        <v>#NAME?</v>
      </c>
      <c r="L85" s="7" t="e">
        <f ca="1">_xll.xlqhClose($C85,L$8,$K$3)</f>
        <v>#NAME?</v>
      </c>
      <c r="N85" s="9">
        <f t="shared" ca="1" si="17"/>
        <v>1</v>
      </c>
      <c r="O85" s="9">
        <f t="shared" ca="1" si="18"/>
        <v>1</v>
      </c>
      <c r="P85" s="9">
        <f t="shared" ca="1" si="19"/>
        <v>1</v>
      </c>
      <c r="Q85" s="9">
        <f t="shared" ca="1" si="20"/>
        <v>1</v>
      </c>
      <c r="R85" s="9">
        <f t="shared" ca="1" si="21"/>
        <v>0</v>
      </c>
    </row>
    <row r="86" spans="1:18" x14ac:dyDescent="0.25">
      <c r="A86" s="18"/>
      <c r="B86" s="19" t="s">
        <v>486</v>
      </c>
      <c r="C86" s="5" t="s">
        <v>487</v>
      </c>
      <c r="D86" s="7" t="e">
        <f ca="1">_xll.xlqPrice(C86)</f>
        <v>#NAME?</v>
      </c>
      <c r="E86" s="9" t="e">
        <f t="shared" ca="1" si="12"/>
        <v>#NAME?</v>
      </c>
      <c r="F86" s="9">
        <f t="shared" ca="1" si="13"/>
        <v>1</v>
      </c>
      <c r="G86" s="8">
        <f t="shared" ca="1" si="14"/>
        <v>0</v>
      </c>
      <c r="H86" s="8">
        <f t="shared" ca="1" si="15"/>
        <v>0</v>
      </c>
      <c r="I86" s="8">
        <f t="shared" ca="1" si="16"/>
        <v>0</v>
      </c>
      <c r="J86" s="6" t="e">
        <f ca="1">_xll.xlqxhSMA($C86,$L$4,$J$7,$K$3)</f>
        <v>#NAME?</v>
      </c>
      <c r="K86" s="7" t="e">
        <f ca="1">_xll.xlqhClose($C86,K$8,$K$3)</f>
        <v>#NAME?</v>
      </c>
      <c r="L86" s="7" t="e">
        <f ca="1">_xll.xlqhClose($C86,L$8,$K$3)</f>
        <v>#NAME?</v>
      </c>
      <c r="N86" s="9">
        <f t="shared" ca="1" si="17"/>
        <v>1</v>
      </c>
      <c r="O86" s="9">
        <f t="shared" ca="1" si="18"/>
        <v>1</v>
      </c>
      <c r="P86" s="9">
        <f t="shared" ca="1" si="19"/>
        <v>1</v>
      </c>
      <c r="Q86" s="9">
        <f t="shared" ca="1" si="20"/>
        <v>1</v>
      </c>
      <c r="R86" s="9">
        <f t="shared" ca="1" si="21"/>
        <v>0</v>
      </c>
    </row>
    <row r="87" spans="1:18" x14ac:dyDescent="0.25">
      <c r="A87" s="18"/>
      <c r="B87" s="19" t="s">
        <v>1007</v>
      </c>
      <c r="C87" s="5" t="s">
        <v>1008</v>
      </c>
      <c r="D87" s="7" t="e">
        <f ca="1">_xll.xlqPrice(C87)</f>
        <v>#NAME?</v>
      </c>
      <c r="E87" s="9" t="e">
        <f t="shared" ca="1" si="12"/>
        <v>#NAME?</v>
      </c>
      <c r="F87" s="9">
        <f t="shared" ca="1" si="13"/>
        <v>1</v>
      </c>
      <c r="G87" s="8">
        <f t="shared" ca="1" si="14"/>
        <v>0</v>
      </c>
      <c r="H87" s="8">
        <f t="shared" ca="1" si="15"/>
        <v>0</v>
      </c>
      <c r="I87" s="8">
        <f t="shared" ca="1" si="16"/>
        <v>0</v>
      </c>
      <c r="J87" s="6" t="e">
        <f ca="1">_xll.xlqxhSMA($C87,$L$4,$J$7,$K$3)</f>
        <v>#NAME?</v>
      </c>
      <c r="K87" s="7" t="e">
        <f ca="1">_xll.xlqhClose($C87,K$8,$K$3)</f>
        <v>#NAME?</v>
      </c>
      <c r="L87" s="7" t="e">
        <f ca="1">_xll.xlqhClose($C87,L$8,$K$3)</f>
        <v>#NAME?</v>
      </c>
      <c r="N87" s="9">
        <f t="shared" ca="1" si="17"/>
        <v>1</v>
      </c>
      <c r="O87" s="9">
        <f t="shared" ca="1" si="18"/>
        <v>1</v>
      </c>
      <c r="P87" s="9">
        <f t="shared" ca="1" si="19"/>
        <v>1</v>
      </c>
      <c r="Q87" s="9">
        <f t="shared" ca="1" si="20"/>
        <v>1</v>
      </c>
      <c r="R87" s="9">
        <f t="shared" ca="1" si="21"/>
        <v>0</v>
      </c>
    </row>
    <row r="88" spans="1:18" x14ac:dyDescent="0.25">
      <c r="A88" s="18"/>
      <c r="B88" s="19" t="s">
        <v>1967</v>
      </c>
      <c r="C88" s="5" t="s">
        <v>1968</v>
      </c>
      <c r="D88" s="7" t="e">
        <f ca="1">_xll.xlqPrice(C88)</f>
        <v>#NAME?</v>
      </c>
      <c r="E88" s="9" t="e">
        <f t="shared" ca="1" si="12"/>
        <v>#NAME?</v>
      </c>
      <c r="F88" s="9">
        <f t="shared" ca="1" si="13"/>
        <v>1</v>
      </c>
      <c r="G88" s="8">
        <f t="shared" ca="1" si="14"/>
        <v>0</v>
      </c>
      <c r="H88" s="8">
        <f t="shared" ca="1" si="15"/>
        <v>0</v>
      </c>
      <c r="I88" s="8">
        <f t="shared" ca="1" si="16"/>
        <v>0</v>
      </c>
      <c r="J88" s="6" t="e">
        <f ca="1">_xll.xlqxhSMA($C88,$L$4,$J$7,$K$3)</f>
        <v>#NAME?</v>
      </c>
      <c r="K88" s="7" t="e">
        <f ca="1">_xll.xlqhClose($C88,K$8,$K$3)</f>
        <v>#NAME?</v>
      </c>
      <c r="L88" s="7" t="e">
        <f ca="1">_xll.xlqhClose($C88,L$8,$K$3)</f>
        <v>#NAME?</v>
      </c>
      <c r="N88" s="9">
        <f t="shared" ca="1" si="17"/>
        <v>1</v>
      </c>
      <c r="O88" s="9">
        <f t="shared" ca="1" si="18"/>
        <v>1</v>
      </c>
      <c r="P88" s="9">
        <f t="shared" ca="1" si="19"/>
        <v>1</v>
      </c>
      <c r="Q88" s="9">
        <f t="shared" ca="1" si="20"/>
        <v>1</v>
      </c>
      <c r="R88" s="9">
        <f t="shared" ca="1" si="21"/>
        <v>0</v>
      </c>
    </row>
    <row r="89" spans="1:18" x14ac:dyDescent="0.25">
      <c r="A89" s="18"/>
      <c r="B89" s="19" t="s">
        <v>35</v>
      </c>
      <c r="C89" s="5" t="s">
        <v>14</v>
      </c>
      <c r="D89" s="7" t="e">
        <f ca="1">_xll.xlqPrice(C89)</f>
        <v>#NAME?</v>
      </c>
      <c r="E89" s="9" t="e">
        <f t="shared" ca="1" si="12"/>
        <v>#NAME?</v>
      </c>
      <c r="F89" s="9">
        <f t="shared" ca="1" si="13"/>
        <v>1</v>
      </c>
      <c r="G89" s="8">
        <f t="shared" ca="1" si="14"/>
        <v>0</v>
      </c>
      <c r="H89" s="8">
        <f t="shared" ca="1" si="15"/>
        <v>0</v>
      </c>
      <c r="I89" s="8">
        <f t="shared" ca="1" si="16"/>
        <v>0</v>
      </c>
      <c r="J89" s="6" t="e">
        <f ca="1">_xll.xlqxhSMA($C89,$L$4,$J$7,$K$3)</f>
        <v>#NAME?</v>
      </c>
      <c r="K89" s="7" t="e">
        <f ca="1">_xll.xlqhClose($C89,K$8,$K$3)</f>
        <v>#NAME?</v>
      </c>
      <c r="L89" s="7" t="e">
        <f ca="1">_xll.xlqhClose($C89,L$8,$K$3)</f>
        <v>#NAME?</v>
      </c>
      <c r="N89" s="9">
        <f t="shared" ca="1" si="17"/>
        <v>1</v>
      </c>
      <c r="O89" s="9">
        <f t="shared" ca="1" si="18"/>
        <v>1</v>
      </c>
      <c r="P89" s="9">
        <f t="shared" ca="1" si="19"/>
        <v>1</v>
      </c>
      <c r="Q89" s="9">
        <f t="shared" ca="1" si="20"/>
        <v>1</v>
      </c>
      <c r="R89" s="9">
        <f t="shared" ca="1" si="21"/>
        <v>0</v>
      </c>
    </row>
    <row r="90" spans="1:18" x14ac:dyDescent="0.25">
      <c r="A90" s="18"/>
      <c r="B90" s="19" t="s">
        <v>1887</v>
      </c>
      <c r="C90" s="5" t="s">
        <v>1888</v>
      </c>
      <c r="D90" s="7" t="e">
        <f ca="1">_xll.xlqPrice(C90)</f>
        <v>#NAME?</v>
      </c>
      <c r="E90" s="9" t="e">
        <f t="shared" ca="1" si="12"/>
        <v>#NAME?</v>
      </c>
      <c r="F90" s="9">
        <f t="shared" ca="1" si="13"/>
        <v>1</v>
      </c>
      <c r="G90" s="8">
        <f t="shared" ca="1" si="14"/>
        <v>0</v>
      </c>
      <c r="H90" s="8">
        <f t="shared" ca="1" si="15"/>
        <v>0</v>
      </c>
      <c r="I90" s="8">
        <f t="shared" ca="1" si="16"/>
        <v>0</v>
      </c>
      <c r="J90" s="6" t="e">
        <f ca="1">_xll.xlqxhSMA($C90,$L$4,$J$7,$K$3)</f>
        <v>#NAME?</v>
      </c>
      <c r="K90" s="7" t="e">
        <f ca="1">_xll.xlqhClose($C90,K$8,$K$3)</f>
        <v>#NAME?</v>
      </c>
      <c r="L90" s="7" t="e">
        <f ca="1">_xll.xlqhClose($C90,L$8,$K$3)</f>
        <v>#NAME?</v>
      </c>
      <c r="N90" s="9">
        <f t="shared" ca="1" si="17"/>
        <v>1</v>
      </c>
      <c r="O90" s="9">
        <f t="shared" ca="1" si="18"/>
        <v>1</v>
      </c>
      <c r="P90" s="9">
        <f t="shared" ca="1" si="19"/>
        <v>1</v>
      </c>
      <c r="Q90" s="9">
        <f t="shared" ca="1" si="20"/>
        <v>1</v>
      </c>
      <c r="R90" s="9">
        <f t="shared" ca="1" si="21"/>
        <v>0</v>
      </c>
    </row>
    <row r="91" spans="1:18" x14ac:dyDescent="0.25">
      <c r="A91" s="18"/>
      <c r="B91" s="19" t="s">
        <v>1447</v>
      </c>
      <c r="C91" s="5" t="s">
        <v>1448</v>
      </c>
      <c r="D91" s="7" t="e">
        <f ca="1">_xll.xlqPrice(C91)</f>
        <v>#NAME?</v>
      </c>
      <c r="E91" s="9" t="e">
        <f t="shared" ca="1" si="12"/>
        <v>#NAME?</v>
      </c>
      <c r="F91" s="9">
        <f t="shared" ca="1" si="13"/>
        <v>1</v>
      </c>
      <c r="G91" s="8">
        <f t="shared" ca="1" si="14"/>
        <v>0</v>
      </c>
      <c r="H91" s="8">
        <f t="shared" ca="1" si="15"/>
        <v>0</v>
      </c>
      <c r="I91" s="8">
        <f t="shared" ca="1" si="16"/>
        <v>0</v>
      </c>
      <c r="J91" s="6" t="e">
        <f ca="1">_xll.xlqxhSMA($C91,$L$4,$J$7,$K$3)</f>
        <v>#NAME?</v>
      </c>
      <c r="K91" s="7" t="e">
        <f ca="1">_xll.xlqhClose($C91,K$8,$K$3)</f>
        <v>#NAME?</v>
      </c>
      <c r="L91" s="7" t="e">
        <f ca="1">_xll.xlqhClose($C91,L$8,$K$3)</f>
        <v>#NAME?</v>
      </c>
      <c r="N91" s="9">
        <f t="shared" ca="1" si="17"/>
        <v>1</v>
      </c>
      <c r="O91" s="9">
        <f t="shared" ca="1" si="18"/>
        <v>1</v>
      </c>
      <c r="P91" s="9">
        <f t="shared" ca="1" si="19"/>
        <v>1</v>
      </c>
      <c r="Q91" s="9">
        <f t="shared" ca="1" si="20"/>
        <v>1</v>
      </c>
      <c r="R91" s="9">
        <f t="shared" ca="1" si="21"/>
        <v>0</v>
      </c>
    </row>
    <row r="92" spans="1:18" x14ac:dyDescent="0.25">
      <c r="A92" s="18"/>
      <c r="B92" s="19" t="s">
        <v>1795</v>
      </c>
      <c r="C92" s="5" t="s">
        <v>1796</v>
      </c>
      <c r="D92" s="7" t="e">
        <f ca="1">_xll.xlqPrice(C92)</f>
        <v>#NAME?</v>
      </c>
      <c r="E92" s="9" t="e">
        <f t="shared" ca="1" si="12"/>
        <v>#NAME?</v>
      </c>
      <c r="F92" s="9">
        <f t="shared" ca="1" si="13"/>
        <v>1</v>
      </c>
      <c r="G92" s="8">
        <f t="shared" ca="1" si="14"/>
        <v>0</v>
      </c>
      <c r="H92" s="8">
        <f t="shared" ca="1" si="15"/>
        <v>0</v>
      </c>
      <c r="I92" s="8">
        <f t="shared" ca="1" si="16"/>
        <v>0</v>
      </c>
      <c r="J92" s="6" t="e">
        <f ca="1">_xll.xlqxhSMA($C92,$L$4,$J$7,$K$3)</f>
        <v>#NAME?</v>
      </c>
      <c r="K92" s="7" t="e">
        <f ca="1">_xll.xlqhClose($C92,K$8,$K$3)</f>
        <v>#NAME?</v>
      </c>
      <c r="L92" s="7" t="e">
        <f ca="1">_xll.xlqhClose($C92,L$8,$K$3)</f>
        <v>#NAME?</v>
      </c>
      <c r="N92" s="9">
        <f t="shared" ca="1" si="17"/>
        <v>1</v>
      </c>
      <c r="O92" s="9">
        <f t="shared" ca="1" si="18"/>
        <v>1</v>
      </c>
      <c r="P92" s="9">
        <f t="shared" ca="1" si="19"/>
        <v>1</v>
      </c>
      <c r="Q92" s="9">
        <f t="shared" ca="1" si="20"/>
        <v>1</v>
      </c>
      <c r="R92" s="9">
        <f t="shared" ca="1" si="21"/>
        <v>0</v>
      </c>
    </row>
    <row r="93" spans="1:18" x14ac:dyDescent="0.25">
      <c r="A93" s="18"/>
      <c r="B93" s="19" t="s">
        <v>1357</v>
      </c>
      <c r="C93" s="5" t="s">
        <v>1358</v>
      </c>
      <c r="D93" s="7" t="e">
        <f ca="1">_xll.xlqPrice(C93)</f>
        <v>#NAME?</v>
      </c>
      <c r="E93" s="9" t="e">
        <f t="shared" ca="1" si="12"/>
        <v>#NAME?</v>
      </c>
      <c r="F93" s="9">
        <f t="shared" ca="1" si="13"/>
        <v>1</v>
      </c>
      <c r="G93" s="8">
        <f t="shared" ca="1" si="14"/>
        <v>0</v>
      </c>
      <c r="H93" s="8">
        <f t="shared" ca="1" si="15"/>
        <v>0</v>
      </c>
      <c r="I93" s="8">
        <f t="shared" ca="1" si="16"/>
        <v>0</v>
      </c>
      <c r="J93" s="6" t="e">
        <f ca="1">_xll.xlqxhSMA($C93,$L$4,$J$7,$K$3)</f>
        <v>#NAME?</v>
      </c>
      <c r="K93" s="7" t="e">
        <f ca="1">_xll.xlqhClose($C93,K$8,$K$3)</f>
        <v>#NAME?</v>
      </c>
      <c r="L93" s="7" t="e">
        <f ca="1">_xll.xlqhClose($C93,L$8,$K$3)</f>
        <v>#NAME?</v>
      </c>
      <c r="N93" s="9">
        <f t="shared" ca="1" si="17"/>
        <v>1</v>
      </c>
      <c r="O93" s="9">
        <f t="shared" ca="1" si="18"/>
        <v>1</v>
      </c>
      <c r="P93" s="9">
        <f t="shared" ca="1" si="19"/>
        <v>1</v>
      </c>
      <c r="Q93" s="9">
        <f t="shared" ca="1" si="20"/>
        <v>1</v>
      </c>
      <c r="R93" s="9">
        <f t="shared" ca="1" si="21"/>
        <v>0</v>
      </c>
    </row>
    <row r="94" spans="1:18" x14ac:dyDescent="0.25">
      <c r="A94" s="18"/>
      <c r="B94" s="19" t="s">
        <v>1409</v>
      </c>
      <c r="C94" s="5" t="s">
        <v>1410</v>
      </c>
      <c r="D94" s="7" t="e">
        <f ca="1">_xll.xlqPrice(C94)</f>
        <v>#NAME?</v>
      </c>
      <c r="E94" s="9" t="e">
        <f t="shared" ca="1" si="12"/>
        <v>#NAME?</v>
      </c>
      <c r="F94" s="9">
        <f t="shared" ca="1" si="13"/>
        <v>1</v>
      </c>
      <c r="G94" s="8">
        <f t="shared" ca="1" si="14"/>
        <v>0</v>
      </c>
      <c r="H94" s="8">
        <f t="shared" ca="1" si="15"/>
        <v>0</v>
      </c>
      <c r="I94" s="8">
        <f t="shared" ca="1" si="16"/>
        <v>0</v>
      </c>
      <c r="J94" s="6" t="e">
        <f ca="1">_xll.xlqxhSMA($C94,$L$4,$J$7,$K$3)</f>
        <v>#NAME?</v>
      </c>
      <c r="K94" s="7" t="e">
        <f ca="1">_xll.xlqhClose($C94,K$8,$K$3)</f>
        <v>#NAME?</v>
      </c>
      <c r="L94" s="7" t="e">
        <f ca="1">_xll.xlqhClose($C94,L$8,$K$3)</f>
        <v>#NAME?</v>
      </c>
      <c r="N94" s="9">
        <f t="shared" ca="1" si="17"/>
        <v>1</v>
      </c>
      <c r="O94" s="9">
        <f t="shared" ca="1" si="18"/>
        <v>1</v>
      </c>
      <c r="P94" s="9">
        <f t="shared" ca="1" si="19"/>
        <v>1</v>
      </c>
      <c r="Q94" s="9">
        <f t="shared" ca="1" si="20"/>
        <v>1</v>
      </c>
      <c r="R94" s="9">
        <f t="shared" ca="1" si="21"/>
        <v>0</v>
      </c>
    </row>
    <row r="95" spans="1:18" x14ac:dyDescent="0.25">
      <c r="A95" s="18"/>
      <c r="B95" s="19" t="s">
        <v>2027</v>
      </c>
      <c r="C95" s="5" t="s">
        <v>2028</v>
      </c>
      <c r="D95" s="7" t="e">
        <f ca="1">_xll.xlqPrice(C95)</f>
        <v>#NAME?</v>
      </c>
      <c r="E95" s="9" t="e">
        <f t="shared" ca="1" si="12"/>
        <v>#NAME?</v>
      </c>
      <c r="F95" s="9">
        <f t="shared" ca="1" si="13"/>
        <v>1</v>
      </c>
      <c r="G95" s="8">
        <f t="shared" ca="1" si="14"/>
        <v>0</v>
      </c>
      <c r="H95" s="8">
        <f t="shared" ca="1" si="15"/>
        <v>0</v>
      </c>
      <c r="I95" s="8">
        <f t="shared" ca="1" si="16"/>
        <v>0</v>
      </c>
      <c r="J95" s="6" t="e">
        <f ca="1">_xll.xlqxhSMA($C95,$L$4,$J$7,$K$3)</f>
        <v>#NAME?</v>
      </c>
      <c r="K95" s="7" t="e">
        <f ca="1">_xll.xlqhClose($C95,K$8,$K$3)</f>
        <v>#NAME?</v>
      </c>
      <c r="L95" s="7" t="e">
        <f ca="1">_xll.xlqhClose($C95,L$8,$K$3)</f>
        <v>#NAME?</v>
      </c>
      <c r="N95" s="9">
        <f t="shared" ca="1" si="17"/>
        <v>1</v>
      </c>
      <c r="O95" s="9">
        <f t="shared" ca="1" si="18"/>
        <v>1</v>
      </c>
      <c r="P95" s="9">
        <f t="shared" ca="1" si="19"/>
        <v>1</v>
      </c>
      <c r="Q95" s="9">
        <f t="shared" ca="1" si="20"/>
        <v>1</v>
      </c>
      <c r="R95" s="9">
        <f t="shared" ca="1" si="21"/>
        <v>0</v>
      </c>
    </row>
    <row r="96" spans="1:18" x14ac:dyDescent="0.25">
      <c r="A96" s="18"/>
      <c r="B96" s="19" t="s">
        <v>2133</v>
      </c>
      <c r="C96" s="5" t="s">
        <v>2134</v>
      </c>
      <c r="D96" s="7" t="e">
        <f ca="1">_xll.xlqPrice(C96)</f>
        <v>#NAME?</v>
      </c>
      <c r="E96" s="9" t="e">
        <f t="shared" ca="1" si="12"/>
        <v>#NAME?</v>
      </c>
      <c r="F96" s="9">
        <f t="shared" ca="1" si="13"/>
        <v>1</v>
      </c>
      <c r="G96" s="8">
        <f t="shared" ca="1" si="14"/>
        <v>0</v>
      </c>
      <c r="H96" s="8">
        <f t="shared" ca="1" si="15"/>
        <v>0</v>
      </c>
      <c r="I96" s="8">
        <f t="shared" ca="1" si="16"/>
        <v>0</v>
      </c>
      <c r="J96" s="6" t="e">
        <f ca="1">_xll.xlqxhSMA($C96,$L$4,$J$7,$K$3)</f>
        <v>#NAME?</v>
      </c>
      <c r="K96" s="7" t="e">
        <f ca="1">_xll.xlqhClose($C96,K$8,$K$3)</f>
        <v>#NAME?</v>
      </c>
      <c r="L96" s="7" t="e">
        <f ca="1">_xll.xlqhClose($C96,L$8,$K$3)</f>
        <v>#NAME?</v>
      </c>
      <c r="N96" s="9">
        <f t="shared" ca="1" si="17"/>
        <v>1</v>
      </c>
      <c r="O96" s="9">
        <f t="shared" ca="1" si="18"/>
        <v>1</v>
      </c>
      <c r="P96" s="9">
        <f t="shared" ca="1" si="19"/>
        <v>1</v>
      </c>
      <c r="Q96" s="9">
        <f t="shared" ca="1" si="20"/>
        <v>1</v>
      </c>
      <c r="R96" s="9">
        <f t="shared" ca="1" si="21"/>
        <v>0</v>
      </c>
    </row>
    <row r="97" spans="1:18" x14ac:dyDescent="0.25">
      <c r="A97" s="18"/>
      <c r="B97" s="19" t="s">
        <v>1623</v>
      </c>
      <c r="C97" s="5" t="s">
        <v>1624</v>
      </c>
      <c r="D97" s="7" t="e">
        <f ca="1">_xll.xlqPrice(C97)</f>
        <v>#NAME?</v>
      </c>
      <c r="E97" s="9" t="e">
        <f t="shared" ca="1" si="12"/>
        <v>#NAME?</v>
      </c>
      <c r="F97" s="9">
        <f t="shared" ca="1" si="13"/>
        <v>1</v>
      </c>
      <c r="G97" s="8">
        <f t="shared" ca="1" si="14"/>
        <v>0</v>
      </c>
      <c r="H97" s="8">
        <f t="shared" ca="1" si="15"/>
        <v>0</v>
      </c>
      <c r="I97" s="8">
        <f t="shared" ca="1" si="16"/>
        <v>0</v>
      </c>
      <c r="J97" s="6" t="e">
        <f ca="1">_xll.xlqxhSMA($C97,$L$4,$J$7,$K$3)</f>
        <v>#NAME?</v>
      </c>
      <c r="K97" s="7" t="e">
        <f ca="1">_xll.xlqhClose($C97,K$8,$K$3)</f>
        <v>#NAME?</v>
      </c>
      <c r="L97" s="7" t="e">
        <f ca="1">_xll.xlqhClose($C97,L$8,$K$3)</f>
        <v>#NAME?</v>
      </c>
      <c r="N97" s="9">
        <f t="shared" ca="1" si="17"/>
        <v>1</v>
      </c>
      <c r="O97" s="9">
        <f t="shared" ca="1" si="18"/>
        <v>1</v>
      </c>
      <c r="P97" s="9">
        <f t="shared" ca="1" si="19"/>
        <v>1</v>
      </c>
      <c r="Q97" s="9">
        <f t="shared" ca="1" si="20"/>
        <v>1</v>
      </c>
      <c r="R97" s="9">
        <f t="shared" ca="1" si="21"/>
        <v>0</v>
      </c>
    </row>
    <row r="98" spans="1:18" x14ac:dyDescent="0.25">
      <c r="A98" s="18"/>
      <c r="B98" s="19" t="s">
        <v>2037</v>
      </c>
      <c r="C98" s="5" t="s">
        <v>2038</v>
      </c>
      <c r="D98" s="7" t="e">
        <f ca="1">_xll.xlqPrice(C98)</f>
        <v>#NAME?</v>
      </c>
      <c r="E98" s="9" t="e">
        <f t="shared" ca="1" si="12"/>
        <v>#NAME?</v>
      </c>
      <c r="F98" s="9">
        <f t="shared" ca="1" si="13"/>
        <v>1</v>
      </c>
      <c r="G98" s="8">
        <f t="shared" ca="1" si="14"/>
        <v>0</v>
      </c>
      <c r="H98" s="8">
        <f t="shared" ca="1" si="15"/>
        <v>0</v>
      </c>
      <c r="I98" s="8">
        <f t="shared" ca="1" si="16"/>
        <v>0</v>
      </c>
      <c r="J98" s="6" t="e">
        <f ca="1">_xll.xlqxhSMA($C98,$L$4,$J$7,$K$3)</f>
        <v>#NAME?</v>
      </c>
      <c r="K98" s="7" t="e">
        <f ca="1">_xll.xlqhClose($C98,K$8,$K$3)</f>
        <v>#NAME?</v>
      </c>
      <c r="L98" s="7" t="e">
        <f ca="1">_xll.xlqhClose($C98,L$8,$K$3)</f>
        <v>#NAME?</v>
      </c>
      <c r="N98" s="9">
        <f t="shared" ca="1" si="17"/>
        <v>1</v>
      </c>
      <c r="O98" s="9">
        <f t="shared" ca="1" si="18"/>
        <v>1</v>
      </c>
      <c r="P98" s="9">
        <f t="shared" ca="1" si="19"/>
        <v>1</v>
      </c>
      <c r="Q98" s="9">
        <f t="shared" ca="1" si="20"/>
        <v>1</v>
      </c>
      <c r="R98" s="9">
        <f t="shared" ca="1" si="21"/>
        <v>0</v>
      </c>
    </row>
    <row r="99" spans="1:18" x14ac:dyDescent="0.25">
      <c r="A99" s="18"/>
      <c r="B99" s="19" t="s">
        <v>2019</v>
      </c>
      <c r="C99" s="5" t="s">
        <v>2020</v>
      </c>
      <c r="D99" s="7" t="e">
        <f ca="1">_xll.xlqPrice(C99)</f>
        <v>#NAME?</v>
      </c>
      <c r="E99" s="9" t="e">
        <f t="shared" ca="1" si="12"/>
        <v>#NAME?</v>
      </c>
      <c r="F99" s="9">
        <f t="shared" ca="1" si="13"/>
        <v>1</v>
      </c>
      <c r="G99" s="8">
        <f t="shared" ca="1" si="14"/>
        <v>0</v>
      </c>
      <c r="H99" s="8">
        <f t="shared" ca="1" si="15"/>
        <v>0</v>
      </c>
      <c r="I99" s="8">
        <f t="shared" ca="1" si="16"/>
        <v>0</v>
      </c>
      <c r="J99" s="6" t="e">
        <f ca="1">_xll.xlqxhSMA($C99,$L$4,$J$7,$K$3)</f>
        <v>#NAME?</v>
      </c>
      <c r="K99" s="7" t="e">
        <f ca="1">_xll.xlqhClose($C99,K$8,$K$3)</f>
        <v>#NAME?</v>
      </c>
      <c r="L99" s="7" t="e">
        <f ca="1">_xll.xlqhClose($C99,L$8,$K$3)</f>
        <v>#NAME?</v>
      </c>
      <c r="N99" s="9">
        <f t="shared" ca="1" si="17"/>
        <v>1</v>
      </c>
      <c r="O99" s="9">
        <f t="shared" ca="1" si="18"/>
        <v>1</v>
      </c>
      <c r="P99" s="9">
        <f t="shared" ca="1" si="19"/>
        <v>1</v>
      </c>
      <c r="Q99" s="9">
        <f t="shared" ca="1" si="20"/>
        <v>1</v>
      </c>
      <c r="R99" s="9">
        <f t="shared" ca="1" si="21"/>
        <v>0</v>
      </c>
    </row>
    <row r="100" spans="1:18" x14ac:dyDescent="0.25">
      <c r="A100" s="18"/>
      <c r="B100" s="19" t="s">
        <v>1671</v>
      </c>
      <c r="C100" s="5" t="s">
        <v>1672</v>
      </c>
      <c r="D100" s="7" t="e">
        <f ca="1">_xll.xlqPrice(C100)</f>
        <v>#NAME?</v>
      </c>
      <c r="E100" s="9" t="e">
        <f t="shared" ca="1" si="12"/>
        <v>#NAME?</v>
      </c>
      <c r="F100" s="9">
        <f t="shared" ca="1" si="13"/>
        <v>1</v>
      </c>
      <c r="G100" s="8">
        <f t="shared" ca="1" si="14"/>
        <v>0</v>
      </c>
      <c r="H100" s="8">
        <f t="shared" ca="1" si="15"/>
        <v>0</v>
      </c>
      <c r="I100" s="8">
        <f t="shared" ca="1" si="16"/>
        <v>0</v>
      </c>
      <c r="J100" s="6" t="e">
        <f ca="1">_xll.xlqxhSMA($C100,$L$4,$J$7,$K$3)</f>
        <v>#NAME?</v>
      </c>
      <c r="K100" s="7" t="e">
        <f ca="1">_xll.xlqhClose($C100,K$8,$K$3)</f>
        <v>#NAME?</v>
      </c>
      <c r="L100" s="7" t="e">
        <f ca="1">_xll.xlqhClose($C100,L$8,$K$3)</f>
        <v>#NAME?</v>
      </c>
      <c r="N100" s="9">
        <f t="shared" ca="1" si="17"/>
        <v>1</v>
      </c>
      <c r="O100" s="9">
        <f t="shared" ca="1" si="18"/>
        <v>1</v>
      </c>
      <c r="P100" s="9">
        <f t="shared" ca="1" si="19"/>
        <v>1</v>
      </c>
      <c r="Q100" s="9">
        <f t="shared" ca="1" si="20"/>
        <v>1</v>
      </c>
      <c r="R100" s="9">
        <f t="shared" ca="1" si="21"/>
        <v>0</v>
      </c>
    </row>
    <row r="101" spans="1:18" x14ac:dyDescent="0.25">
      <c r="A101" s="18"/>
      <c r="B101" s="19" t="s">
        <v>1735</v>
      </c>
      <c r="C101" s="5" t="s">
        <v>1736</v>
      </c>
      <c r="D101" s="7" t="e">
        <f ca="1">_xll.xlqPrice(C101)</f>
        <v>#NAME?</v>
      </c>
      <c r="E101" s="9" t="e">
        <f t="shared" ca="1" si="12"/>
        <v>#NAME?</v>
      </c>
      <c r="F101" s="9">
        <f t="shared" ca="1" si="13"/>
        <v>1</v>
      </c>
      <c r="G101" s="8">
        <f t="shared" ca="1" si="14"/>
        <v>0</v>
      </c>
      <c r="H101" s="8">
        <f t="shared" ca="1" si="15"/>
        <v>0</v>
      </c>
      <c r="I101" s="8">
        <f t="shared" ca="1" si="16"/>
        <v>0</v>
      </c>
      <c r="J101" s="6" t="e">
        <f ca="1">_xll.xlqxhSMA($C101,$L$4,$J$7,$K$3)</f>
        <v>#NAME?</v>
      </c>
      <c r="K101" s="7" t="e">
        <f ca="1">_xll.xlqhClose($C101,K$8,$K$3)</f>
        <v>#NAME?</v>
      </c>
      <c r="L101" s="7" t="e">
        <f ca="1">_xll.xlqhClose($C101,L$8,$K$3)</f>
        <v>#NAME?</v>
      </c>
      <c r="N101" s="9">
        <f t="shared" ca="1" si="17"/>
        <v>1</v>
      </c>
      <c r="O101" s="9">
        <f t="shared" ca="1" si="18"/>
        <v>1</v>
      </c>
      <c r="P101" s="9">
        <f t="shared" ca="1" si="19"/>
        <v>1</v>
      </c>
      <c r="Q101" s="9">
        <f t="shared" ca="1" si="20"/>
        <v>1</v>
      </c>
      <c r="R101" s="9">
        <f t="shared" ca="1" si="21"/>
        <v>0</v>
      </c>
    </row>
    <row r="102" spans="1:18" x14ac:dyDescent="0.25">
      <c r="A102" s="18"/>
      <c r="B102" s="19" t="s">
        <v>2339</v>
      </c>
      <c r="C102" s="5" t="s">
        <v>2340</v>
      </c>
      <c r="D102" s="7" t="e">
        <f ca="1">_xll.xlqPrice(C102)</f>
        <v>#NAME?</v>
      </c>
      <c r="E102" s="9" t="e">
        <f t="shared" ca="1" si="12"/>
        <v>#NAME?</v>
      </c>
      <c r="F102" s="9">
        <f t="shared" ca="1" si="13"/>
        <v>1</v>
      </c>
      <c r="G102" s="8">
        <f t="shared" ca="1" si="14"/>
        <v>0</v>
      </c>
      <c r="H102" s="8">
        <f t="shared" ca="1" si="15"/>
        <v>0</v>
      </c>
      <c r="I102" s="8">
        <f t="shared" ca="1" si="16"/>
        <v>0</v>
      </c>
      <c r="J102" s="6" t="e">
        <f ca="1">_xll.xlqxhSMA($C102,$L$4,$J$7,$K$3)</f>
        <v>#NAME?</v>
      </c>
      <c r="K102" s="7" t="e">
        <f ca="1">_xll.xlqhClose($C102,K$8,$K$3)</f>
        <v>#NAME?</v>
      </c>
      <c r="L102" s="7" t="e">
        <f ca="1">_xll.xlqhClose($C102,L$8,$K$3)</f>
        <v>#NAME?</v>
      </c>
      <c r="N102" s="9">
        <f t="shared" ca="1" si="17"/>
        <v>1</v>
      </c>
      <c r="O102" s="9">
        <f t="shared" ca="1" si="18"/>
        <v>1</v>
      </c>
      <c r="P102" s="9">
        <f t="shared" ca="1" si="19"/>
        <v>1</v>
      </c>
      <c r="Q102" s="9">
        <f t="shared" ca="1" si="20"/>
        <v>1</v>
      </c>
      <c r="R102" s="9">
        <f t="shared" ca="1" si="21"/>
        <v>0</v>
      </c>
    </row>
    <row r="103" spans="1:18" x14ac:dyDescent="0.25">
      <c r="A103" s="18"/>
      <c r="B103" s="19" t="s">
        <v>1189</v>
      </c>
      <c r="C103" s="5" t="s">
        <v>1190</v>
      </c>
      <c r="D103" s="7" t="e">
        <f ca="1">_xll.xlqPrice(C103)</f>
        <v>#NAME?</v>
      </c>
      <c r="E103" s="9" t="e">
        <f t="shared" ca="1" si="12"/>
        <v>#NAME?</v>
      </c>
      <c r="F103" s="9">
        <f t="shared" ca="1" si="13"/>
        <v>1</v>
      </c>
      <c r="G103" s="8">
        <f t="shared" ca="1" si="14"/>
        <v>0</v>
      </c>
      <c r="H103" s="8">
        <f t="shared" ca="1" si="15"/>
        <v>0</v>
      </c>
      <c r="I103" s="8">
        <f t="shared" ca="1" si="16"/>
        <v>0</v>
      </c>
      <c r="J103" s="6" t="e">
        <f ca="1">_xll.xlqxhSMA($C103,$L$4,$J$7,$K$3)</f>
        <v>#NAME?</v>
      </c>
      <c r="K103" s="7" t="e">
        <f ca="1">_xll.xlqhClose($C103,K$8,$K$3)</f>
        <v>#NAME?</v>
      </c>
      <c r="L103" s="7" t="e">
        <f ca="1">_xll.xlqhClose($C103,L$8,$K$3)</f>
        <v>#NAME?</v>
      </c>
      <c r="N103" s="9">
        <f t="shared" ca="1" si="17"/>
        <v>1</v>
      </c>
      <c r="O103" s="9">
        <f t="shared" ca="1" si="18"/>
        <v>1</v>
      </c>
      <c r="P103" s="9">
        <f t="shared" ca="1" si="19"/>
        <v>1</v>
      </c>
      <c r="Q103" s="9">
        <f t="shared" ca="1" si="20"/>
        <v>1</v>
      </c>
      <c r="R103" s="9">
        <f t="shared" ca="1" si="21"/>
        <v>0</v>
      </c>
    </row>
    <row r="104" spans="1:18" x14ac:dyDescent="0.25">
      <c r="A104" s="18"/>
      <c r="B104" s="19" t="s">
        <v>1499</v>
      </c>
      <c r="C104" s="5" t="s">
        <v>1500</v>
      </c>
      <c r="D104" s="7" t="e">
        <f ca="1">_xll.xlqPrice(C104)</f>
        <v>#NAME?</v>
      </c>
      <c r="E104" s="9" t="e">
        <f t="shared" ca="1" si="12"/>
        <v>#NAME?</v>
      </c>
      <c r="F104" s="9">
        <f t="shared" ca="1" si="13"/>
        <v>1</v>
      </c>
      <c r="G104" s="8">
        <f t="shared" ca="1" si="14"/>
        <v>0</v>
      </c>
      <c r="H104" s="8">
        <f t="shared" ca="1" si="15"/>
        <v>0</v>
      </c>
      <c r="I104" s="8">
        <f t="shared" ca="1" si="16"/>
        <v>0</v>
      </c>
      <c r="J104" s="6" t="e">
        <f ca="1">_xll.xlqxhSMA($C104,$L$4,$J$7,$K$3)</f>
        <v>#NAME?</v>
      </c>
      <c r="K104" s="7" t="e">
        <f ca="1">_xll.xlqhClose($C104,K$8,$K$3)</f>
        <v>#NAME?</v>
      </c>
      <c r="L104" s="7" t="e">
        <f ca="1">_xll.xlqhClose($C104,L$8,$K$3)</f>
        <v>#NAME?</v>
      </c>
      <c r="N104" s="9">
        <f t="shared" ca="1" si="17"/>
        <v>1</v>
      </c>
      <c r="O104" s="9">
        <f t="shared" ca="1" si="18"/>
        <v>1</v>
      </c>
      <c r="P104" s="9">
        <f t="shared" ca="1" si="19"/>
        <v>1</v>
      </c>
      <c r="Q104" s="9">
        <f t="shared" ca="1" si="20"/>
        <v>1</v>
      </c>
      <c r="R104" s="9">
        <f t="shared" ca="1" si="21"/>
        <v>0</v>
      </c>
    </row>
    <row r="105" spans="1:18" x14ac:dyDescent="0.25">
      <c r="A105" s="18"/>
      <c r="B105" s="19" t="s">
        <v>294</v>
      </c>
      <c r="C105" s="5" t="s">
        <v>295</v>
      </c>
      <c r="D105" s="7" t="e">
        <f ca="1">_xll.xlqPrice(C105)</f>
        <v>#NAME?</v>
      </c>
      <c r="E105" s="9" t="e">
        <f t="shared" ca="1" si="12"/>
        <v>#NAME?</v>
      </c>
      <c r="F105" s="9">
        <f t="shared" ca="1" si="13"/>
        <v>1</v>
      </c>
      <c r="G105" s="8">
        <f t="shared" ca="1" si="14"/>
        <v>0</v>
      </c>
      <c r="H105" s="8">
        <f t="shared" ca="1" si="15"/>
        <v>0</v>
      </c>
      <c r="I105" s="8">
        <f t="shared" ca="1" si="16"/>
        <v>0</v>
      </c>
      <c r="J105" s="6" t="e">
        <f ca="1">_xll.xlqxhSMA($C105,$L$4,$J$7,$K$3)</f>
        <v>#NAME?</v>
      </c>
      <c r="K105" s="7" t="e">
        <f ca="1">_xll.xlqhClose($C105,K$8,$K$3)</f>
        <v>#NAME?</v>
      </c>
      <c r="L105" s="7" t="e">
        <f ca="1">_xll.xlqhClose($C105,L$8,$K$3)</f>
        <v>#NAME?</v>
      </c>
      <c r="N105" s="9">
        <f t="shared" ca="1" si="17"/>
        <v>1</v>
      </c>
      <c r="O105" s="9">
        <f t="shared" ca="1" si="18"/>
        <v>1</v>
      </c>
      <c r="P105" s="9">
        <f t="shared" ca="1" si="19"/>
        <v>1</v>
      </c>
      <c r="Q105" s="9">
        <f t="shared" ca="1" si="20"/>
        <v>1</v>
      </c>
      <c r="R105" s="9">
        <f t="shared" ca="1" si="21"/>
        <v>0</v>
      </c>
    </row>
    <row r="106" spans="1:18" x14ac:dyDescent="0.25">
      <c r="A106" s="18"/>
      <c r="B106" s="19" t="s">
        <v>1087</v>
      </c>
      <c r="C106" s="5" t="s">
        <v>1088</v>
      </c>
      <c r="D106" s="7" t="e">
        <f ca="1">_xll.xlqPrice(C106)</f>
        <v>#NAME?</v>
      </c>
      <c r="E106" s="9" t="e">
        <f t="shared" ca="1" si="12"/>
        <v>#NAME?</v>
      </c>
      <c r="F106" s="9">
        <f t="shared" ca="1" si="13"/>
        <v>1</v>
      </c>
      <c r="G106" s="8">
        <f t="shared" ca="1" si="14"/>
        <v>0</v>
      </c>
      <c r="H106" s="8">
        <f t="shared" ca="1" si="15"/>
        <v>0</v>
      </c>
      <c r="I106" s="8">
        <f t="shared" ca="1" si="16"/>
        <v>0</v>
      </c>
      <c r="J106" s="6" t="e">
        <f ca="1">_xll.xlqxhSMA($C106,$L$4,$J$7,$K$3)</f>
        <v>#NAME?</v>
      </c>
      <c r="K106" s="7" t="e">
        <f ca="1">_xll.xlqhClose($C106,K$8,$K$3)</f>
        <v>#NAME?</v>
      </c>
      <c r="L106" s="7" t="e">
        <f ca="1">_xll.xlqhClose($C106,L$8,$K$3)</f>
        <v>#NAME?</v>
      </c>
      <c r="N106" s="9">
        <f t="shared" ca="1" si="17"/>
        <v>1</v>
      </c>
      <c r="O106" s="9">
        <f t="shared" ca="1" si="18"/>
        <v>1</v>
      </c>
      <c r="P106" s="9">
        <f t="shared" ca="1" si="19"/>
        <v>1</v>
      </c>
      <c r="Q106" s="9">
        <f t="shared" ca="1" si="20"/>
        <v>1</v>
      </c>
      <c r="R106" s="9">
        <f t="shared" ca="1" si="21"/>
        <v>0</v>
      </c>
    </row>
    <row r="107" spans="1:18" x14ac:dyDescent="0.25">
      <c r="A107" s="18"/>
      <c r="B107" s="19" t="s">
        <v>1351</v>
      </c>
      <c r="C107" s="5" t="s">
        <v>1352</v>
      </c>
      <c r="D107" s="7" t="e">
        <f ca="1">_xll.xlqPrice(C107)</f>
        <v>#NAME?</v>
      </c>
      <c r="E107" s="9" t="e">
        <f t="shared" ca="1" si="12"/>
        <v>#NAME?</v>
      </c>
      <c r="F107" s="9">
        <f t="shared" ca="1" si="13"/>
        <v>1</v>
      </c>
      <c r="G107" s="8">
        <f t="shared" ca="1" si="14"/>
        <v>0</v>
      </c>
      <c r="H107" s="8">
        <f t="shared" ca="1" si="15"/>
        <v>0</v>
      </c>
      <c r="I107" s="8">
        <f t="shared" ca="1" si="16"/>
        <v>0</v>
      </c>
      <c r="J107" s="6" t="e">
        <f ca="1">_xll.xlqxhSMA($C107,$L$4,$J$7,$K$3)</f>
        <v>#NAME?</v>
      </c>
      <c r="K107" s="7" t="e">
        <f ca="1">_xll.xlqhClose($C107,K$8,$K$3)</f>
        <v>#NAME?</v>
      </c>
      <c r="L107" s="7" t="e">
        <f ca="1">_xll.xlqhClose($C107,L$8,$K$3)</f>
        <v>#NAME?</v>
      </c>
      <c r="N107" s="9">
        <f t="shared" ca="1" si="17"/>
        <v>1</v>
      </c>
      <c r="O107" s="9">
        <f t="shared" ca="1" si="18"/>
        <v>1</v>
      </c>
      <c r="P107" s="9">
        <f t="shared" ca="1" si="19"/>
        <v>1</v>
      </c>
      <c r="Q107" s="9">
        <f t="shared" ca="1" si="20"/>
        <v>1</v>
      </c>
      <c r="R107" s="9">
        <f t="shared" ca="1" si="21"/>
        <v>0</v>
      </c>
    </row>
    <row r="108" spans="1:18" x14ac:dyDescent="0.25">
      <c r="A108" s="18"/>
      <c r="B108" s="19" t="s">
        <v>1363</v>
      </c>
      <c r="C108" s="5" t="s">
        <v>1364</v>
      </c>
      <c r="D108" s="7" t="e">
        <f ca="1">_xll.xlqPrice(C108)</f>
        <v>#NAME?</v>
      </c>
      <c r="E108" s="9" t="e">
        <f t="shared" ca="1" si="12"/>
        <v>#NAME?</v>
      </c>
      <c r="F108" s="9">
        <f t="shared" ca="1" si="13"/>
        <v>1</v>
      </c>
      <c r="G108" s="8">
        <f t="shared" ca="1" si="14"/>
        <v>0</v>
      </c>
      <c r="H108" s="8">
        <f t="shared" ca="1" si="15"/>
        <v>0</v>
      </c>
      <c r="I108" s="8">
        <f t="shared" ca="1" si="16"/>
        <v>0</v>
      </c>
      <c r="J108" s="6" t="e">
        <f ca="1">_xll.xlqxhSMA($C108,$L$4,$J$7,$K$3)</f>
        <v>#NAME?</v>
      </c>
      <c r="K108" s="7" t="e">
        <f ca="1">_xll.xlqhClose($C108,K$8,$K$3)</f>
        <v>#NAME?</v>
      </c>
      <c r="L108" s="7" t="e">
        <f ca="1">_xll.xlqhClose($C108,L$8,$K$3)</f>
        <v>#NAME?</v>
      </c>
      <c r="N108" s="9">
        <f t="shared" ca="1" si="17"/>
        <v>1</v>
      </c>
      <c r="O108" s="9">
        <f t="shared" ca="1" si="18"/>
        <v>1</v>
      </c>
      <c r="P108" s="9">
        <f t="shared" ca="1" si="19"/>
        <v>1</v>
      </c>
      <c r="Q108" s="9">
        <f t="shared" ca="1" si="20"/>
        <v>1</v>
      </c>
      <c r="R108" s="9">
        <f t="shared" ca="1" si="21"/>
        <v>0</v>
      </c>
    </row>
    <row r="109" spans="1:18" x14ac:dyDescent="0.25">
      <c r="A109" s="18"/>
      <c r="B109" s="19" t="s">
        <v>1731</v>
      </c>
      <c r="C109" s="5" t="s">
        <v>1732</v>
      </c>
      <c r="D109" s="7" t="e">
        <f ca="1">_xll.xlqPrice(C109)</f>
        <v>#NAME?</v>
      </c>
      <c r="E109" s="9" t="e">
        <f t="shared" ca="1" si="12"/>
        <v>#NAME?</v>
      </c>
      <c r="F109" s="9">
        <f t="shared" ca="1" si="13"/>
        <v>1</v>
      </c>
      <c r="G109" s="8">
        <f t="shared" ca="1" si="14"/>
        <v>0</v>
      </c>
      <c r="H109" s="8">
        <f t="shared" ca="1" si="15"/>
        <v>0</v>
      </c>
      <c r="I109" s="8">
        <f t="shared" ca="1" si="16"/>
        <v>0</v>
      </c>
      <c r="J109" s="6" t="e">
        <f ca="1">_xll.xlqxhSMA($C109,$L$4,$J$7,$K$3)</f>
        <v>#NAME?</v>
      </c>
      <c r="K109" s="7" t="e">
        <f ca="1">_xll.xlqhClose($C109,K$8,$K$3)</f>
        <v>#NAME?</v>
      </c>
      <c r="L109" s="7" t="e">
        <f ca="1">_xll.xlqhClose($C109,L$8,$K$3)</f>
        <v>#NAME?</v>
      </c>
      <c r="N109" s="9">
        <f t="shared" ca="1" si="17"/>
        <v>1</v>
      </c>
      <c r="O109" s="9">
        <f t="shared" ca="1" si="18"/>
        <v>1</v>
      </c>
      <c r="P109" s="9">
        <f t="shared" ca="1" si="19"/>
        <v>1</v>
      </c>
      <c r="Q109" s="9">
        <f t="shared" ca="1" si="20"/>
        <v>1</v>
      </c>
      <c r="R109" s="9">
        <f t="shared" ca="1" si="21"/>
        <v>0</v>
      </c>
    </row>
    <row r="110" spans="1:18" x14ac:dyDescent="0.25">
      <c r="A110" s="18"/>
      <c r="B110" s="19" t="s">
        <v>1059</v>
      </c>
      <c r="C110" s="5" t="s">
        <v>1060</v>
      </c>
      <c r="D110" s="7" t="e">
        <f ca="1">_xll.xlqPrice(C110)</f>
        <v>#NAME?</v>
      </c>
      <c r="E110" s="9" t="e">
        <f t="shared" ca="1" si="12"/>
        <v>#NAME?</v>
      </c>
      <c r="F110" s="9">
        <f t="shared" ca="1" si="13"/>
        <v>1</v>
      </c>
      <c r="G110" s="8">
        <f t="shared" ca="1" si="14"/>
        <v>0</v>
      </c>
      <c r="H110" s="8">
        <f t="shared" ca="1" si="15"/>
        <v>0</v>
      </c>
      <c r="I110" s="8">
        <f t="shared" ca="1" si="16"/>
        <v>0</v>
      </c>
      <c r="J110" s="6" t="e">
        <f ca="1">_xll.xlqxhSMA($C110,$L$4,$J$7,$K$3)</f>
        <v>#NAME?</v>
      </c>
      <c r="K110" s="7" t="e">
        <f ca="1">_xll.xlqhClose($C110,K$8,$K$3)</f>
        <v>#NAME?</v>
      </c>
      <c r="L110" s="7" t="e">
        <f ca="1">_xll.xlqhClose($C110,L$8,$K$3)</f>
        <v>#NAME?</v>
      </c>
      <c r="N110" s="9">
        <f t="shared" ca="1" si="17"/>
        <v>1</v>
      </c>
      <c r="O110" s="9">
        <f t="shared" ca="1" si="18"/>
        <v>1</v>
      </c>
      <c r="P110" s="9">
        <f t="shared" ca="1" si="19"/>
        <v>1</v>
      </c>
      <c r="Q110" s="9">
        <f t="shared" ca="1" si="20"/>
        <v>1</v>
      </c>
      <c r="R110" s="9">
        <f t="shared" ca="1" si="21"/>
        <v>0</v>
      </c>
    </row>
    <row r="111" spans="1:18" x14ac:dyDescent="0.25">
      <c r="A111" s="18"/>
      <c r="B111" s="19" t="s">
        <v>394</v>
      </c>
      <c r="C111" s="5" t="s">
        <v>395</v>
      </c>
      <c r="D111" s="7" t="e">
        <f ca="1">_xll.xlqPrice(C111)</f>
        <v>#NAME?</v>
      </c>
      <c r="E111" s="9" t="e">
        <f t="shared" ca="1" si="12"/>
        <v>#NAME?</v>
      </c>
      <c r="F111" s="9">
        <f t="shared" ca="1" si="13"/>
        <v>1</v>
      </c>
      <c r="G111" s="8">
        <f t="shared" ca="1" si="14"/>
        <v>0</v>
      </c>
      <c r="H111" s="8">
        <f t="shared" ca="1" si="15"/>
        <v>0</v>
      </c>
      <c r="I111" s="8">
        <f t="shared" ca="1" si="16"/>
        <v>0</v>
      </c>
      <c r="J111" s="6" t="e">
        <f ca="1">_xll.xlqxhSMA($C111,$L$4,$J$7,$K$3)</f>
        <v>#NAME?</v>
      </c>
      <c r="K111" s="7" t="e">
        <f ca="1">_xll.xlqhClose($C111,K$8,$K$3)</f>
        <v>#NAME?</v>
      </c>
      <c r="L111" s="7" t="e">
        <f ca="1">_xll.xlqhClose($C111,L$8,$K$3)</f>
        <v>#NAME?</v>
      </c>
      <c r="N111" s="9">
        <f t="shared" ca="1" si="17"/>
        <v>1</v>
      </c>
      <c r="O111" s="9">
        <f t="shared" ca="1" si="18"/>
        <v>1</v>
      </c>
      <c r="P111" s="9">
        <f t="shared" ca="1" si="19"/>
        <v>1</v>
      </c>
      <c r="Q111" s="9">
        <f t="shared" ca="1" si="20"/>
        <v>1</v>
      </c>
      <c r="R111" s="9">
        <f t="shared" ca="1" si="21"/>
        <v>0</v>
      </c>
    </row>
    <row r="112" spans="1:18" x14ac:dyDescent="0.25">
      <c r="A112" s="18"/>
      <c r="B112" s="19" t="s">
        <v>1311</v>
      </c>
      <c r="C112" s="5" t="s">
        <v>1312</v>
      </c>
      <c r="D112" s="7" t="e">
        <f ca="1">_xll.xlqPrice(C112)</f>
        <v>#NAME?</v>
      </c>
      <c r="E112" s="9" t="e">
        <f t="shared" ca="1" si="12"/>
        <v>#NAME?</v>
      </c>
      <c r="F112" s="9">
        <f t="shared" ca="1" si="13"/>
        <v>1</v>
      </c>
      <c r="G112" s="8">
        <f t="shared" ca="1" si="14"/>
        <v>0</v>
      </c>
      <c r="H112" s="8">
        <f t="shared" ca="1" si="15"/>
        <v>0</v>
      </c>
      <c r="I112" s="8">
        <f t="shared" ca="1" si="16"/>
        <v>0</v>
      </c>
      <c r="J112" s="6" t="e">
        <f ca="1">_xll.xlqxhSMA($C112,$L$4,$J$7,$K$3)</f>
        <v>#NAME?</v>
      </c>
      <c r="K112" s="7" t="e">
        <f ca="1">_xll.xlqhClose($C112,K$8,$K$3)</f>
        <v>#NAME?</v>
      </c>
      <c r="L112" s="7" t="e">
        <f ca="1">_xll.xlqhClose($C112,L$8,$K$3)</f>
        <v>#NAME?</v>
      </c>
      <c r="N112" s="9">
        <f t="shared" ca="1" si="17"/>
        <v>1</v>
      </c>
      <c r="O112" s="9">
        <f t="shared" ca="1" si="18"/>
        <v>1</v>
      </c>
      <c r="P112" s="9">
        <f t="shared" ca="1" si="19"/>
        <v>1</v>
      </c>
      <c r="Q112" s="9">
        <f t="shared" ca="1" si="20"/>
        <v>1</v>
      </c>
      <c r="R112" s="9">
        <f t="shared" ca="1" si="21"/>
        <v>0</v>
      </c>
    </row>
    <row r="113" spans="1:18" x14ac:dyDescent="0.25">
      <c r="A113" s="18"/>
      <c r="B113" s="19" t="s">
        <v>146</v>
      </c>
      <c r="C113" s="5" t="s">
        <v>147</v>
      </c>
      <c r="D113" s="7" t="e">
        <f ca="1">_xll.xlqPrice(C113)</f>
        <v>#NAME?</v>
      </c>
      <c r="E113" s="9" t="e">
        <f t="shared" ca="1" si="12"/>
        <v>#NAME?</v>
      </c>
      <c r="F113" s="9">
        <f t="shared" ca="1" si="13"/>
        <v>1</v>
      </c>
      <c r="G113" s="8">
        <f t="shared" ca="1" si="14"/>
        <v>0</v>
      </c>
      <c r="H113" s="8">
        <f t="shared" ca="1" si="15"/>
        <v>0</v>
      </c>
      <c r="I113" s="8">
        <f t="shared" ca="1" si="16"/>
        <v>0</v>
      </c>
      <c r="J113" s="6" t="e">
        <f ca="1">_xll.xlqxhSMA($C113,$L$4,$J$7,$K$3)</f>
        <v>#NAME?</v>
      </c>
      <c r="K113" s="7" t="e">
        <f ca="1">_xll.xlqhClose($C113,K$8,$K$3)</f>
        <v>#NAME?</v>
      </c>
      <c r="L113" s="7" t="e">
        <f ca="1">_xll.xlqhClose($C113,L$8,$K$3)</f>
        <v>#NAME?</v>
      </c>
      <c r="N113" s="9">
        <f t="shared" ca="1" si="17"/>
        <v>1</v>
      </c>
      <c r="O113" s="9">
        <f t="shared" ca="1" si="18"/>
        <v>1</v>
      </c>
      <c r="P113" s="9">
        <f t="shared" ca="1" si="19"/>
        <v>1</v>
      </c>
      <c r="Q113" s="9">
        <f t="shared" ca="1" si="20"/>
        <v>1</v>
      </c>
      <c r="R113" s="9">
        <f t="shared" ca="1" si="21"/>
        <v>0</v>
      </c>
    </row>
    <row r="114" spans="1:18" x14ac:dyDescent="0.25">
      <c r="A114" s="18"/>
      <c r="B114" s="19" t="s">
        <v>786</v>
      </c>
      <c r="C114" s="5" t="s">
        <v>787</v>
      </c>
      <c r="D114" s="7" t="e">
        <f ca="1">_xll.xlqPrice(C114)</f>
        <v>#NAME?</v>
      </c>
      <c r="E114" s="9" t="e">
        <f t="shared" ca="1" si="12"/>
        <v>#NAME?</v>
      </c>
      <c r="F114" s="9">
        <f t="shared" ca="1" si="13"/>
        <v>1</v>
      </c>
      <c r="G114" s="8">
        <f t="shared" ca="1" si="14"/>
        <v>0</v>
      </c>
      <c r="H114" s="8">
        <f t="shared" ca="1" si="15"/>
        <v>0</v>
      </c>
      <c r="I114" s="8">
        <f t="shared" ca="1" si="16"/>
        <v>0</v>
      </c>
      <c r="J114" s="6" t="e">
        <f ca="1">_xll.xlqxhSMA($C114,$L$4,$J$7,$K$3)</f>
        <v>#NAME?</v>
      </c>
      <c r="K114" s="7" t="e">
        <f ca="1">_xll.xlqhClose($C114,K$8,$K$3)</f>
        <v>#NAME?</v>
      </c>
      <c r="L114" s="7" t="e">
        <f ca="1">_xll.xlqhClose($C114,L$8,$K$3)</f>
        <v>#NAME?</v>
      </c>
      <c r="N114" s="9">
        <f t="shared" ca="1" si="17"/>
        <v>1</v>
      </c>
      <c r="O114" s="9">
        <f t="shared" ca="1" si="18"/>
        <v>1</v>
      </c>
      <c r="P114" s="9">
        <f t="shared" ca="1" si="19"/>
        <v>1</v>
      </c>
      <c r="Q114" s="9">
        <f t="shared" ca="1" si="20"/>
        <v>1</v>
      </c>
      <c r="R114" s="9">
        <f t="shared" ca="1" si="21"/>
        <v>0</v>
      </c>
    </row>
    <row r="115" spans="1:18" x14ac:dyDescent="0.25">
      <c r="A115" s="18"/>
      <c r="B115" s="19" t="s">
        <v>1883</v>
      </c>
      <c r="C115" s="5" t="s">
        <v>1884</v>
      </c>
      <c r="D115" s="7" t="e">
        <f ca="1">_xll.xlqPrice(C115)</f>
        <v>#NAME?</v>
      </c>
      <c r="E115" s="9" t="e">
        <f t="shared" ca="1" si="12"/>
        <v>#NAME?</v>
      </c>
      <c r="F115" s="9">
        <f t="shared" ca="1" si="13"/>
        <v>1</v>
      </c>
      <c r="G115" s="8">
        <f t="shared" ca="1" si="14"/>
        <v>0</v>
      </c>
      <c r="H115" s="8">
        <f t="shared" ca="1" si="15"/>
        <v>0</v>
      </c>
      <c r="I115" s="8">
        <f t="shared" ca="1" si="16"/>
        <v>0</v>
      </c>
      <c r="J115" s="6" t="e">
        <f ca="1">_xll.xlqxhSMA($C115,$L$4,$J$7,$K$3)</f>
        <v>#NAME?</v>
      </c>
      <c r="K115" s="7" t="e">
        <f ca="1">_xll.xlqhClose($C115,K$8,$K$3)</f>
        <v>#NAME?</v>
      </c>
      <c r="L115" s="7" t="e">
        <f ca="1">_xll.xlqhClose($C115,L$8,$K$3)</f>
        <v>#NAME?</v>
      </c>
      <c r="N115" s="9">
        <f t="shared" ca="1" si="17"/>
        <v>1</v>
      </c>
      <c r="O115" s="9">
        <f t="shared" ca="1" si="18"/>
        <v>1</v>
      </c>
      <c r="P115" s="9">
        <f t="shared" ca="1" si="19"/>
        <v>1</v>
      </c>
      <c r="Q115" s="9">
        <f t="shared" ca="1" si="20"/>
        <v>1</v>
      </c>
      <c r="R115" s="9">
        <f t="shared" ca="1" si="21"/>
        <v>0</v>
      </c>
    </row>
    <row r="116" spans="1:18" x14ac:dyDescent="0.25">
      <c r="A116" s="18"/>
      <c r="B116" s="19" t="s">
        <v>1191</v>
      </c>
      <c r="C116" s="5" t="s">
        <v>1192</v>
      </c>
      <c r="D116" s="7" t="e">
        <f ca="1">_xll.xlqPrice(C116)</f>
        <v>#NAME?</v>
      </c>
      <c r="E116" s="9" t="e">
        <f t="shared" ca="1" si="12"/>
        <v>#NAME?</v>
      </c>
      <c r="F116" s="9">
        <f t="shared" ca="1" si="13"/>
        <v>1</v>
      </c>
      <c r="G116" s="8">
        <f t="shared" ca="1" si="14"/>
        <v>0</v>
      </c>
      <c r="H116" s="8">
        <f t="shared" ca="1" si="15"/>
        <v>0</v>
      </c>
      <c r="I116" s="8">
        <f t="shared" ca="1" si="16"/>
        <v>0</v>
      </c>
      <c r="J116" s="6" t="e">
        <f ca="1">_xll.xlqxhSMA($C116,$L$4,$J$7,$K$3)</f>
        <v>#NAME?</v>
      </c>
      <c r="K116" s="7" t="e">
        <f ca="1">_xll.xlqhClose($C116,K$8,$K$3)</f>
        <v>#NAME?</v>
      </c>
      <c r="L116" s="7" t="e">
        <f ca="1">_xll.xlqhClose($C116,L$8,$K$3)</f>
        <v>#NAME?</v>
      </c>
      <c r="N116" s="9">
        <f t="shared" ca="1" si="17"/>
        <v>1</v>
      </c>
      <c r="O116" s="9">
        <f t="shared" ca="1" si="18"/>
        <v>1</v>
      </c>
      <c r="P116" s="9">
        <f t="shared" ca="1" si="19"/>
        <v>1</v>
      </c>
      <c r="Q116" s="9">
        <f t="shared" ca="1" si="20"/>
        <v>1</v>
      </c>
      <c r="R116" s="9">
        <f t="shared" ca="1" si="21"/>
        <v>0</v>
      </c>
    </row>
    <row r="117" spans="1:18" x14ac:dyDescent="0.25">
      <c r="A117" s="18"/>
      <c r="B117" s="19" t="s">
        <v>1113</v>
      </c>
      <c r="C117" s="5" t="s">
        <v>1114</v>
      </c>
      <c r="D117" s="7" t="e">
        <f ca="1">_xll.xlqPrice(C117)</f>
        <v>#NAME?</v>
      </c>
      <c r="E117" s="9" t="e">
        <f t="shared" ca="1" si="12"/>
        <v>#NAME?</v>
      </c>
      <c r="F117" s="9">
        <f t="shared" ca="1" si="13"/>
        <v>1</v>
      </c>
      <c r="G117" s="8">
        <f t="shared" ca="1" si="14"/>
        <v>0</v>
      </c>
      <c r="H117" s="8">
        <f t="shared" ca="1" si="15"/>
        <v>0</v>
      </c>
      <c r="I117" s="8">
        <f t="shared" ca="1" si="16"/>
        <v>0</v>
      </c>
      <c r="J117" s="6" t="e">
        <f ca="1">_xll.xlqxhSMA($C117,$L$4,$J$7,$K$3)</f>
        <v>#NAME?</v>
      </c>
      <c r="K117" s="7" t="e">
        <f ca="1">_xll.xlqhClose($C117,K$8,$K$3)</f>
        <v>#NAME?</v>
      </c>
      <c r="L117" s="7" t="e">
        <f ca="1">_xll.xlqhClose($C117,L$8,$K$3)</f>
        <v>#NAME?</v>
      </c>
      <c r="N117" s="9">
        <f t="shared" ca="1" si="17"/>
        <v>1</v>
      </c>
      <c r="O117" s="9">
        <f t="shared" ca="1" si="18"/>
        <v>1</v>
      </c>
      <c r="P117" s="9">
        <f t="shared" ca="1" si="19"/>
        <v>1</v>
      </c>
      <c r="Q117" s="9">
        <f t="shared" ca="1" si="20"/>
        <v>1</v>
      </c>
      <c r="R117" s="9">
        <f t="shared" ca="1" si="21"/>
        <v>0</v>
      </c>
    </row>
    <row r="118" spans="1:18" x14ac:dyDescent="0.25">
      <c r="A118" s="18"/>
      <c r="B118" s="19" t="s">
        <v>1339</v>
      </c>
      <c r="C118" s="5" t="s">
        <v>1340</v>
      </c>
      <c r="D118" s="7" t="e">
        <f ca="1">_xll.xlqPrice(C118)</f>
        <v>#NAME?</v>
      </c>
      <c r="E118" s="9" t="e">
        <f t="shared" ca="1" si="12"/>
        <v>#NAME?</v>
      </c>
      <c r="F118" s="9">
        <f t="shared" ca="1" si="13"/>
        <v>1</v>
      </c>
      <c r="G118" s="8">
        <f t="shared" ca="1" si="14"/>
        <v>0</v>
      </c>
      <c r="H118" s="8">
        <f t="shared" ca="1" si="15"/>
        <v>0</v>
      </c>
      <c r="I118" s="8">
        <f t="shared" ca="1" si="16"/>
        <v>0</v>
      </c>
      <c r="J118" s="6" t="e">
        <f ca="1">_xll.xlqxhSMA($C118,$L$4,$J$7,$K$3)</f>
        <v>#NAME?</v>
      </c>
      <c r="K118" s="7" t="e">
        <f ca="1">_xll.xlqhClose($C118,K$8,$K$3)</f>
        <v>#NAME?</v>
      </c>
      <c r="L118" s="7" t="e">
        <f ca="1">_xll.xlqhClose($C118,L$8,$K$3)</f>
        <v>#NAME?</v>
      </c>
      <c r="N118" s="9">
        <f t="shared" ca="1" si="17"/>
        <v>1</v>
      </c>
      <c r="O118" s="9">
        <f t="shared" ca="1" si="18"/>
        <v>1</v>
      </c>
      <c r="P118" s="9">
        <f t="shared" ca="1" si="19"/>
        <v>1</v>
      </c>
      <c r="Q118" s="9">
        <f t="shared" ca="1" si="20"/>
        <v>1</v>
      </c>
      <c r="R118" s="9">
        <f t="shared" ca="1" si="21"/>
        <v>0</v>
      </c>
    </row>
    <row r="119" spans="1:18" x14ac:dyDescent="0.25">
      <c r="A119" s="18"/>
      <c r="B119" s="19" t="s">
        <v>1271</v>
      </c>
      <c r="C119" s="5" t="s">
        <v>1272</v>
      </c>
      <c r="D119" s="7" t="e">
        <f ca="1">_xll.xlqPrice(C119)</f>
        <v>#NAME?</v>
      </c>
      <c r="E119" s="9" t="e">
        <f t="shared" ca="1" si="12"/>
        <v>#NAME?</v>
      </c>
      <c r="F119" s="9">
        <f t="shared" ca="1" si="13"/>
        <v>1</v>
      </c>
      <c r="G119" s="8">
        <f t="shared" ca="1" si="14"/>
        <v>0</v>
      </c>
      <c r="H119" s="8">
        <f t="shared" ca="1" si="15"/>
        <v>0</v>
      </c>
      <c r="I119" s="8">
        <f t="shared" ca="1" si="16"/>
        <v>0</v>
      </c>
      <c r="J119" s="6" t="e">
        <f ca="1">_xll.xlqxhSMA($C119,$L$4,$J$7,$K$3)</f>
        <v>#NAME?</v>
      </c>
      <c r="K119" s="7" t="e">
        <f ca="1">_xll.xlqhClose($C119,K$8,$K$3)</f>
        <v>#NAME?</v>
      </c>
      <c r="L119" s="7" t="e">
        <f ca="1">_xll.xlqhClose($C119,L$8,$K$3)</f>
        <v>#NAME?</v>
      </c>
      <c r="N119" s="9">
        <f t="shared" ca="1" si="17"/>
        <v>1</v>
      </c>
      <c r="O119" s="9">
        <f t="shared" ca="1" si="18"/>
        <v>1</v>
      </c>
      <c r="P119" s="9">
        <f t="shared" ca="1" si="19"/>
        <v>1</v>
      </c>
      <c r="Q119" s="9">
        <f t="shared" ca="1" si="20"/>
        <v>1</v>
      </c>
      <c r="R119" s="9">
        <f t="shared" ca="1" si="21"/>
        <v>0</v>
      </c>
    </row>
    <row r="120" spans="1:18" x14ac:dyDescent="0.25">
      <c r="A120" s="18"/>
      <c r="B120" s="19" t="s">
        <v>596</v>
      </c>
      <c r="C120" s="5" t="s">
        <v>597</v>
      </c>
      <c r="D120" s="7" t="e">
        <f ca="1">_xll.xlqPrice(C120)</f>
        <v>#NAME?</v>
      </c>
      <c r="E120" s="9" t="e">
        <f t="shared" ca="1" si="12"/>
        <v>#NAME?</v>
      </c>
      <c r="F120" s="9">
        <f t="shared" ca="1" si="13"/>
        <v>1</v>
      </c>
      <c r="G120" s="8">
        <f t="shared" ca="1" si="14"/>
        <v>0</v>
      </c>
      <c r="H120" s="8">
        <f t="shared" ca="1" si="15"/>
        <v>0</v>
      </c>
      <c r="I120" s="8">
        <f t="shared" ca="1" si="16"/>
        <v>0</v>
      </c>
      <c r="J120" s="6" t="e">
        <f ca="1">_xll.xlqxhSMA($C120,$L$4,$J$7,$K$3)</f>
        <v>#NAME?</v>
      </c>
      <c r="K120" s="7" t="e">
        <f ca="1">_xll.xlqhClose($C120,K$8,$K$3)</f>
        <v>#NAME?</v>
      </c>
      <c r="L120" s="7" t="e">
        <f ca="1">_xll.xlqhClose($C120,L$8,$K$3)</f>
        <v>#NAME?</v>
      </c>
      <c r="N120" s="9">
        <f t="shared" ca="1" si="17"/>
        <v>1</v>
      </c>
      <c r="O120" s="9">
        <f t="shared" ca="1" si="18"/>
        <v>1</v>
      </c>
      <c r="P120" s="9">
        <f t="shared" ca="1" si="19"/>
        <v>1</v>
      </c>
      <c r="Q120" s="9">
        <f t="shared" ca="1" si="20"/>
        <v>1</v>
      </c>
      <c r="R120" s="9">
        <f t="shared" ca="1" si="21"/>
        <v>0</v>
      </c>
    </row>
    <row r="121" spans="1:18" x14ac:dyDescent="0.25">
      <c r="A121" s="18"/>
      <c r="B121" s="19" t="s">
        <v>148</v>
      </c>
      <c r="C121" s="5" t="s">
        <v>149</v>
      </c>
      <c r="D121" s="7" t="e">
        <f ca="1">_xll.xlqPrice(C121)</f>
        <v>#NAME?</v>
      </c>
      <c r="E121" s="9" t="e">
        <f t="shared" ca="1" si="12"/>
        <v>#NAME?</v>
      </c>
      <c r="F121" s="9">
        <f t="shared" ca="1" si="13"/>
        <v>1</v>
      </c>
      <c r="G121" s="8">
        <f t="shared" ca="1" si="14"/>
        <v>0</v>
      </c>
      <c r="H121" s="8">
        <f t="shared" ca="1" si="15"/>
        <v>0</v>
      </c>
      <c r="I121" s="8">
        <f t="shared" ca="1" si="16"/>
        <v>0</v>
      </c>
      <c r="J121" s="6" t="e">
        <f ca="1">_xll.xlqxhSMA($C121,$L$4,$J$7,$K$3)</f>
        <v>#NAME?</v>
      </c>
      <c r="K121" s="7" t="e">
        <f ca="1">_xll.xlqhClose($C121,K$8,$K$3)</f>
        <v>#NAME?</v>
      </c>
      <c r="L121" s="7" t="e">
        <f ca="1">_xll.xlqhClose($C121,L$8,$K$3)</f>
        <v>#NAME?</v>
      </c>
      <c r="N121" s="9">
        <f t="shared" ca="1" si="17"/>
        <v>1</v>
      </c>
      <c r="O121" s="9">
        <f t="shared" ca="1" si="18"/>
        <v>1</v>
      </c>
      <c r="P121" s="9">
        <f t="shared" ca="1" si="19"/>
        <v>1</v>
      </c>
      <c r="Q121" s="9">
        <f t="shared" ca="1" si="20"/>
        <v>1</v>
      </c>
      <c r="R121" s="9">
        <f t="shared" ca="1" si="21"/>
        <v>0</v>
      </c>
    </row>
    <row r="122" spans="1:18" x14ac:dyDescent="0.25">
      <c r="A122" s="18"/>
      <c r="B122" s="19" t="s">
        <v>1861</v>
      </c>
      <c r="C122" s="5" t="s">
        <v>1862</v>
      </c>
      <c r="D122" s="7" t="e">
        <f ca="1">_xll.xlqPrice(C122)</f>
        <v>#NAME?</v>
      </c>
      <c r="E122" s="9" t="e">
        <f t="shared" ca="1" si="12"/>
        <v>#NAME?</v>
      </c>
      <c r="F122" s="9">
        <f t="shared" ca="1" si="13"/>
        <v>1</v>
      </c>
      <c r="G122" s="8">
        <f t="shared" ca="1" si="14"/>
        <v>0</v>
      </c>
      <c r="H122" s="8">
        <f t="shared" ca="1" si="15"/>
        <v>0</v>
      </c>
      <c r="I122" s="8">
        <f t="shared" ca="1" si="16"/>
        <v>0</v>
      </c>
      <c r="J122" s="6" t="e">
        <f ca="1">_xll.xlqxhSMA($C122,$L$4,$J$7,$K$3)</f>
        <v>#NAME?</v>
      </c>
      <c r="K122" s="7" t="e">
        <f ca="1">_xll.xlqhClose($C122,K$8,$K$3)</f>
        <v>#NAME?</v>
      </c>
      <c r="L122" s="7" t="e">
        <f ca="1">_xll.xlqhClose($C122,L$8,$K$3)</f>
        <v>#NAME?</v>
      </c>
      <c r="N122" s="9">
        <f t="shared" ca="1" si="17"/>
        <v>1</v>
      </c>
      <c r="O122" s="9">
        <f t="shared" ca="1" si="18"/>
        <v>1</v>
      </c>
      <c r="P122" s="9">
        <f t="shared" ca="1" si="19"/>
        <v>1</v>
      </c>
      <c r="Q122" s="9">
        <f t="shared" ca="1" si="20"/>
        <v>1</v>
      </c>
      <c r="R122" s="9">
        <f t="shared" ca="1" si="21"/>
        <v>0</v>
      </c>
    </row>
    <row r="123" spans="1:18" x14ac:dyDescent="0.25">
      <c r="A123" s="18"/>
      <c r="B123" s="19" t="s">
        <v>1823</v>
      </c>
      <c r="C123" s="5" t="s">
        <v>1824</v>
      </c>
      <c r="D123" s="7" t="e">
        <f ca="1">_xll.xlqPrice(C123)</f>
        <v>#NAME?</v>
      </c>
      <c r="E123" s="9" t="e">
        <f t="shared" ca="1" si="12"/>
        <v>#NAME?</v>
      </c>
      <c r="F123" s="9">
        <f t="shared" ca="1" si="13"/>
        <v>1</v>
      </c>
      <c r="G123" s="8">
        <f t="shared" ca="1" si="14"/>
        <v>0</v>
      </c>
      <c r="H123" s="8">
        <f t="shared" ca="1" si="15"/>
        <v>0</v>
      </c>
      <c r="I123" s="8">
        <f t="shared" ca="1" si="16"/>
        <v>0</v>
      </c>
      <c r="J123" s="6" t="e">
        <f ca="1">_xll.xlqxhSMA($C123,$L$4,$J$7,$K$3)</f>
        <v>#NAME?</v>
      </c>
      <c r="K123" s="7" t="e">
        <f ca="1">_xll.xlqhClose($C123,K$8,$K$3)</f>
        <v>#NAME?</v>
      </c>
      <c r="L123" s="7" t="e">
        <f ca="1">_xll.xlqhClose($C123,L$8,$K$3)</f>
        <v>#NAME?</v>
      </c>
      <c r="N123" s="9">
        <f t="shared" ca="1" si="17"/>
        <v>1</v>
      </c>
      <c r="O123" s="9">
        <f t="shared" ca="1" si="18"/>
        <v>1</v>
      </c>
      <c r="P123" s="9">
        <f t="shared" ca="1" si="19"/>
        <v>1</v>
      </c>
      <c r="Q123" s="9">
        <f t="shared" ca="1" si="20"/>
        <v>1</v>
      </c>
      <c r="R123" s="9">
        <f t="shared" ca="1" si="21"/>
        <v>0</v>
      </c>
    </row>
    <row r="124" spans="1:18" x14ac:dyDescent="0.25">
      <c r="A124" s="18"/>
      <c r="B124" s="19" t="s">
        <v>2281</v>
      </c>
      <c r="C124" s="5" t="s">
        <v>2282</v>
      </c>
      <c r="D124" s="7" t="e">
        <f ca="1">_xll.xlqPrice(C124)</f>
        <v>#NAME?</v>
      </c>
      <c r="E124" s="9" t="e">
        <f t="shared" ca="1" si="12"/>
        <v>#NAME?</v>
      </c>
      <c r="F124" s="9">
        <f t="shared" ca="1" si="13"/>
        <v>1</v>
      </c>
      <c r="G124" s="8">
        <f t="shared" ca="1" si="14"/>
        <v>0</v>
      </c>
      <c r="H124" s="8">
        <f t="shared" ca="1" si="15"/>
        <v>0</v>
      </c>
      <c r="I124" s="8">
        <f t="shared" ca="1" si="16"/>
        <v>0</v>
      </c>
      <c r="J124" s="6" t="e">
        <f ca="1">_xll.xlqxhSMA($C124,$L$4,$J$7,$K$3)</f>
        <v>#NAME?</v>
      </c>
      <c r="K124" s="7" t="e">
        <f ca="1">_xll.xlqhClose($C124,K$8,$K$3)</f>
        <v>#NAME?</v>
      </c>
      <c r="L124" s="7" t="e">
        <f ca="1">_xll.xlqhClose($C124,L$8,$K$3)</f>
        <v>#NAME?</v>
      </c>
      <c r="N124" s="9">
        <f t="shared" ca="1" si="17"/>
        <v>1</v>
      </c>
      <c r="O124" s="9">
        <f t="shared" ca="1" si="18"/>
        <v>1</v>
      </c>
      <c r="P124" s="9">
        <f t="shared" ca="1" si="19"/>
        <v>1</v>
      </c>
      <c r="Q124" s="9">
        <f t="shared" ca="1" si="20"/>
        <v>1</v>
      </c>
      <c r="R124" s="9">
        <f t="shared" ca="1" si="21"/>
        <v>0</v>
      </c>
    </row>
    <row r="125" spans="1:18" x14ac:dyDescent="0.25">
      <c r="A125" s="18"/>
      <c r="B125" s="19" t="s">
        <v>272</v>
      </c>
      <c r="C125" s="5" t="s">
        <v>273</v>
      </c>
      <c r="D125" s="7" t="e">
        <f ca="1">_xll.xlqPrice(C125)</f>
        <v>#NAME?</v>
      </c>
      <c r="E125" s="9" t="e">
        <f t="shared" ca="1" si="12"/>
        <v>#NAME?</v>
      </c>
      <c r="F125" s="9">
        <f t="shared" ca="1" si="13"/>
        <v>1</v>
      </c>
      <c r="G125" s="8">
        <f t="shared" ca="1" si="14"/>
        <v>0</v>
      </c>
      <c r="H125" s="8">
        <f t="shared" ca="1" si="15"/>
        <v>0</v>
      </c>
      <c r="I125" s="8">
        <f t="shared" ca="1" si="16"/>
        <v>0</v>
      </c>
      <c r="J125" s="6" t="e">
        <f ca="1">_xll.xlqxhSMA($C125,$L$4,$J$7,$K$3)</f>
        <v>#NAME?</v>
      </c>
      <c r="K125" s="7" t="e">
        <f ca="1">_xll.xlqhClose($C125,K$8,$K$3)</f>
        <v>#NAME?</v>
      </c>
      <c r="L125" s="7" t="e">
        <f ca="1">_xll.xlqhClose($C125,L$8,$K$3)</f>
        <v>#NAME?</v>
      </c>
      <c r="N125" s="9">
        <f t="shared" ca="1" si="17"/>
        <v>1</v>
      </c>
      <c r="O125" s="9">
        <f t="shared" ca="1" si="18"/>
        <v>1</v>
      </c>
      <c r="P125" s="9">
        <f t="shared" ca="1" si="19"/>
        <v>1</v>
      </c>
      <c r="Q125" s="9">
        <f t="shared" ca="1" si="20"/>
        <v>1</v>
      </c>
      <c r="R125" s="9">
        <f t="shared" ca="1" si="21"/>
        <v>0</v>
      </c>
    </row>
    <row r="126" spans="1:18" x14ac:dyDescent="0.25">
      <c r="A126" s="18"/>
      <c r="B126" s="19" t="s">
        <v>2105</v>
      </c>
      <c r="C126" s="5" t="s">
        <v>2106</v>
      </c>
      <c r="D126" s="7" t="e">
        <f ca="1">_xll.xlqPrice(C126)</f>
        <v>#NAME?</v>
      </c>
      <c r="E126" s="9" t="e">
        <f t="shared" ca="1" si="12"/>
        <v>#NAME?</v>
      </c>
      <c r="F126" s="9">
        <f t="shared" ca="1" si="13"/>
        <v>1</v>
      </c>
      <c r="G126" s="8">
        <f t="shared" ca="1" si="14"/>
        <v>0</v>
      </c>
      <c r="H126" s="8">
        <f t="shared" ca="1" si="15"/>
        <v>0</v>
      </c>
      <c r="I126" s="8">
        <f t="shared" ca="1" si="16"/>
        <v>0</v>
      </c>
      <c r="J126" s="6" t="e">
        <f ca="1">_xll.xlqxhSMA($C126,$L$4,$J$7,$K$3)</f>
        <v>#NAME?</v>
      </c>
      <c r="K126" s="7" t="e">
        <f ca="1">_xll.xlqhClose($C126,K$8,$K$3)</f>
        <v>#NAME?</v>
      </c>
      <c r="L126" s="7" t="e">
        <f ca="1">_xll.xlqhClose($C126,L$8,$K$3)</f>
        <v>#NAME?</v>
      </c>
      <c r="N126" s="9">
        <f t="shared" ca="1" si="17"/>
        <v>1</v>
      </c>
      <c r="O126" s="9">
        <f t="shared" ca="1" si="18"/>
        <v>1</v>
      </c>
      <c r="P126" s="9">
        <f t="shared" ca="1" si="19"/>
        <v>1</v>
      </c>
      <c r="Q126" s="9">
        <f t="shared" ca="1" si="20"/>
        <v>1</v>
      </c>
      <c r="R126" s="9">
        <f t="shared" ca="1" si="21"/>
        <v>0</v>
      </c>
    </row>
    <row r="127" spans="1:18" x14ac:dyDescent="0.25">
      <c r="A127" s="18"/>
      <c r="B127" s="19" t="s">
        <v>1717</v>
      </c>
      <c r="C127" s="5" t="s">
        <v>1718</v>
      </c>
      <c r="D127" s="7" t="e">
        <f ca="1">_xll.xlqPrice(C127)</f>
        <v>#NAME?</v>
      </c>
      <c r="E127" s="9" t="e">
        <f t="shared" ca="1" si="12"/>
        <v>#NAME?</v>
      </c>
      <c r="F127" s="9">
        <f t="shared" ca="1" si="13"/>
        <v>1</v>
      </c>
      <c r="G127" s="8">
        <f t="shared" ca="1" si="14"/>
        <v>0</v>
      </c>
      <c r="H127" s="8">
        <f t="shared" ca="1" si="15"/>
        <v>0</v>
      </c>
      <c r="I127" s="8">
        <f t="shared" ca="1" si="16"/>
        <v>0</v>
      </c>
      <c r="J127" s="6" t="e">
        <f ca="1">_xll.xlqxhSMA($C127,$L$4,$J$7,$K$3)</f>
        <v>#NAME?</v>
      </c>
      <c r="K127" s="7" t="e">
        <f ca="1">_xll.xlqhClose($C127,K$8,$K$3)</f>
        <v>#NAME?</v>
      </c>
      <c r="L127" s="7" t="e">
        <f ca="1">_xll.xlqhClose($C127,L$8,$K$3)</f>
        <v>#NAME?</v>
      </c>
      <c r="N127" s="9">
        <f t="shared" ca="1" si="17"/>
        <v>1</v>
      </c>
      <c r="O127" s="9">
        <f t="shared" ca="1" si="18"/>
        <v>1</v>
      </c>
      <c r="P127" s="9">
        <f t="shared" ca="1" si="19"/>
        <v>1</v>
      </c>
      <c r="Q127" s="9">
        <f t="shared" ca="1" si="20"/>
        <v>1</v>
      </c>
      <c r="R127" s="9">
        <f t="shared" ca="1" si="21"/>
        <v>0</v>
      </c>
    </row>
    <row r="128" spans="1:18" x14ac:dyDescent="0.25">
      <c r="A128" s="18"/>
      <c r="B128" s="19" t="s">
        <v>1139</v>
      </c>
      <c r="C128" s="5" t="s">
        <v>1140</v>
      </c>
      <c r="D128" s="7" t="e">
        <f ca="1">_xll.xlqPrice(C128)</f>
        <v>#NAME?</v>
      </c>
      <c r="E128" s="9" t="e">
        <f t="shared" ca="1" si="12"/>
        <v>#NAME?</v>
      </c>
      <c r="F128" s="9">
        <f t="shared" ca="1" si="13"/>
        <v>1</v>
      </c>
      <c r="G128" s="8">
        <f t="shared" ca="1" si="14"/>
        <v>0</v>
      </c>
      <c r="H128" s="8">
        <f t="shared" ca="1" si="15"/>
        <v>0</v>
      </c>
      <c r="I128" s="8">
        <f t="shared" ca="1" si="16"/>
        <v>0</v>
      </c>
      <c r="J128" s="6" t="e">
        <f ca="1">_xll.xlqxhSMA($C128,$L$4,$J$7,$K$3)</f>
        <v>#NAME?</v>
      </c>
      <c r="K128" s="7" t="e">
        <f ca="1">_xll.xlqhClose($C128,K$8,$K$3)</f>
        <v>#NAME?</v>
      </c>
      <c r="L128" s="7" t="e">
        <f ca="1">_xll.xlqhClose($C128,L$8,$K$3)</f>
        <v>#NAME?</v>
      </c>
      <c r="N128" s="9">
        <f t="shared" ca="1" si="17"/>
        <v>1</v>
      </c>
      <c r="O128" s="9">
        <f t="shared" ca="1" si="18"/>
        <v>1</v>
      </c>
      <c r="P128" s="9">
        <f t="shared" ca="1" si="19"/>
        <v>1</v>
      </c>
      <c r="Q128" s="9">
        <f t="shared" ca="1" si="20"/>
        <v>1</v>
      </c>
      <c r="R128" s="9">
        <f t="shared" ca="1" si="21"/>
        <v>0</v>
      </c>
    </row>
    <row r="129" spans="1:18" x14ac:dyDescent="0.25">
      <c r="A129" s="18"/>
      <c r="B129" s="19" t="s">
        <v>1047</v>
      </c>
      <c r="C129" s="5" t="s">
        <v>1048</v>
      </c>
      <c r="D129" s="7" t="e">
        <f ca="1">_xll.xlqPrice(C129)</f>
        <v>#NAME?</v>
      </c>
      <c r="E129" s="9" t="e">
        <f t="shared" ca="1" si="12"/>
        <v>#NAME?</v>
      </c>
      <c r="F129" s="9">
        <f t="shared" ca="1" si="13"/>
        <v>1</v>
      </c>
      <c r="G129" s="8">
        <f t="shared" ca="1" si="14"/>
        <v>0</v>
      </c>
      <c r="H129" s="8">
        <f t="shared" ca="1" si="15"/>
        <v>0</v>
      </c>
      <c r="I129" s="8">
        <f t="shared" ca="1" si="16"/>
        <v>0</v>
      </c>
      <c r="J129" s="6" t="e">
        <f ca="1">_xll.xlqxhSMA($C129,$L$4,$J$7,$K$3)</f>
        <v>#NAME?</v>
      </c>
      <c r="K129" s="7" t="e">
        <f ca="1">_xll.xlqhClose($C129,K$8,$K$3)</f>
        <v>#NAME?</v>
      </c>
      <c r="L129" s="7" t="e">
        <f ca="1">_xll.xlqhClose($C129,L$8,$K$3)</f>
        <v>#NAME?</v>
      </c>
      <c r="N129" s="9">
        <f t="shared" ca="1" si="17"/>
        <v>1</v>
      </c>
      <c r="O129" s="9">
        <f t="shared" ca="1" si="18"/>
        <v>1</v>
      </c>
      <c r="P129" s="9">
        <f t="shared" ca="1" si="19"/>
        <v>1</v>
      </c>
      <c r="Q129" s="9">
        <f t="shared" ca="1" si="20"/>
        <v>1</v>
      </c>
      <c r="R129" s="9">
        <f t="shared" ca="1" si="21"/>
        <v>0</v>
      </c>
    </row>
    <row r="130" spans="1:18" ht="15.75" thickBot="1" x14ac:dyDescent="0.3">
      <c r="A130" s="18"/>
      <c r="B130" s="19" t="s">
        <v>1815</v>
      </c>
      <c r="C130" s="5" t="s">
        <v>1816</v>
      </c>
      <c r="D130" s="7" t="e">
        <f ca="1">_xll.xlqPrice(C130)</f>
        <v>#NAME?</v>
      </c>
      <c r="E130" s="9" t="e">
        <f t="shared" ca="1" si="12"/>
        <v>#NAME?</v>
      </c>
      <c r="F130" s="9">
        <f t="shared" ca="1" si="13"/>
        <v>1</v>
      </c>
      <c r="G130" s="8">
        <f t="shared" ca="1" si="14"/>
        <v>0</v>
      </c>
      <c r="H130" s="8">
        <f t="shared" ca="1" si="15"/>
        <v>0</v>
      </c>
      <c r="I130" s="8">
        <f t="shared" ca="1" si="16"/>
        <v>0</v>
      </c>
      <c r="J130" s="6" t="e">
        <f ca="1">_xll.xlqxhSMA($C130,$L$4,$J$7,$K$3)</f>
        <v>#NAME?</v>
      </c>
      <c r="K130" s="7" t="e">
        <f ca="1">_xll.xlqhClose($C130,K$8,$K$3)</f>
        <v>#NAME?</v>
      </c>
      <c r="L130" s="7" t="e">
        <f ca="1">_xll.xlqhClose($C130,L$8,$K$3)</f>
        <v>#NAME?</v>
      </c>
      <c r="N130" s="9">
        <f t="shared" ca="1" si="17"/>
        <v>1</v>
      </c>
      <c r="O130" s="9">
        <f t="shared" ca="1" si="18"/>
        <v>1</v>
      </c>
      <c r="P130" s="9">
        <f t="shared" ca="1" si="19"/>
        <v>1</v>
      </c>
      <c r="Q130" s="9">
        <f t="shared" ca="1" si="20"/>
        <v>1</v>
      </c>
      <c r="R130" s="9">
        <f t="shared" ca="1" si="21"/>
        <v>0</v>
      </c>
    </row>
    <row r="131" spans="1:18" x14ac:dyDescent="0.25">
      <c r="A131" s="18"/>
      <c r="B131" s="23" t="s">
        <v>2321</v>
      </c>
      <c r="C131" s="24" t="s">
        <v>2322</v>
      </c>
      <c r="D131" s="7" t="e">
        <f ca="1">_xll.xlqPrice(C131)</f>
        <v>#NAME?</v>
      </c>
      <c r="E131" s="9" t="e">
        <f t="shared" ca="1" si="12"/>
        <v>#NAME?</v>
      </c>
      <c r="F131" s="9">
        <f t="shared" ca="1" si="13"/>
        <v>1</v>
      </c>
      <c r="G131" s="8">
        <f t="shared" ca="1" si="14"/>
        <v>0</v>
      </c>
      <c r="H131" s="8">
        <f t="shared" ca="1" si="15"/>
        <v>0</v>
      </c>
      <c r="I131" s="8">
        <f t="shared" ca="1" si="16"/>
        <v>0</v>
      </c>
      <c r="J131" s="6" t="e">
        <f ca="1">_xll.xlqxhSMA($C131,$L$4,$J$7,$K$3)</f>
        <v>#NAME?</v>
      </c>
      <c r="K131" s="7" t="e">
        <f ca="1">_xll.xlqhClose($C131,K$8,$K$3)</f>
        <v>#NAME?</v>
      </c>
      <c r="L131" s="7" t="e">
        <f ca="1">_xll.xlqhClose($C131,L$8,$K$3)</f>
        <v>#NAME?</v>
      </c>
      <c r="N131" s="9">
        <f t="shared" ca="1" si="17"/>
        <v>1</v>
      </c>
      <c r="O131" s="9">
        <f t="shared" ca="1" si="18"/>
        <v>1</v>
      </c>
      <c r="P131" s="9">
        <f t="shared" ca="1" si="19"/>
        <v>1</v>
      </c>
      <c r="Q131" s="9">
        <f t="shared" ca="1" si="20"/>
        <v>1</v>
      </c>
      <c r="R131" s="9">
        <f t="shared" ca="1" si="21"/>
        <v>0</v>
      </c>
    </row>
    <row r="132" spans="1:18" x14ac:dyDescent="0.25">
      <c r="A132" s="18"/>
      <c r="B132" s="19" t="s">
        <v>2337</v>
      </c>
      <c r="C132" s="5" t="s">
        <v>2338</v>
      </c>
      <c r="D132" s="7" t="e">
        <f ca="1">_xll.xlqPrice(C132)</f>
        <v>#NAME?</v>
      </c>
      <c r="E132" s="9" t="e">
        <f t="shared" ca="1" si="12"/>
        <v>#NAME?</v>
      </c>
      <c r="F132" s="9">
        <f t="shared" ca="1" si="13"/>
        <v>1</v>
      </c>
      <c r="G132" s="8">
        <f t="shared" ca="1" si="14"/>
        <v>0</v>
      </c>
      <c r="H132" s="8">
        <f t="shared" ca="1" si="15"/>
        <v>0</v>
      </c>
      <c r="I132" s="8">
        <f t="shared" ca="1" si="16"/>
        <v>0</v>
      </c>
      <c r="J132" s="6" t="e">
        <f ca="1">_xll.xlqxhSMA($C132,$L$4,$J$7,$K$3)</f>
        <v>#NAME?</v>
      </c>
      <c r="K132" s="7" t="e">
        <f ca="1">_xll.xlqhClose($C132,K$8,$K$3)</f>
        <v>#NAME?</v>
      </c>
      <c r="L132" s="7" t="e">
        <f ca="1">_xll.xlqhClose($C132,L$8,$K$3)</f>
        <v>#NAME?</v>
      </c>
      <c r="N132" s="9">
        <f t="shared" ca="1" si="17"/>
        <v>1</v>
      </c>
      <c r="O132" s="9">
        <f t="shared" ca="1" si="18"/>
        <v>1</v>
      </c>
      <c r="P132" s="9">
        <f t="shared" ca="1" si="19"/>
        <v>1</v>
      </c>
      <c r="Q132" s="9">
        <f t="shared" ca="1" si="20"/>
        <v>1</v>
      </c>
      <c r="R132" s="9">
        <f t="shared" ca="1" si="21"/>
        <v>0</v>
      </c>
    </row>
    <row r="133" spans="1:18" x14ac:dyDescent="0.25">
      <c r="A133" s="18"/>
      <c r="B133" s="19" t="s">
        <v>2067</v>
      </c>
      <c r="C133" s="5" t="s">
        <v>2068</v>
      </c>
      <c r="D133" s="7" t="e">
        <f ca="1">_xll.xlqPrice(C133)</f>
        <v>#NAME?</v>
      </c>
      <c r="E133" s="9" t="e">
        <f t="shared" ca="1" si="12"/>
        <v>#NAME?</v>
      </c>
      <c r="F133" s="9">
        <f t="shared" ca="1" si="13"/>
        <v>1</v>
      </c>
      <c r="G133" s="8">
        <f t="shared" ca="1" si="14"/>
        <v>0</v>
      </c>
      <c r="H133" s="8">
        <f t="shared" ca="1" si="15"/>
        <v>0</v>
      </c>
      <c r="I133" s="8">
        <f t="shared" ca="1" si="16"/>
        <v>0</v>
      </c>
      <c r="J133" s="6" t="e">
        <f ca="1">_xll.xlqxhSMA($C133,$L$4,$J$7,$K$3)</f>
        <v>#NAME?</v>
      </c>
      <c r="K133" s="7" t="e">
        <f ca="1">_xll.xlqhClose($C133,K$8,$K$3)</f>
        <v>#NAME?</v>
      </c>
      <c r="L133" s="7" t="e">
        <f ca="1">_xll.xlqhClose($C133,L$8,$K$3)</f>
        <v>#NAME?</v>
      </c>
      <c r="N133" s="9">
        <f t="shared" ca="1" si="17"/>
        <v>1</v>
      </c>
      <c r="O133" s="9">
        <f t="shared" ca="1" si="18"/>
        <v>1</v>
      </c>
      <c r="P133" s="9">
        <f t="shared" ca="1" si="19"/>
        <v>1</v>
      </c>
      <c r="Q133" s="9">
        <f t="shared" ca="1" si="20"/>
        <v>1</v>
      </c>
      <c r="R133" s="9">
        <f t="shared" ca="1" si="21"/>
        <v>0</v>
      </c>
    </row>
    <row r="134" spans="1:18" x14ac:dyDescent="0.25">
      <c r="A134" s="18"/>
      <c r="B134" s="19" t="s">
        <v>2335</v>
      </c>
      <c r="C134" s="5" t="s">
        <v>2336</v>
      </c>
      <c r="D134" s="7" t="e">
        <f ca="1">_xll.xlqPrice(C134)</f>
        <v>#NAME?</v>
      </c>
      <c r="E134" s="9" t="e">
        <f t="shared" ca="1" si="12"/>
        <v>#NAME?</v>
      </c>
      <c r="F134" s="9">
        <f t="shared" ca="1" si="13"/>
        <v>1</v>
      </c>
      <c r="G134" s="8">
        <f t="shared" ca="1" si="14"/>
        <v>0</v>
      </c>
      <c r="H134" s="8">
        <f t="shared" ca="1" si="15"/>
        <v>0</v>
      </c>
      <c r="I134" s="8">
        <f t="shared" ca="1" si="16"/>
        <v>0</v>
      </c>
      <c r="J134" s="6" t="e">
        <f ca="1">_xll.xlqxhSMA($C134,$L$4,$J$7,$K$3)</f>
        <v>#NAME?</v>
      </c>
      <c r="K134" s="7" t="e">
        <f ca="1">_xll.xlqhClose($C134,K$8,$K$3)</f>
        <v>#NAME?</v>
      </c>
      <c r="L134" s="7" t="e">
        <f ca="1">_xll.xlqhClose($C134,L$8,$K$3)</f>
        <v>#NAME?</v>
      </c>
      <c r="N134" s="9">
        <f t="shared" ca="1" si="17"/>
        <v>1</v>
      </c>
      <c r="O134" s="9">
        <f t="shared" ca="1" si="18"/>
        <v>1</v>
      </c>
      <c r="P134" s="9">
        <f t="shared" ca="1" si="19"/>
        <v>1</v>
      </c>
      <c r="Q134" s="9">
        <f t="shared" ca="1" si="20"/>
        <v>1</v>
      </c>
      <c r="R134" s="9">
        <f t="shared" ca="1" si="21"/>
        <v>0</v>
      </c>
    </row>
    <row r="135" spans="1:18" x14ac:dyDescent="0.25">
      <c r="A135" s="18"/>
      <c r="B135" s="19" t="s">
        <v>416</v>
      </c>
      <c r="C135" s="5" t="s">
        <v>417</v>
      </c>
      <c r="D135" s="7" t="e">
        <f ca="1">_xll.xlqPrice(C135)</f>
        <v>#NAME?</v>
      </c>
      <c r="E135" s="9" t="e">
        <f t="shared" ca="1" si="12"/>
        <v>#NAME?</v>
      </c>
      <c r="F135" s="9">
        <f t="shared" ca="1" si="13"/>
        <v>1</v>
      </c>
      <c r="G135" s="8">
        <f t="shared" ca="1" si="14"/>
        <v>0</v>
      </c>
      <c r="H135" s="8">
        <f t="shared" ca="1" si="15"/>
        <v>0</v>
      </c>
      <c r="I135" s="8">
        <f t="shared" ca="1" si="16"/>
        <v>0</v>
      </c>
      <c r="J135" s="6" t="e">
        <f ca="1">_xll.xlqxhSMA($C135,$L$4,$J$7,$K$3)</f>
        <v>#NAME?</v>
      </c>
      <c r="K135" s="7" t="e">
        <f ca="1">_xll.xlqhClose($C135,K$8,$K$3)</f>
        <v>#NAME?</v>
      </c>
      <c r="L135" s="7" t="e">
        <f ca="1">_xll.xlqhClose($C135,L$8,$K$3)</f>
        <v>#NAME?</v>
      </c>
      <c r="N135" s="9">
        <f t="shared" ca="1" si="17"/>
        <v>1</v>
      </c>
      <c r="O135" s="9">
        <f t="shared" ca="1" si="18"/>
        <v>1</v>
      </c>
      <c r="P135" s="9">
        <f t="shared" ca="1" si="19"/>
        <v>1</v>
      </c>
      <c r="Q135" s="9">
        <f t="shared" ca="1" si="20"/>
        <v>1</v>
      </c>
      <c r="R135" s="9">
        <f t="shared" ca="1" si="21"/>
        <v>0</v>
      </c>
    </row>
    <row r="136" spans="1:18" x14ac:dyDescent="0.25">
      <c r="A136" s="18"/>
      <c r="B136" s="19" t="s">
        <v>1493</v>
      </c>
      <c r="C136" s="5" t="s">
        <v>1494</v>
      </c>
      <c r="D136" s="7" t="e">
        <f ca="1">_xll.xlqPrice(C136)</f>
        <v>#NAME?</v>
      </c>
      <c r="E136" s="9" t="e">
        <f t="shared" ca="1" si="12"/>
        <v>#NAME?</v>
      </c>
      <c r="F136" s="9">
        <f t="shared" ca="1" si="13"/>
        <v>1</v>
      </c>
      <c r="G136" s="8">
        <f t="shared" ca="1" si="14"/>
        <v>0</v>
      </c>
      <c r="H136" s="8">
        <f t="shared" ca="1" si="15"/>
        <v>0</v>
      </c>
      <c r="I136" s="8">
        <f t="shared" ca="1" si="16"/>
        <v>0</v>
      </c>
      <c r="J136" s="6" t="e">
        <f ca="1">_xll.xlqxhSMA($C136,$L$4,$J$7,$K$3)</f>
        <v>#NAME?</v>
      </c>
      <c r="K136" s="7" t="e">
        <f ca="1">_xll.xlqhClose($C136,K$8,$K$3)</f>
        <v>#NAME?</v>
      </c>
      <c r="L136" s="7" t="e">
        <f ca="1">_xll.xlqhClose($C136,L$8,$K$3)</f>
        <v>#NAME?</v>
      </c>
      <c r="N136" s="9">
        <f t="shared" ca="1" si="17"/>
        <v>1</v>
      </c>
      <c r="O136" s="9">
        <f t="shared" ca="1" si="18"/>
        <v>1</v>
      </c>
      <c r="P136" s="9">
        <f t="shared" ca="1" si="19"/>
        <v>1</v>
      </c>
      <c r="Q136" s="9">
        <f t="shared" ca="1" si="20"/>
        <v>1</v>
      </c>
      <c r="R136" s="9">
        <f t="shared" ca="1" si="21"/>
        <v>0</v>
      </c>
    </row>
    <row r="137" spans="1:18" x14ac:dyDescent="0.25">
      <c r="A137" s="18"/>
      <c r="B137" s="19" t="s">
        <v>1345</v>
      </c>
      <c r="C137" s="5" t="s">
        <v>1346</v>
      </c>
      <c r="D137" s="7" t="e">
        <f ca="1">_xll.xlqPrice(C137)</f>
        <v>#NAME?</v>
      </c>
      <c r="E137" s="9" t="e">
        <f t="shared" ca="1" si="12"/>
        <v>#NAME?</v>
      </c>
      <c r="F137" s="9">
        <f t="shared" ca="1" si="13"/>
        <v>1</v>
      </c>
      <c r="G137" s="8">
        <f t="shared" ca="1" si="14"/>
        <v>0</v>
      </c>
      <c r="H137" s="8">
        <f t="shared" ca="1" si="15"/>
        <v>0</v>
      </c>
      <c r="I137" s="8">
        <f t="shared" ca="1" si="16"/>
        <v>0</v>
      </c>
      <c r="J137" s="6" t="e">
        <f ca="1">_xll.xlqxhSMA($C137,$L$4,$J$7,$K$3)</f>
        <v>#NAME?</v>
      </c>
      <c r="K137" s="7" t="e">
        <f ca="1">_xll.xlqhClose($C137,K$8,$K$3)</f>
        <v>#NAME?</v>
      </c>
      <c r="L137" s="7" t="e">
        <f ca="1">_xll.xlqhClose($C137,L$8,$K$3)</f>
        <v>#NAME?</v>
      </c>
      <c r="N137" s="9">
        <f t="shared" ca="1" si="17"/>
        <v>1</v>
      </c>
      <c r="O137" s="9">
        <f t="shared" ca="1" si="18"/>
        <v>1</v>
      </c>
      <c r="P137" s="9">
        <f t="shared" ca="1" si="19"/>
        <v>1</v>
      </c>
      <c r="Q137" s="9">
        <f t="shared" ca="1" si="20"/>
        <v>1</v>
      </c>
      <c r="R137" s="9">
        <f t="shared" ca="1" si="21"/>
        <v>0</v>
      </c>
    </row>
    <row r="138" spans="1:18" x14ac:dyDescent="0.25">
      <c r="A138" s="18"/>
      <c r="B138" s="19" t="s">
        <v>2049</v>
      </c>
      <c r="C138" s="5" t="s">
        <v>2050</v>
      </c>
      <c r="D138" s="7" t="e">
        <f ca="1">_xll.xlqPrice(C138)</f>
        <v>#NAME?</v>
      </c>
      <c r="E138" s="9" t="e">
        <f t="shared" ca="1" si="12"/>
        <v>#NAME?</v>
      </c>
      <c r="F138" s="9">
        <f t="shared" ca="1" si="13"/>
        <v>1</v>
      </c>
      <c r="G138" s="8">
        <f t="shared" ca="1" si="14"/>
        <v>0</v>
      </c>
      <c r="H138" s="8">
        <f t="shared" ca="1" si="15"/>
        <v>0</v>
      </c>
      <c r="I138" s="8">
        <f t="shared" ca="1" si="16"/>
        <v>0</v>
      </c>
      <c r="J138" s="6" t="e">
        <f ca="1">_xll.xlqxhSMA($C138,$L$4,$J$7,$K$3)</f>
        <v>#NAME?</v>
      </c>
      <c r="K138" s="7" t="e">
        <f ca="1">_xll.xlqhClose($C138,K$8,$K$3)</f>
        <v>#NAME?</v>
      </c>
      <c r="L138" s="7" t="e">
        <f ca="1">_xll.xlqhClose($C138,L$8,$K$3)</f>
        <v>#NAME?</v>
      </c>
      <c r="N138" s="9">
        <f t="shared" ca="1" si="17"/>
        <v>1</v>
      </c>
      <c r="O138" s="9">
        <f t="shared" ca="1" si="18"/>
        <v>1</v>
      </c>
      <c r="P138" s="9">
        <f t="shared" ca="1" si="19"/>
        <v>1</v>
      </c>
      <c r="Q138" s="9">
        <f t="shared" ca="1" si="20"/>
        <v>1</v>
      </c>
      <c r="R138" s="9">
        <f t="shared" ca="1" si="21"/>
        <v>0</v>
      </c>
    </row>
    <row r="139" spans="1:18" x14ac:dyDescent="0.25">
      <c r="A139" s="18"/>
      <c r="B139" s="19" t="s">
        <v>720</v>
      </c>
      <c r="C139" s="5" t="s">
        <v>721</v>
      </c>
      <c r="D139" s="7" t="e">
        <f ca="1">_xll.xlqPrice(C139)</f>
        <v>#NAME?</v>
      </c>
      <c r="E139" s="9" t="e">
        <f t="shared" ref="E139:E202" ca="1" si="22">IF(D139&gt;J139, "Buy","Cash")</f>
        <v>#NAME?</v>
      </c>
      <c r="F139" s="9">
        <f t="shared" ref="F139:F202" ca="1" si="23">RANK(I139,$I$11:$I$1138,0)</f>
        <v>1</v>
      </c>
      <c r="G139" s="8">
        <f t="shared" ref="G139:G202" ca="1" si="24">IFERROR(($D139-K139)/K139,0)</f>
        <v>0</v>
      </c>
      <c r="H139" s="8">
        <f t="shared" ref="H139:H202" ca="1" si="25">IFERROR(($D139-L139)/L139,0)</f>
        <v>0</v>
      </c>
      <c r="I139" s="8">
        <f t="shared" ref="I139:I202" ca="1" si="26">IFERROR((G139*$G$8)+(H139*$H$8),0)</f>
        <v>0</v>
      </c>
      <c r="J139" s="6" t="e">
        <f ca="1">_xll.xlqxhSMA($C139,$L$4,$J$7,$K$3)</f>
        <v>#NAME?</v>
      </c>
      <c r="K139" s="7" t="e">
        <f ca="1">_xll.xlqhClose($C139,K$8,$K$3)</f>
        <v>#NAME?</v>
      </c>
      <c r="L139" s="7" t="e">
        <f ca="1">_xll.xlqhClose($C139,L$8,$K$3)</f>
        <v>#NAME?</v>
      </c>
      <c r="N139" s="9">
        <f t="shared" ref="N139:N202" ca="1" si="27">RANK($G139,G$11:G$1138,0)</f>
        <v>1</v>
      </c>
      <c r="O139" s="9">
        <f t="shared" ref="O139:O202" ca="1" si="28">RANK($H139,H$11:H$1138,0)</f>
        <v>1</v>
      </c>
      <c r="P139" s="9">
        <f t="shared" ref="P139:P202" ca="1" si="29">RANK($I139,I$11:I$1138,0)</f>
        <v>1</v>
      </c>
      <c r="Q139" s="9">
        <f t="shared" ref="Q139:Q202" ca="1" si="30">RANK($P139,P$11:P$1138,1)</f>
        <v>1</v>
      </c>
      <c r="R139" s="9">
        <f t="shared" ref="R139:R202" ca="1" si="31">F139-Q139</f>
        <v>0</v>
      </c>
    </row>
    <row r="140" spans="1:18" x14ac:dyDescent="0.25">
      <c r="A140" s="18"/>
      <c r="B140" s="19" t="s">
        <v>622</v>
      </c>
      <c r="C140" s="5" t="s">
        <v>623</v>
      </c>
      <c r="D140" s="7" t="e">
        <f ca="1">_xll.xlqPrice(C140)</f>
        <v>#NAME?</v>
      </c>
      <c r="E140" s="9" t="e">
        <f t="shared" ca="1" si="22"/>
        <v>#NAME?</v>
      </c>
      <c r="F140" s="9">
        <f t="shared" ca="1" si="23"/>
        <v>1</v>
      </c>
      <c r="G140" s="8">
        <f t="shared" ca="1" si="24"/>
        <v>0</v>
      </c>
      <c r="H140" s="8">
        <f t="shared" ca="1" si="25"/>
        <v>0</v>
      </c>
      <c r="I140" s="8">
        <f t="shared" ca="1" si="26"/>
        <v>0</v>
      </c>
      <c r="J140" s="6" t="e">
        <f ca="1">_xll.xlqxhSMA($C140,$L$4,$J$7,$K$3)</f>
        <v>#NAME?</v>
      </c>
      <c r="K140" s="7" t="e">
        <f ca="1">_xll.xlqhClose($C140,K$8,$K$3)</f>
        <v>#NAME?</v>
      </c>
      <c r="L140" s="7" t="e">
        <f ca="1">_xll.xlqhClose($C140,L$8,$K$3)</f>
        <v>#NAME?</v>
      </c>
      <c r="N140" s="9">
        <f t="shared" ca="1" si="27"/>
        <v>1</v>
      </c>
      <c r="O140" s="9">
        <f t="shared" ca="1" si="28"/>
        <v>1</v>
      </c>
      <c r="P140" s="9">
        <f t="shared" ca="1" si="29"/>
        <v>1</v>
      </c>
      <c r="Q140" s="9">
        <f t="shared" ca="1" si="30"/>
        <v>1</v>
      </c>
      <c r="R140" s="9">
        <f t="shared" ca="1" si="31"/>
        <v>0</v>
      </c>
    </row>
    <row r="141" spans="1:18" x14ac:dyDescent="0.25">
      <c r="A141" s="18"/>
      <c r="B141" s="19" t="s">
        <v>1011</v>
      </c>
      <c r="C141" s="5" t="s">
        <v>1012</v>
      </c>
      <c r="D141" s="7" t="e">
        <f ca="1">_xll.xlqPrice(C141)</f>
        <v>#NAME?</v>
      </c>
      <c r="E141" s="9" t="e">
        <f t="shared" ca="1" si="22"/>
        <v>#NAME?</v>
      </c>
      <c r="F141" s="9">
        <f t="shared" ca="1" si="23"/>
        <v>1</v>
      </c>
      <c r="G141" s="8">
        <f t="shared" ca="1" si="24"/>
        <v>0</v>
      </c>
      <c r="H141" s="8">
        <f t="shared" ca="1" si="25"/>
        <v>0</v>
      </c>
      <c r="I141" s="8">
        <f t="shared" ca="1" si="26"/>
        <v>0</v>
      </c>
      <c r="J141" s="6" t="e">
        <f ca="1">_xll.xlqxhSMA($C141,$L$4,$J$7,$K$3)</f>
        <v>#NAME?</v>
      </c>
      <c r="K141" s="7" t="e">
        <f ca="1">_xll.xlqhClose($C141,K$8,$K$3)</f>
        <v>#NAME?</v>
      </c>
      <c r="L141" s="7" t="e">
        <f ca="1">_xll.xlqhClose($C141,L$8,$K$3)</f>
        <v>#NAME?</v>
      </c>
      <c r="N141" s="9">
        <f t="shared" ca="1" si="27"/>
        <v>1</v>
      </c>
      <c r="O141" s="9">
        <f t="shared" ca="1" si="28"/>
        <v>1</v>
      </c>
      <c r="P141" s="9">
        <f t="shared" ca="1" si="29"/>
        <v>1</v>
      </c>
      <c r="Q141" s="9">
        <f t="shared" ca="1" si="30"/>
        <v>1</v>
      </c>
      <c r="R141" s="9">
        <f t="shared" ca="1" si="31"/>
        <v>0</v>
      </c>
    </row>
    <row r="142" spans="1:18" ht="15.75" thickBot="1" x14ac:dyDescent="0.3">
      <c r="A142" s="18"/>
      <c r="B142" s="27" t="s">
        <v>218</v>
      </c>
      <c r="C142" s="28" t="s">
        <v>219</v>
      </c>
      <c r="D142" s="7" t="e">
        <f ca="1">_xll.xlqPrice(C142)</f>
        <v>#NAME?</v>
      </c>
      <c r="E142" s="9" t="e">
        <f t="shared" ca="1" si="22"/>
        <v>#NAME?</v>
      </c>
      <c r="F142" s="9">
        <f t="shared" ca="1" si="23"/>
        <v>1</v>
      </c>
      <c r="G142" s="8">
        <f t="shared" ca="1" si="24"/>
        <v>0</v>
      </c>
      <c r="H142" s="8">
        <f t="shared" ca="1" si="25"/>
        <v>0</v>
      </c>
      <c r="I142" s="8">
        <f t="shared" ca="1" si="26"/>
        <v>0</v>
      </c>
      <c r="J142" s="6" t="e">
        <f ca="1">_xll.xlqxhSMA($C142,$L$4,$J$7,$K$3)</f>
        <v>#NAME?</v>
      </c>
      <c r="K142" s="7" t="e">
        <f ca="1">_xll.xlqhClose($C142,K$8,$K$3)</f>
        <v>#NAME?</v>
      </c>
      <c r="L142" s="7" t="e">
        <f ca="1">_xll.xlqhClose($C142,L$8,$K$3)</f>
        <v>#NAME?</v>
      </c>
      <c r="N142" s="9">
        <f t="shared" ca="1" si="27"/>
        <v>1</v>
      </c>
      <c r="O142" s="9">
        <f t="shared" ca="1" si="28"/>
        <v>1</v>
      </c>
      <c r="P142" s="9">
        <f t="shared" ca="1" si="29"/>
        <v>1</v>
      </c>
      <c r="Q142" s="9">
        <f t="shared" ca="1" si="30"/>
        <v>1</v>
      </c>
      <c r="R142" s="9">
        <f t="shared" ca="1" si="31"/>
        <v>0</v>
      </c>
    </row>
    <row r="143" spans="1:18" x14ac:dyDescent="0.25">
      <c r="B143" s="17" t="s">
        <v>208</v>
      </c>
      <c r="C143" s="18" t="s">
        <v>209</v>
      </c>
      <c r="D143" s="7" t="e">
        <f ca="1">_xll.xlqPrice(C143)</f>
        <v>#NAME?</v>
      </c>
      <c r="E143" s="9" t="e">
        <f t="shared" ca="1" si="22"/>
        <v>#NAME?</v>
      </c>
      <c r="F143" s="9">
        <f t="shared" ca="1" si="23"/>
        <v>1</v>
      </c>
      <c r="G143" s="8">
        <f t="shared" ca="1" si="24"/>
        <v>0</v>
      </c>
      <c r="H143" s="8">
        <f t="shared" ca="1" si="25"/>
        <v>0</v>
      </c>
      <c r="I143" s="8">
        <f t="shared" ca="1" si="26"/>
        <v>0</v>
      </c>
      <c r="J143" s="6" t="e">
        <f ca="1">_xll.xlqxhSMA($C143,$L$4,$J$7,$K$3)</f>
        <v>#NAME?</v>
      </c>
      <c r="K143" s="7" t="e">
        <f ca="1">_xll.xlqhClose($C143,K$8,$K$3)</f>
        <v>#NAME?</v>
      </c>
      <c r="L143" s="7" t="e">
        <f ca="1">_xll.xlqhClose($C143,L$8,$K$3)</f>
        <v>#NAME?</v>
      </c>
      <c r="N143" s="9">
        <f t="shared" ca="1" si="27"/>
        <v>1</v>
      </c>
      <c r="O143" s="9">
        <f t="shared" ca="1" si="28"/>
        <v>1</v>
      </c>
      <c r="P143" s="9">
        <f t="shared" ca="1" si="29"/>
        <v>1</v>
      </c>
      <c r="Q143" s="9">
        <f t="shared" ca="1" si="30"/>
        <v>1</v>
      </c>
      <c r="R143" s="9">
        <f t="shared" ca="1" si="31"/>
        <v>0</v>
      </c>
    </row>
    <row r="144" spans="1:18" x14ac:dyDescent="0.25">
      <c r="B144" s="17" t="s">
        <v>768</v>
      </c>
      <c r="C144" s="18" t="s">
        <v>769</v>
      </c>
      <c r="D144" s="7" t="e">
        <f ca="1">_xll.xlqPrice(C144)</f>
        <v>#NAME?</v>
      </c>
      <c r="E144" s="9" t="e">
        <f t="shared" ca="1" si="22"/>
        <v>#NAME?</v>
      </c>
      <c r="F144" s="9">
        <f t="shared" ca="1" si="23"/>
        <v>1</v>
      </c>
      <c r="G144" s="8">
        <f t="shared" ca="1" si="24"/>
        <v>0</v>
      </c>
      <c r="H144" s="8">
        <f t="shared" ca="1" si="25"/>
        <v>0</v>
      </c>
      <c r="I144" s="8">
        <f t="shared" ca="1" si="26"/>
        <v>0</v>
      </c>
      <c r="J144" s="6" t="e">
        <f ca="1">_xll.xlqxhSMA($C144,$L$4,$J$7,$K$3)</f>
        <v>#NAME?</v>
      </c>
      <c r="K144" s="7" t="e">
        <f ca="1">_xll.xlqhClose($C144,K$8,$K$3)</f>
        <v>#NAME?</v>
      </c>
      <c r="L144" s="7" t="e">
        <f ca="1">_xll.xlqhClose($C144,L$8,$K$3)</f>
        <v>#NAME?</v>
      </c>
      <c r="N144" s="9">
        <f t="shared" ca="1" si="27"/>
        <v>1</v>
      </c>
      <c r="O144" s="9">
        <f t="shared" ca="1" si="28"/>
        <v>1</v>
      </c>
      <c r="P144" s="9">
        <f t="shared" ca="1" si="29"/>
        <v>1</v>
      </c>
      <c r="Q144" s="9">
        <f t="shared" ca="1" si="30"/>
        <v>1</v>
      </c>
      <c r="R144" s="9">
        <f t="shared" ca="1" si="31"/>
        <v>0</v>
      </c>
    </row>
    <row r="145" spans="2:18" x14ac:dyDescent="0.25">
      <c r="B145" s="17" t="s">
        <v>1239</v>
      </c>
      <c r="C145" s="18" t="s">
        <v>1240</v>
      </c>
      <c r="D145" s="7" t="e">
        <f ca="1">_xll.xlqPrice(C145)</f>
        <v>#NAME?</v>
      </c>
      <c r="E145" s="9" t="e">
        <f t="shared" ca="1" si="22"/>
        <v>#NAME?</v>
      </c>
      <c r="F145" s="9">
        <f t="shared" ca="1" si="23"/>
        <v>1</v>
      </c>
      <c r="G145" s="8">
        <f t="shared" ca="1" si="24"/>
        <v>0</v>
      </c>
      <c r="H145" s="8">
        <f t="shared" ca="1" si="25"/>
        <v>0</v>
      </c>
      <c r="I145" s="8">
        <f t="shared" ca="1" si="26"/>
        <v>0</v>
      </c>
      <c r="J145" s="6" t="e">
        <f ca="1">_xll.xlqxhSMA($C145,$L$4,$J$7,$K$3)</f>
        <v>#NAME?</v>
      </c>
      <c r="K145" s="7" t="e">
        <f ca="1">_xll.xlqhClose($C145,K$8,$K$3)</f>
        <v>#NAME?</v>
      </c>
      <c r="L145" s="7" t="e">
        <f ca="1">_xll.xlqhClose($C145,L$8,$K$3)</f>
        <v>#NAME?</v>
      </c>
      <c r="N145" s="9">
        <f t="shared" ca="1" si="27"/>
        <v>1</v>
      </c>
      <c r="O145" s="9">
        <f t="shared" ca="1" si="28"/>
        <v>1</v>
      </c>
      <c r="P145" s="9">
        <f t="shared" ca="1" si="29"/>
        <v>1</v>
      </c>
      <c r="Q145" s="9">
        <f t="shared" ca="1" si="30"/>
        <v>1</v>
      </c>
      <c r="R145" s="9">
        <f t="shared" ca="1" si="31"/>
        <v>0</v>
      </c>
    </row>
    <row r="146" spans="2:18" x14ac:dyDescent="0.25">
      <c r="B146" s="17" t="s">
        <v>1693</v>
      </c>
      <c r="C146" s="18" t="s">
        <v>1694</v>
      </c>
      <c r="D146" s="7" t="e">
        <f ca="1">_xll.xlqPrice(C146)</f>
        <v>#NAME?</v>
      </c>
      <c r="E146" s="9" t="e">
        <f t="shared" ca="1" si="22"/>
        <v>#NAME?</v>
      </c>
      <c r="F146" s="9">
        <f t="shared" ca="1" si="23"/>
        <v>1</v>
      </c>
      <c r="G146" s="8">
        <f t="shared" ca="1" si="24"/>
        <v>0</v>
      </c>
      <c r="H146" s="8">
        <f t="shared" ca="1" si="25"/>
        <v>0</v>
      </c>
      <c r="I146" s="8">
        <f t="shared" ca="1" si="26"/>
        <v>0</v>
      </c>
      <c r="J146" s="6" t="e">
        <f ca="1">_xll.xlqxhSMA($C146,$L$4,$J$7,$K$3)</f>
        <v>#NAME?</v>
      </c>
      <c r="K146" s="7" t="e">
        <f ca="1">_xll.xlqhClose($C146,K$8,$K$3)</f>
        <v>#NAME?</v>
      </c>
      <c r="L146" s="7" t="e">
        <f ca="1">_xll.xlqhClose($C146,L$8,$K$3)</f>
        <v>#NAME?</v>
      </c>
      <c r="N146" s="9">
        <f t="shared" ca="1" si="27"/>
        <v>1</v>
      </c>
      <c r="O146" s="9">
        <f t="shared" ca="1" si="28"/>
        <v>1</v>
      </c>
      <c r="P146" s="9">
        <f t="shared" ca="1" si="29"/>
        <v>1</v>
      </c>
      <c r="Q146" s="9">
        <f t="shared" ca="1" si="30"/>
        <v>1</v>
      </c>
      <c r="R146" s="9">
        <f t="shared" ca="1" si="31"/>
        <v>0</v>
      </c>
    </row>
    <row r="147" spans="2:18" x14ac:dyDescent="0.25">
      <c r="B147" s="17" t="s">
        <v>304</v>
      </c>
      <c r="C147" s="18" t="s">
        <v>305</v>
      </c>
      <c r="D147" s="7" t="e">
        <f ca="1">_xll.xlqPrice(C147)</f>
        <v>#NAME?</v>
      </c>
      <c r="E147" s="9" t="e">
        <f t="shared" ca="1" si="22"/>
        <v>#NAME?</v>
      </c>
      <c r="F147" s="9">
        <f t="shared" ca="1" si="23"/>
        <v>1</v>
      </c>
      <c r="G147" s="8">
        <f t="shared" ca="1" si="24"/>
        <v>0</v>
      </c>
      <c r="H147" s="8">
        <f t="shared" ca="1" si="25"/>
        <v>0</v>
      </c>
      <c r="I147" s="8">
        <f t="shared" ca="1" si="26"/>
        <v>0</v>
      </c>
      <c r="J147" s="6" t="e">
        <f ca="1">_xll.xlqxhSMA($C147,$L$4,$J$7,$K$3)</f>
        <v>#NAME?</v>
      </c>
      <c r="K147" s="7" t="e">
        <f ca="1">_xll.xlqhClose($C147,K$8,$K$3)</f>
        <v>#NAME?</v>
      </c>
      <c r="L147" s="7" t="e">
        <f ca="1">_xll.xlqhClose($C147,L$8,$K$3)</f>
        <v>#NAME?</v>
      </c>
      <c r="N147" s="9">
        <f t="shared" ca="1" si="27"/>
        <v>1</v>
      </c>
      <c r="O147" s="9">
        <f t="shared" ca="1" si="28"/>
        <v>1</v>
      </c>
      <c r="P147" s="9">
        <f t="shared" ca="1" si="29"/>
        <v>1</v>
      </c>
      <c r="Q147" s="9">
        <f t="shared" ca="1" si="30"/>
        <v>1</v>
      </c>
      <c r="R147" s="9">
        <f t="shared" ca="1" si="31"/>
        <v>0</v>
      </c>
    </row>
    <row r="148" spans="2:18" x14ac:dyDescent="0.25">
      <c r="B148" s="17" t="s">
        <v>212</v>
      </c>
      <c r="C148" s="18" t="s">
        <v>213</v>
      </c>
      <c r="D148" s="7" t="e">
        <f ca="1">_xll.xlqPrice(C148)</f>
        <v>#NAME?</v>
      </c>
      <c r="E148" s="9" t="e">
        <f t="shared" ca="1" si="22"/>
        <v>#NAME?</v>
      </c>
      <c r="F148" s="9">
        <f t="shared" ca="1" si="23"/>
        <v>1</v>
      </c>
      <c r="G148" s="8">
        <f t="shared" ca="1" si="24"/>
        <v>0</v>
      </c>
      <c r="H148" s="8">
        <f t="shared" ca="1" si="25"/>
        <v>0</v>
      </c>
      <c r="I148" s="8">
        <f t="shared" ca="1" si="26"/>
        <v>0</v>
      </c>
      <c r="J148" s="6" t="e">
        <f ca="1">_xll.xlqxhSMA($C148,$L$4,$J$7,$K$3)</f>
        <v>#NAME?</v>
      </c>
      <c r="K148" s="7" t="e">
        <f ca="1">_xll.xlqhClose($C148,K$8,$K$3)</f>
        <v>#NAME?</v>
      </c>
      <c r="L148" s="7" t="e">
        <f ca="1">_xll.xlqhClose($C148,L$8,$K$3)</f>
        <v>#NAME?</v>
      </c>
      <c r="N148" s="9">
        <f t="shared" ca="1" si="27"/>
        <v>1</v>
      </c>
      <c r="O148" s="9">
        <f t="shared" ca="1" si="28"/>
        <v>1</v>
      </c>
      <c r="P148" s="9">
        <f t="shared" ca="1" si="29"/>
        <v>1</v>
      </c>
      <c r="Q148" s="9">
        <f t="shared" ca="1" si="30"/>
        <v>1</v>
      </c>
      <c r="R148" s="9">
        <f t="shared" ca="1" si="31"/>
        <v>0</v>
      </c>
    </row>
    <row r="149" spans="2:18" x14ac:dyDescent="0.25">
      <c r="B149" s="17" t="s">
        <v>262</v>
      </c>
      <c r="C149" s="18" t="s">
        <v>263</v>
      </c>
      <c r="D149" s="7" t="e">
        <f ca="1">_xll.xlqPrice(C149)</f>
        <v>#NAME?</v>
      </c>
      <c r="E149" s="9" t="e">
        <f t="shared" ca="1" si="22"/>
        <v>#NAME?</v>
      </c>
      <c r="F149" s="9">
        <f t="shared" ca="1" si="23"/>
        <v>1</v>
      </c>
      <c r="G149" s="8">
        <f t="shared" ca="1" si="24"/>
        <v>0</v>
      </c>
      <c r="H149" s="8">
        <f t="shared" ca="1" si="25"/>
        <v>0</v>
      </c>
      <c r="I149" s="8">
        <f t="shared" ca="1" si="26"/>
        <v>0</v>
      </c>
      <c r="J149" s="6" t="e">
        <f ca="1">_xll.xlqxhSMA($C149,$L$4,$J$7,$K$3)</f>
        <v>#NAME?</v>
      </c>
      <c r="K149" s="7" t="e">
        <f ca="1">_xll.xlqhClose($C149,K$8,$K$3)</f>
        <v>#NAME?</v>
      </c>
      <c r="L149" s="7" t="e">
        <f ca="1">_xll.xlqhClose($C149,L$8,$K$3)</f>
        <v>#NAME?</v>
      </c>
      <c r="N149" s="9">
        <f t="shared" ca="1" si="27"/>
        <v>1</v>
      </c>
      <c r="O149" s="9">
        <f t="shared" ca="1" si="28"/>
        <v>1</v>
      </c>
      <c r="P149" s="9">
        <f t="shared" ca="1" si="29"/>
        <v>1</v>
      </c>
      <c r="Q149" s="9">
        <f t="shared" ca="1" si="30"/>
        <v>1</v>
      </c>
      <c r="R149" s="9">
        <f t="shared" ca="1" si="31"/>
        <v>0</v>
      </c>
    </row>
    <row r="150" spans="2:18" x14ac:dyDescent="0.25">
      <c r="B150" s="17" t="s">
        <v>1739</v>
      </c>
      <c r="C150" s="18" t="s">
        <v>1740</v>
      </c>
      <c r="D150" s="7" t="e">
        <f ca="1">_xll.xlqPrice(C150)</f>
        <v>#NAME?</v>
      </c>
      <c r="E150" s="9" t="e">
        <f t="shared" ca="1" si="22"/>
        <v>#NAME?</v>
      </c>
      <c r="F150" s="9">
        <f t="shared" ca="1" si="23"/>
        <v>1</v>
      </c>
      <c r="G150" s="8">
        <f t="shared" ca="1" si="24"/>
        <v>0</v>
      </c>
      <c r="H150" s="8">
        <f t="shared" ca="1" si="25"/>
        <v>0</v>
      </c>
      <c r="I150" s="8">
        <f t="shared" ca="1" si="26"/>
        <v>0</v>
      </c>
      <c r="J150" s="6" t="e">
        <f ca="1">_xll.xlqxhSMA($C150,$L$4,$J$7,$K$3)</f>
        <v>#NAME?</v>
      </c>
      <c r="K150" s="7" t="e">
        <f ca="1">_xll.xlqhClose($C150,K$8,$K$3)</f>
        <v>#NAME?</v>
      </c>
      <c r="L150" s="7" t="e">
        <f ca="1">_xll.xlqhClose($C150,L$8,$K$3)</f>
        <v>#NAME?</v>
      </c>
      <c r="N150" s="9">
        <f t="shared" ca="1" si="27"/>
        <v>1</v>
      </c>
      <c r="O150" s="9">
        <f t="shared" ca="1" si="28"/>
        <v>1</v>
      </c>
      <c r="P150" s="9">
        <f t="shared" ca="1" si="29"/>
        <v>1</v>
      </c>
      <c r="Q150" s="9">
        <f t="shared" ca="1" si="30"/>
        <v>1</v>
      </c>
      <c r="R150" s="9">
        <f t="shared" ca="1" si="31"/>
        <v>0</v>
      </c>
    </row>
    <row r="151" spans="2:18" x14ac:dyDescent="0.25">
      <c r="B151" s="17" t="s">
        <v>1789</v>
      </c>
      <c r="C151" s="18" t="s">
        <v>1790</v>
      </c>
      <c r="D151" s="7" t="e">
        <f ca="1">_xll.xlqPrice(C151)</f>
        <v>#NAME?</v>
      </c>
      <c r="E151" s="9" t="e">
        <f t="shared" ca="1" si="22"/>
        <v>#NAME?</v>
      </c>
      <c r="F151" s="9">
        <f t="shared" ca="1" si="23"/>
        <v>1</v>
      </c>
      <c r="G151" s="8">
        <f t="shared" ca="1" si="24"/>
        <v>0</v>
      </c>
      <c r="H151" s="8">
        <f t="shared" ca="1" si="25"/>
        <v>0</v>
      </c>
      <c r="I151" s="8">
        <f t="shared" ca="1" si="26"/>
        <v>0</v>
      </c>
      <c r="J151" s="6" t="e">
        <f ca="1">_xll.xlqxhSMA($C151,$L$4,$J$7,$K$3)</f>
        <v>#NAME?</v>
      </c>
      <c r="K151" s="7" t="e">
        <f ca="1">_xll.xlqhClose($C151,K$8,$K$3)</f>
        <v>#NAME?</v>
      </c>
      <c r="L151" s="7" t="e">
        <f ca="1">_xll.xlqhClose($C151,L$8,$K$3)</f>
        <v>#NAME?</v>
      </c>
      <c r="N151" s="9">
        <f t="shared" ca="1" si="27"/>
        <v>1</v>
      </c>
      <c r="O151" s="9">
        <f t="shared" ca="1" si="28"/>
        <v>1</v>
      </c>
      <c r="P151" s="9">
        <f t="shared" ca="1" si="29"/>
        <v>1</v>
      </c>
      <c r="Q151" s="9">
        <f t="shared" ca="1" si="30"/>
        <v>1</v>
      </c>
      <c r="R151" s="9">
        <f t="shared" ca="1" si="31"/>
        <v>0</v>
      </c>
    </row>
    <row r="152" spans="2:18" x14ac:dyDescent="0.25">
      <c r="B152" s="17" t="s">
        <v>991</v>
      </c>
      <c r="C152" s="18" t="s">
        <v>992</v>
      </c>
      <c r="D152" s="7" t="e">
        <f ca="1">_xll.xlqPrice(C152)</f>
        <v>#NAME?</v>
      </c>
      <c r="E152" s="9" t="e">
        <f t="shared" ca="1" si="22"/>
        <v>#NAME?</v>
      </c>
      <c r="F152" s="9">
        <f t="shared" ca="1" si="23"/>
        <v>1</v>
      </c>
      <c r="G152" s="8">
        <f t="shared" ca="1" si="24"/>
        <v>0</v>
      </c>
      <c r="H152" s="8">
        <f t="shared" ca="1" si="25"/>
        <v>0</v>
      </c>
      <c r="I152" s="8">
        <f t="shared" ca="1" si="26"/>
        <v>0</v>
      </c>
      <c r="J152" s="6" t="e">
        <f ca="1">_xll.xlqxhSMA($C152,$L$4,$J$7,$K$3)</f>
        <v>#NAME?</v>
      </c>
      <c r="K152" s="7" t="e">
        <f ca="1">_xll.xlqhClose($C152,K$8,$K$3)</f>
        <v>#NAME?</v>
      </c>
      <c r="L152" s="7" t="e">
        <f ca="1">_xll.xlqhClose($C152,L$8,$K$3)</f>
        <v>#NAME?</v>
      </c>
      <c r="N152" s="9">
        <f t="shared" ca="1" si="27"/>
        <v>1</v>
      </c>
      <c r="O152" s="9">
        <f t="shared" ca="1" si="28"/>
        <v>1</v>
      </c>
      <c r="P152" s="9">
        <f t="shared" ca="1" si="29"/>
        <v>1</v>
      </c>
      <c r="Q152" s="9">
        <f t="shared" ca="1" si="30"/>
        <v>1</v>
      </c>
      <c r="R152" s="9">
        <f t="shared" ca="1" si="31"/>
        <v>0</v>
      </c>
    </row>
    <row r="153" spans="2:18" x14ac:dyDescent="0.25">
      <c r="B153" s="17" t="s">
        <v>1787</v>
      </c>
      <c r="C153" s="18" t="s">
        <v>1788</v>
      </c>
      <c r="D153" s="7" t="e">
        <f ca="1">_xll.xlqPrice(C153)</f>
        <v>#NAME?</v>
      </c>
      <c r="E153" s="9" t="e">
        <f t="shared" ca="1" si="22"/>
        <v>#NAME?</v>
      </c>
      <c r="F153" s="9">
        <f t="shared" ca="1" si="23"/>
        <v>1</v>
      </c>
      <c r="G153" s="8">
        <f t="shared" ca="1" si="24"/>
        <v>0</v>
      </c>
      <c r="H153" s="8">
        <f t="shared" ca="1" si="25"/>
        <v>0</v>
      </c>
      <c r="I153" s="8">
        <f t="shared" ca="1" si="26"/>
        <v>0</v>
      </c>
      <c r="J153" s="6" t="e">
        <f ca="1">_xll.xlqxhSMA($C153,$L$4,$J$7,$K$3)</f>
        <v>#NAME?</v>
      </c>
      <c r="K153" s="7" t="e">
        <f ca="1">_xll.xlqhClose($C153,K$8,$K$3)</f>
        <v>#NAME?</v>
      </c>
      <c r="L153" s="7" t="e">
        <f ca="1">_xll.xlqhClose($C153,L$8,$K$3)</f>
        <v>#NAME?</v>
      </c>
      <c r="N153" s="9">
        <f t="shared" ca="1" si="27"/>
        <v>1</v>
      </c>
      <c r="O153" s="9">
        <f t="shared" ca="1" si="28"/>
        <v>1</v>
      </c>
      <c r="P153" s="9">
        <f t="shared" ca="1" si="29"/>
        <v>1</v>
      </c>
      <c r="Q153" s="9">
        <f t="shared" ca="1" si="30"/>
        <v>1</v>
      </c>
      <c r="R153" s="9">
        <f t="shared" ca="1" si="31"/>
        <v>0</v>
      </c>
    </row>
    <row r="154" spans="2:18" x14ac:dyDescent="0.25">
      <c r="B154" s="17" t="s">
        <v>1497</v>
      </c>
      <c r="C154" s="18" t="s">
        <v>1498</v>
      </c>
      <c r="D154" s="7" t="e">
        <f ca="1">_xll.xlqPrice(C154)</f>
        <v>#NAME?</v>
      </c>
      <c r="E154" s="9" t="e">
        <f t="shared" ca="1" si="22"/>
        <v>#NAME?</v>
      </c>
      <c r="F154" s="9">
        <f t="shared" ca="1" si="23"/>
        <v>1</v>
      </c>
      <c r="G154" s="8">
        <f t="shared" ca="1" si="24"/>
        <v>0</v>
      </c>
      <c r="H154" s="8">
        <f t="shared" ca="1" si="25"/>
        <v>0</v>
      </c>
      <c r="I154" s="8">
        <f t="shared" ca="1" si="26"/>
        <v>0</v>
      </c>
      <c r="J154" s="6" t="e">
        <f ca="1">_xll.xlqxhSMA($C154,$L$4,$J$7,$K$3)</f>
        <v>#NAME?</v>
      </c>
      <c r="K154" s="7" t="e">
        <f ca="1">_xll.xlqhClose($C154,K$8,$K$3)</f>
        <v>#NAME?</v>
      </c>
      <c r="L154" s="7" t="e">
        <f ca="1">_xll.xlqhClose($C154,L$8,$K$3)</f>
        <v>#NAME?</v>
      </c>
      <c r="N154" s="9">
        <f t="shared" ca="1" si="27"/>
        <v>1</v>
      </c>
      <c r="O154" s="9">
        <f t="shared" ca="1" si="28"/>
        <v>1</v>
      </c>
      <c r="P154" s="9">
        <f t="shared" ca="1" si="29"/>
        <v>1</v>
      </c>
      <c r="Q154" s="9">
        <f t="shared" ca="1" si="30"/>
        <v>1</v>
      </c>
      <c r="R154" s="9">
        <f t="shared" ca="1" si="31"/>
        <v>0</v>
      </c>
    </row>
    <row r="155" spans="2:18" x14ac:dyDescent="0.25">
      <c r="B155" s="17" t="s">
        <v>1783</v>
      </c>
      <c r="C155" s="18" t="s">
        <v>1784</v>
      </c>
      <c r="D155" s="7" t="e">
        <f ca="1">_xll.xlqPrice(C155)</f>
        <v>#NAME?</v>
      </c>
      <c r="E155" s="9" t="e">
        <f t="shared" ca="1" si="22"/>
        <v>#NAME?</v>
      </c>
      <c r="F155" s="9">
        <f t="shared" ca="1" si="23"/>
        <v>1</v>
      </c>
      <c r="G155" s="8">
        <f t="shared" ca="1" si="24"/>
        <v>0</v>
      </c>
      <c r="H155" s="8">
        <f t="shared" ca="1" si="25"/>
        <v>0</v>
      </c>
      <c r="I155" s="8">
        <f t="shared" ca="1" si="26"/>
        <v>0</v>
      </c>
      <c r="J155" s="6" t="e">
        <f ca="1">_xll.xlqxhSMA($C155,$L$4,$J$7,$K$3)</f>
        <v>#NAME?</v>
      </c>
      <c r="K155" s="7" t="e">
        <f ca="1">_xll.xlqhClose($C155,K$8,$K$3)</f>
        <v>#NAME?</v>
      </c>
      <c r="L155" s="7" t="e">
        <f ca="1">_xll.xlqhClose($C155,L$8,$K$3)</f>
        <v>#NAME?</v>
      </c>
      <c r="N155" s="9">
        <f t="shared" ca="1" si="27"/>
        <v>1</v>
      </c>
      <c r="O155" s="9">
        <f t="shared" ca="1" si="28"/>
        <v>1</v>
      </c>
      <c r="P155" s="9">
        <f t="shared" ca="1" si="29"/>
        <v>1</v>
      </c>
      <c r="Q155" s="9">
        <f t="shared" ca="1" si="30"/>
        <v>1</v>
      </c>
      <c r="R155" s="9">
        <f t="shared" ca="1" si="31"/>
        <v>0</v>
      </c>
    </row>
    <row r="156" spans="2:18" x14ac:dyDescent="0.25">
      <c r="B156" s="17" t="s">
        <v>308</v>
      </c>
      <c r="C156" s="18" t="s">
        <v>309</v>
      </c>
      <c r="D156" s="7" t="e">
        <f ca="1">_xll.xlqPrice(C156)</f>
        <v>#NAME?</v>
      </c>
      <c r="E156" s="9" t="e">
        <f t="shared" ca="1" si="22"/>
        <v>#NAME?</v>
      </c>
      <c r="F156" s="9">
        <f t="shared" ca="1" si="23"/>
        <v>1</v>
      </c>
      <c r="G156" s="8">
        <f t="shared" ca="1" si="24"/>
        <v>0</v>
      </c>
      <c r="H156" s="8">
        <f t="shared" ca="1" si="25"/>
        <v>0</v>
      </c>
      <c r="I156" s="8">
        <f t="shared" ca="1" si="26"/>
        <v>0</v>
      </c>
      <c r="J156" s="6" t="e">
        <f ca="1">_xll.xlqxhSMA($C156,$L$4,$J$7,$K$3)</f>
        <v>#NAME?</v>
      </c>
      <c r="K156" s="7" t="e">
        <f ca="1">_xll.xlqhClose($C156,K$8,$K$3)</f>
        <v>#NAME?</v>
      </c>
      <c r="L156" s="7" t="e">
        <f ca="1">_xll.xlqhClose($C156,L$8,$K$3)</f>
        <v>#NAME?</v>
      </c>
      <c r="N156" s="9">
        <f t="shared" ca="1" si="27"/>
        <v>1</v>
      </c>
      <c r="O156" s="9">
        <f t="shared" ca="1" si="28"/>
        <v>1</v>
      </c>
      <c r="P156" s="9">
        <f t="shared" ca="1" si="29"/>
        <v>1</v>
      </c>
      <c r="Q156" s="9">
        <f t="shared" ca="1" si="30"/>
        <v>1</v>
      </c>
      <c r="R156" s="9">
        <f t="shared" ca="1" si="31"/>
        <v>0</v>
      </c>
    </row>
    <row r="157" spans="2:18" x14ac:dyDescent="0.25">
      <c r="B157" s="17" t="s">
        <v>1413</v>
      </c>
      <c r="C157" s="18" t="s">
        <v>1414</v>
      </c>
      <c r="D157" s="7" t="e">
        <f ca="1">_xll.xlqPrice(C157)</f>
        <v>#NAME?</v>
      </c>
      <c r="E157" s="9" t="e">
        <f t="shared" ca="1" si="22"/>
        <v>#NAME?</v>
      </c>
      <c r="F157" s="9">
        <f t="shared" ca="1" si="23"/>
        <v>1</v>
      </c>
      <c r="G157" s="8">
        <f t="shared" ca="1" si="24"/>
        <v>0</v>
      </c>
      <c r="H157" s="8">
        <f t="shared" ca="1" si="25"/>
        <v>0</v>
      </c>
      <c r="I157" s="8">
        <f t="shared" ca="1" si="26"/>
        <v>0</v>
      </c>
      <c r="J157" s="6" t="e">
        <f ca="1">_xll.xlqxhSMA($C157,$L$4,$J$7,$K$3)</f>
        <v>#NAME?</v>
      </c>
      <c r="K157" s="7" t="e">
        <f ca="1">_xll.xlqhClose($C157,K$8,$K$3)</f>
        <v>#NAME?</v>
      </c>
      <c r="L157" s="7" t="e">
        <f ca="1">_xll.xlqhClose($C157,L$8,$K$3)</f>
        <v>#NAME?</v>
      </c>
      <c r="N157" s="9">
        <f t="shared" ca="1" si="27"/>
        <v>1</v>
      </c>
      <c r="O157" s="9">
        <f t="shared" ca="1" si="28"/>
        <v>1</v>
      </c>
      <c r="P157" s="9">
        <f t="shared" ca="1" si="29"/>
        <v>1</v>
      </c>
      <c r="Q157" s="9">
        <f t="shared" ca="1" si="30"/>
        <v>1</v>
      </c>
      <c r="R157" s="9">
        <f t="shared" ca="1" si="31"/>
        <v>0</v>
      </c>
    </row>
    <row r="158" spans="2:18" x14ac:dyDescent="0.25">
      <c r="B158" s="17" t="s">
        <v>796</v>
      </c>
      <c r="C158" s="18" t="s">
        <v>797</v>
      </c>
      <c r="D158" s="7" t="e">
        <f ca="1">_xll.xlqPrice(C158)</f>
        <v>#NAME?</v>
      </c>
      <c r="E158" s="9" t="e">
        <f t="shared" ca="1" si="22"/>
        <v>#NAME?</v>
      </c>
      <c r="F158" s="9">
        <f t="shared" ca="1" si="23"/>
        <v>1</v>
      </c>
      <c r="G158" s="8">
        <f t="shared" ca="1" si="24"/>
        <v>0</v>
      </c>
      <c r="H158" s="8">
        <f t="shared" ca="1" si="25"/>
        <v>0</v>
      </c>
      <c r="I158" s="8">
        <f t="shared" ca="1" si="26"/>
        <v>0</v>
      </c>
      <c r="J158" s="6" t="e">
        <f ca="1">_xll.xlqxhSMA($C158,$L$4,$J$7,$K$3)</f>
        <v>#NAME?</v>
      </c>
      <c r="K158" s="7" t="e">
        <f ca="1">_xll.xlqhClose($C158,K$8,$K$3)</f>
        <v>#NAME?</v>
      </c>
      <c r="L158" s="7" t="e">
        <f ca="1">_xll.xlqhClose($C158,L$8,$K$3)</f>
        <v>#NAME?</v>
      </c>
      <c r="N158" s="9">
        <f t="shared" ca="1" si="27"/>
        <v>1</v>
      </c>
      <c r="O158" s="9">
        <f t="shared" ca="1" si="28"/>
        <v>1</v>
      </c>
      <c r="P158" s="9">
        <f t="shared" ca="1" si="29"/>
        <v>1</v>
      </c>
      <c r="Q158" s="9">
        <f t="shared" ca="1" si="30"/>
        <v>1</v>
      </c>
      <c r="R158" s="9">
        <f t="shared" ca="1" si="31"/>
        <v>0</v>
      </c>
    </row>
    <row r="159" spans="2:18" x14ac:dyDescent="0.25">
      <c r="B159" s="17" t="s">
        <v>382</v>
      </c>
      <c r="C159" s="18" t="s">
        <v>383</v>
      </c>
      <c r="D159" s="7" t="e">
        <f ca="1">_xll.xlqPrice(C159)</f>
        <v>#NAME?</v>
      </c>
      <c r="E159" s="9" t="e">
        <f t="shared" ca="1" si="22"/>
        <v>#NAME?</v>
      </c>
      <c r="F159" s="9">
        <f t="shared" ca="1" si="23"/>
        <v>1</v>
      </c>
      <c r="G159" s="8">
        <f t="shared" ca="1" si="24"/>
        <v>0</v>
      </c>
      <c r="H159" s="8">
        <f t="shared" ca="1" si="25"/>
        <v>0</v>
      </c>
      <c r="I159" s="8">
        <f t="shared" ca="1" si="26"/>
        <v>0</v>
      </c>
      <c r="J159" s="6" t="e">
        <f ca="1">_xll.xlqxhSMA($C159,$L$4,$J$7,$K$3)</f>
        <v>#NAME?</v>
      </c>
      <c r="K159" s="7" t="e">
        <f ca="1">_xll.xlqhClose($C159,K$8,$K$3)</f>
        <v>#NAME?</v>
      </c>
      <c r="L159" s="7" t="e">
        <f ca="1">_xll.xlqhClose($C159,L$8,$K$3)</f>
        <v>#NAME?</v>
      </c>
      <c r="N159" s="9">
        <f t="shared" ca="1" si="27"/>
        <v>1</v>
      </c>
      <c r="O159" s="9">
        <f t="shared" ca="1" si="28"/>
        <v>1</v>
      </c>
      <c r="P159" s="9">
        <f t="shared" ca="1" si="29"/>
        <v>1</v>
      </c>
      <c r="Q159" s="9">
        <f t="shared" ca="1" si="30"/>
        <v>1</v>
      </c>
      <c r="R159" s="9">
        <f t="shared" ca="1" si="31"/>
        <v>0</v>
      </c>
    </row>
    <row r="160" spans="2:18" x14ac:dyDescent="0.25">
      <c r="B160" s="17" t="s">
        <v>1021</v>
      </c>
      <c r="C160" s="18" t="s">
        <v>1022</v>
      </c>
      <c r="D160" s="7" t="e">
        <f ca="1">_xll.xlqPrice(C160)</f>
        <v>#NAME?</v>
      </c>
      <c r="E160" s="9" t="e">
        <f t="shared" ca="1" si="22"/>
        <v>#NAME?</v>
      </c>
      <c r="F160" s="9">
        <f t="shared" ca="1" si="23"/>
        <v>1</v>
      </c>
      <c r="G160" s="8">
        <f t="shared" ca="1" si="24"/>
        <v>0</v>
      </c>
      <c r="H160" s="8">
        <f t="shared" ca="1" si="25"/>
        <v>0</v>
      </c>
      <c r="I160" s="8">
        <f t="shared" ca="1" si="26"/>
        <v>0</v>
      </c>
      <c r="J160" s="6" t="e">
        <f ca="1">_xll.xlqxhSMA($C160,$L$4,$J$7,$K$3)</f>
        <v>#NAME?</v>
      </c>
      <c r="K160" s="7" t="e">
        <f ca="1">_xll.xlqhClose($C160,K$8,$K$3)</f>
        <v>#NAME?</v>
      </c>
      <c r="L160" s="7" t="e">
        <f ca="1">_xll.xlqhClose($C160,L$8,$K$3)</f>
        <v>#NAME?</v>
      </c>
      <c r="N160" s="9">
        <f t="shared" ca="1" si="27"/>
        <v>1</v>
      </c>
      <c r="O160" s="9">
        <f t="shared" ca="1" si="28"/>
        <v>1</v>
      </c>
      <c r="P160" s="9">
        <f t="shared" ca="1" si="29"/>
        <v>1</v>
      </c>
      <c r="Q160" s="9">
        <f t="shared" ca="1" si="30"/>
        <v>1</v>
      </c>
      <c r="R160" s="9">
        <f t="shared" ca="1" si="31"/>
        <v>0</v>
      </c>
    </row>
    <row r="161" spans="2:18" x14ac:dyDescent="0.25">
      <c r="B161" s="17" t="s">
        <v>1977</v>
      </c>
      <c r="C161" s="18" t="s">
        <v>1978</v>
      </c>
      <c r="D161" s="7" t="e">
        <f ca="1">_xll.xlqPrice(C161)</f>
        <v>#NAME?</v>
      </c>
      <c r="E161" s="9" t="e">
        <f t="shared" ca="1" si="22"/>
        <v>#NAME?</v>
      </c>
      <c r="F161" s="9">
        <f t="shared" ca="1" si="23"/>
        <v>1</v>
      </c>
      <c r="G161" s="8">
        <f t="shared" ca="1" si="24"/>
        <v>0</v>
      </c>
      <c r="H161" s="8">
        <f t="shared" ca="1" si="25"/>
        <v>0</v>
      </c>
      <c r="I161" s="8">
        <f t="shared" ca="1" si="26"/>
        <v>0</v>
      </c>
      <c r="J161" s="6" t="e">
        <f ca="1">_xll.xlqxhSMA($C161,$L$4,$J$7,$K$3)</f>
        <v>#NAME?</v>
      </c>
      <c r="K161" s="7" t="e">
        <f ca="1">_xll.xlqhClose($C161,K$8,$K$3)</f>
        <v>#NAME?</v>
      </c>
      <c r="L161" s="7" t="e">
        <f ca="1">_xll.xlqhClose($C161,L$8,$K$3)</f>
        <v>#NAME?</v>
      </c>
      <c r="N161" s="9">
        <f t="shared" ca="1" si="27"/>
        <v>1</v>
      </c>
      <c r="O161" s="9">
        <f t="shared" ca="1" si="28"/>
        <v>1</v>
      </c>
      <c r="P161" s="9">
        <f t="shared" ca="1" si="29"/>
        <v>1</v>
      </c>
      <c r="Q161" s="9">
        <f t="shared" ca="1" si="30"/>
        <v>1</v>
      </c>
      <c r="R161" s="9">
        <f t="shared" ca="1" si="31"/>
        <v>0</v>
      </c>
    </row>
    <row r="162" spans="2:18" x14ac:dyDescent="0.25">
      <c r="B162" s="17" t="s">
        <v>882</v>
      </c>
      <c r="C162" s="18" t="s">
        <v>883</v>
      </c>
      <c r="D162" s="7" t="e">
        <f ca="1">_xll.xlqPrice(C162)</f>
        <v>#NAME?</v>
      </c>
      <c r="E162" s="9" t="e">
        <f t="shared" ca="1" si="22"/>
        <v>#NAME?</v>
      </c>
      <c r="F162" s="9">
        <f t="shared" ca="1" si="23"/>
        <v>1</v>
      </c>
      <c r="G162" s="8">
        <f t="shared" ca="1" si="24"/>
        <v>0</v>
      </c>
      <c r="H162" s="8">
        <f t="shared" ca="1" si="25"/>
        <v>0</v>
      </c>
      <c r="I162" s="8">
        <f t="shared" ca="1" si="26"/>
        <v>0</v>
      </c>
      <c r="J162" s="6" t="e">
        <f ca="1">_xll.xlqxhSMA($C162,$L$4,$J$7,$K$3)</f>
        <v>#NAME?</v>
      </c>
      <c r="K162" s="7" t="e">
        <f ca="1">_xll.xlqhClose($C162,K$8,$K$3)</f>
        <v>#NAME?</v>
      </c>
      <c r="L162" s="7" t="e">
        <f ca="1">_xll.xlqhClose($C162,L$8,$K$3)</f>
        <v>#NAME?</v>
      </c>
      <c r="N162" s="9">
        <f t="shared" ca="1" si="27"/>
        <v>1</v>
      </c>
      <c r="O162" s="9">
        <f t="shared" ca="1" si="28"/>
        <v>1</v>
      </c>
      <c r="P162" s="9">
        <f t="shared" ca="1" si="29"/>
        <v>1</v>
      </c>
      <c r="Q162" s="9">
        <f t="shared" ca="1" si="30"/>
        <v>1</v>
      </c>
      <c r="R162" s="9">
        <f t="shared" ca="1" si="31"/>
        <v>0</v>
      </c>
    </row>
    <row r="163" spans="2:18" x14ac:dyDescent="0.25">
      <c r="B163" s="17" t="s">
        <v>1923</v>
      </c>
      <c r="C163" s="18" t="s">
        <v>1924</v>
      </c>
      <c r="D163" s="7" t="e">
        <f ca="1">_xll.xlqPrice(C163)</f>
        <v>#NAME?</v>
      </c>
      <c r="E163" s="9" t="e">
        <f t="shared" ca="1" si="22"/>
        <v>#NAME?</v>
      </c>
      <c r="F163" s="9">
        <f t="shared" ca="1" si="23"/>
        <v>1</v>
      </c>
      <c r="G163" s="8">
        <f t="shared" ca="1" si="24"/>
        <v>0</v>
      </c>
      <c r="H163" s="8">
        <f t="shared" ca="1" si="25"/>
        <v>0</v>
      </c>
      <c r="I163" s="8">
        <f t="shared" ca="1" si="26"/>
        <v>0</v>
      </c>
      <c r="J163" s="6" t="e">
        <f ca="1">_xll.xlqxhSMA($C163,$L$4,$J$7,$K$3)</f>
        <v>#NAME?</v>
      </c>
      <c r="K163" s="7" t="e">
        <f ca="1">_xll.xlqhClose($C163,K$8,$K$3)</f>
        <v>#NAME?</v>
      </c>
      <c r="L163" s="7" t="e">
        <f ca="1">_xll.xlqhClose($C163,L$8,$K$3)</f>
        <v>#NAME?</v>
      </c>
      <c r="N163" s="9">
        <f t="shared" ca="1" si="27"/>
        <v>1</v>
      </c>
      <c r="O163" s="9">
        <f t="shared" ca="1" si="28"/>
        <v>1</v>
      </c>
      <c r="P163" s="9">
        <f t="shared" ca="1" si="29"/>
        <v>1</v>
      </c>
      <c r="Q163" s="9">
        <f t="shared" ca="1" si="30"/>
        <v>1</v>
      </c>
      <c r="R163" s="9">
        <f t="shared" ca="1" si="31"/>
        <v>0</v>
      </c>
    </row>
    <row r="164" spans="2:18" x14ac:dyDescent="0.25">
      <c r="B164" s="17" t="s">
        <v>1125</v>
      </c>
      <c r="C164" s="18" t="s">
        <v>1126</v>
      </c>
      <c r="D164" s="7" t="e">
        <f ca="1">_xll.xlqPrice(C164)</f>
        <v>#NAME?</v>
      </c>
      <c r="E164" s="9" t="e">
        <f t="shared" ca="1" si="22"/>
        <v>#NAME?</v>
      </c>
      <c r="F164" s="9">
        <f t="shared" ca="1" si="23"/>
        <v>1</v>
      </c>
      <c r="G164" s="8">
        <f t="shared" ca="1" si="24"/>
        <v>0</v>
      </c>
      <c r="H164" s="8">
        <f t="shared" ca="1" si="25"/>
        <v>0</v>
      </c>
      <c r="I164" s="8">
        <f t="shared" ca="1" si="26"/>
        <v>0</v>
      </c>
      <c r="J164" s="6" t="e">
        <f ca="1">_xll.xlqxhSMA($C164,$L$4,$J$7,$K$3)</f>
        <v>#NAME?</v>
      </c>
      <c r="K164" s="7" t="e">
        <f ca="1">_xll.xlqhClose($C164,K$8,$K$3)</f>
        <v>#NAME?</v>
      </c>
      <c r="L164" s="7" t="e">
        <f ca="1">_xll.xlqhClose($C164,L$8,$K$3)</f>
        <v>#NAME?</v>
      </c>
      <c r="N164" s="9">
        <f t="shared" ca="1" si="27"/>
        <v>1</v>
      </c>
      <c r="O164" s="9">
        <f t="shared" ca="1" si="28"/>
        <v>1</v>
      </c>
      <c r="P164" s="9">
        <f t="shared" ca="1" si="29"/>
        <v>1</v>
      </c>
      <c r="Q164" s="9">
        <f t="shared" ca="1" si="30"/>
        <v>1</v>
      </c>
      <c r="R164" s="9">
        <f t="shared" ca="1" si="31"/>
        <v>0</v>
      </c>
    </row>
    <row r="165" spans="2:18" x14ac:dyDescent="0.25">
      <c r="B165" s="17" t="s">
        <v>1151</v>
      </c>
      <c r="C165" s="18" t="s">
        <v>1152</v>
      </c>
      <c r="D165" s="7" t="e">
        <f ca="1">_xll.xlqPrice(C165)</f>
        <v>#NAME?</v>
      </c>
      <c r="E165" s="9" t="e">
        <f t="shared" ca="1" si="22"/>
        <v>#NAME?</v>
      </c>
      <c r="F165" s="9">
        <f t="shared" ca="1" si="23"/>
        <v>1</v>
      </c>
      <c r="G165" s="8">
        <f t="shared" ca="1" si="24"/>
        <v>0</v>
      </c>
      <c r="H165" s="8">
        <f t="shared" ca="1" si="25"/>
        <v>0</v>
      </c>
      <c r="I165" s="8">
        <f t="shared" ca="1" si="26"/>
        <v>0</v>
      </c>
      <c r="J165" s="6" t="e">
        <f ca="1">_xll.xlqxhSMA($C165,$L$4,$J$7,$K$3)</f>
        <v>#NAME?</v>
      </c>
      <c r="K165" s="7" t="e">
        <f ca="1">_xll.xlqhClose($C165,K$8,$K$3)</f>
        <v>#NAME?</v>
      </c>
      <c r="L165" s="7" t="e">
        <f ca="1">_xll.xlqhClose($C165,L$8,$K$3)</f>
        <v>#NAME?</v>
      </c>
      <c r="N165" s="9">
        <f t="shared" ca="1" si="27"/>
        <v>1</v>
      </c>
      <c r="O165" s="9">
        <f t="shared" ca="1" si="28"/>
        <v>1</v>
      </c>
      <c r="P165" s="9">
        <f t="shared" ca="1" si="29"/>
        <v>1</v>
      </c>
      <c r="Q165" s="9">
        <f t="shared" ca="1" si="30"/>
        <v>1</v>
      </c>
      <c r="R165" s="9">
        <f t="shared" ca="1" si="31"/>
        <v>0</v>
      </c>
    </row>
    <row r="166" spans="2:18" x14ac:dyDescent="0.25">
      <c r="B166" s="17" t="s">
        <v>412</v>
      </c>
      <c r="C166" s="18" t="s">
        <v>413</v>
      </c>
      <c r="D166" s="7" t="e">
        <f ca="1">_xll.xlqPrice(C166)</f>
        <v>#NAME?</v>
      </c>
      <c r="E166" s="9" t="e">
        <f t="shared" ca="1" si="22"/>
        <v>#NAME?</v>
      </c>
      <c r="F166" s="9">
        <f t="shared" ca="1" si="23"/>
        <v>1</v>
      </c>
      <c r="G166" s="8">
        <f t="shared" ca="1" si="24"/>
        <v>0</v>
      </c>
      <c r="H166" s="8">
        <f t="shared" ca="1" si="25"/>
        <v>0</v>
      </c>
      <c r="I166" s="8">
        <f t="shared" ca="1" si="26"/>
        <v>0</v>
      </c>
      <c r="J166" s="6" t="e">
        <f ca="1">_xll.xlqxhSMA($C166,$L$4,$J$7,$K$3)</f>
        <v>#NAME?</v>
      </c>
      <c r="K166" s="7" t="e">
        <f ca="1">_xll.xlqhClose($C166,K$8,$K$3)</f>
        <v>#NAME?</v>
      </c>
      <c r="L166" s="7" t="e">
        <f ca="1">_xll.xlqhClose($C166,L$8,$K$3)</f>
        <v>#NAME?</v>
      </c>
      <c r="N166" s="9">
        <f t="shared" ca="1" si="27"/>
        <v>1</v>
      </c>
      <c r="O166" s="9">
        <f t="shared" ca="1" si="28"/>
        <v>1</v>
      </c>
      <c r="P166" s="9">
        <f t="shared" ca="1" si="29"/>
        <v>1</v>
      </c>
      <c r="Q166" s="9">
        <f t="shared" ca="1" si="30"/>
        <v>1</v>
      </c>
      <c r="R166" s="9">
        <f t="shared" ca="1" si="31"/>
        <v>0</v>
      </c>
    </row>
    <row r="167" spans="2:18" x14ac:dyDescent="0.25">
      <c r="B167" s="17" t="s">
        <v>1135</v>
      </c>
      <c r="C167" s="18" t="s">
        <v>1136</v>
      </c>
      <c r="D167" s="7" t="e">
        <f ca="1">_xll.xlqPrice(C167)</f>
        <v>#NAME?</v>
      </c>
      <c r="E167" s="9" t="e">
        <f t="shared" ca="1" si="22"/>
        <v>#NAME?</v>
      </c>
      <c r="F167" s="9">
        <f t="shared" ca="1" si="23"/>
        <v>1</v>
      </c>
      <c r="G167" s="8">
        <f t="shared" ca="1" si="24"/>
        <v>0</v>
      </c>
      <c r="H167" s="8">
        <f t="shared" ca="1" si="25"/>
        <v>0</v>
      </c>
      <c r="I167" s="8">
        <f t="shared" ca="1" si="26"/>
        <v>0</v>
      </c>
      <c r="J167" s="6" t="e">
        <f ca="1">_xll.xlqxhSMA($C167,$L$4,$J$7,$K$3)</f>
        <v>#NAME?</v>
      </c>
      <c r="K167" s="7" t="e">
        <f ca="1">_xll.xlqhClose($C167,K$8,$K$3)</f>
        <v>#NAME?</v>
      </c>
      <c r="L167" s="7" t="e">
        <f ca="1">_xll.xlqhClose($C167,L$8,$K$3)</f>
        <v>#NAME?</v>
      </c>
      <c r="N167" s="9">
        <f t="shared" ca="1" si="27"/>
        <v>1</v>
      </c>
      <c r="O167" s="9">
        <f t="shared" ca="1" si="28"/>
        <v>1</v>
      </c>
      <c r="P167" s="9">
        <f t="shared" ca="1" si="29"/>
        <v>1</v>
      </c>
      <c r="Q167" s="9">
        <f t="shared" ca="1" si="30"/>
        <v>1</v>
      </c>
      <c r="R167" s="9">
        <f t="shared" ca="1" si="31"/>
        <v>0</v>
      </c>
    </row>
    <row r="168" spans="2:18" x14ac:dyDescent="0.25">
      <c r="B168" s="17" t="s">
        <v>1965</v>
      </c>
      <c r="C168" s="18" t="s">
        <v>1966</v>
      </c>
      <c r="D168" s="7" t="e">
        <f ca="1">_xll.xlqPrice(C168)</f>
        <v>#NAME?</v>
      </c>
      <c r="E168" s="9" t="e">
        <f t="shared" ca="1" si="22"/>
        <v>#NAME?</v>
      </c>
      <c r="F168" s="9">
        <f t="shared" ca="1" si="23"/>
        <v>1</v>
      </c>
      <c r="G168" s="8">
        <f t="shared" ca="1" si="24"/>
        <v>0</v>
      </c>
      <c r="H168" s="8">
        <f t="shared" ca="1" si="25"/>
        <v>0</v>
      </c>
      <c r="I168" s="8">
        <f t="shared" ca="1" si="26"/>
        <v>0</v>
      </c>
      <c r="J168" s="6" t="e">
        <f ca="1">_xll.xlqxhSMA($C168,$L$4,$J$7,$K$3)</f>
        <v>#NAME?</v>
      </c>
      <c r="K168" s="7" t="e">
        <f ca="1">_xll.xlqhClose($C168,K$8,$K$3)</f>
        <v>#NAME?</v>
      </c>
      <c r="L168" s="7" t="e">
        <f ca="1">_xll.xlqhClose($C168,L$8,$K$3)</f>
        <v>#NAME?</v>
      </c>
      <c r="N168" s="9">
        <f t="shared" ca="1" si="27"/>
        <v>1</v>
      </c>
      <c r="O168" s="9">
        <f t="shared" ca="1" si="28"/>
        <v>1</v>
      </c>
      <c r="P168" s="9">
        <f t="shared" ca="1" si="29"/>
        <v>1</v>
      </c>
      <c r="Q168" s="9">
        <f t="shared" ca="1" si="30"/>
        <v>1</v>
      </c>
      <c r="R168" s="9">
        <f t="shared" ca="1" si="31"/>
        <v>0</v>
      </c>
    </row>
    <row r="169" spans="2:18" x14ac:dyDescent="0.25">
      <c r="B169" s="17" t="s">
        <v>1863</v>
      </c>
      <c r="C169" s="18" t="s">
        <v>1864</v>
      </c>
      <c r="D169" s="7" t="e">
        <f ca="1">_xll.xlqPrice(C169)</f>
        <v>#NAME?</v>
      </c>
      <c r="E169" s="9" t="e">
        <f t="shared" ca="1" si="22"/>
        <v>#NAME?</v>
      </c>
      <c r="F169" s="9">
        <f t="shared" ca="1" si="23"/>
        <v>1</v>
      </c>
      <c r="G169" s="8">
        <f t="shared" ca="1" si="24"/>
        <v>0</v>
      </c>
      <c r="H169" s="8">
        <f t="shared" ca="1" si="25"/>
        <v>0</v>
      </c>
      <c r="I169" s="8">
        <f t="shared" ca="1" si="26"/>
        <v>0</v>
      </c>
      <c r="J169" s="6" t="e">
        <f ca="1">_xll.xlqxhSMA($C169,$L$4,$J$7,$K$3)</f>
        <v>#NAME?</v>
      </c>
      <c r="K169" s="7" t="e">
        <f ca="1">_xll.xlqhClose($C169,K$8,$K$3)</f>
        <v>#NAME?</v>
      </c>
      <c r="L169" s="7" t="e">
        <f ca="1">_xll.xlqhClose($C169,L$8,$K$3)</f>
        <v>#NAME?</v>
      </c>
      <c r="N169" s="9">
        <f t="shared" ca="1" si="27"/>
        <v>1</v>
      </c>
      <c r="O169" s="9">
        <f t="shared" ca="1" si="28"/>
        <v>1</v>
      </c>
      <c r="P169" s="9">
        <f t="shared" ca="1" si="29"/>
        <v>1</v>
      </c>
      <c r="Q169" s="9">
        <f t="shared" ca="1" si="30"/>
        <v>1</v>
      </c>
      <c r="R169" s="9">
        <f t="shared" ca="1" si="31"/>
        <v>0</v>
      </c>
    </row>
    <row r="170" spans="2:18" x14ac:dyDescent="0.25">
      <c r="B170" s="17" t="s">
        <v>1993</v>
      </c>
      <c r="C170" s="18" t="s">
        <v>1994</v>
      </c>
      <c r="D170" s="7" t="e">
        <f ca="1">_xll.xlqPrice(C170)</f>
        <v>#NAME?</v>
      </c>
      <c r="E170" s="9" t="e">
        <f t="shared" ca="1" si="22"/>
        <v>#NAME?</v>
      </c>
      <c r="F170" s="9">
        <f t="shared" ca="1" si="23"/>
        <v>1</v>
      </c>
      <c r="G170" s="8">
        <f t="shared" ca="1" si="24"/>
        <v>0</v>
      </c>
      <c r="H170" s="8">
        <f t="shared" ca="1" si="25"/>
        <v>0</v>
      </c>
      <c r="I170" s="8">
        <f t="shared" ca="1" si="26"/>
        <v>0</v>
      </c>
      <c r="J170" s="6" t="e">
        <f ca="1">_xll.xlqxhSMA($C170,$L$4,$J$7,$K$3)</f>
        <v>#NAME?</v>
      </c>
      <c r="K170" s="7" t="e">
        <f ca="1">_xll.xlqhClose($C170,K$8,$K$3)</f>
        <v>#NAME?</v>
      </c>
      <c r="L170" s="7" t="e">
        <f ca="1">_xll.xlqhClose($C170,L$8,$K$3)</f>
        <v>#NAME?</v>
      </c>
      <c r="N170" s="9">
        <f t="shared" ca="1" si="27"/>
        <v>1</v>
      </c>
      <c r="O170" s="9">
        <f t="shared" ca="1" si="28"/>
        <v>1</v>
      </c>
      <c r="P170" s="9">
        <f t="shared" ca="1" si="29"/>
        <v>1</v>
      </c>
      <c r="Q170" s="9">
        <f t="shared" ca="1" si="30"/>
        <v>1</v>
      </c>
      <c r="R170" s="9">
        <f t="shared" ca="1" si="31"/>
        <v>0</v>
      </c>
    </row>
    <row r="171" spans="2:18" x14ac:dyDescent="0.25">
      <c r="B171" s="17" t="s">
        <v>1595</v>
      </c>
      <c r="C171" s="18" t="s">
        <v>1596</v>
      </c>
      <c r="D171" s="7" t="e">
        <f ca="1">_xll.xlqPrice(C171)</f>
        <v>#NAME?</v>
      </c>
      <c r="E171" s="9" t="e">
        <f t="shared" ca="1" si="22"/>
        <v>#NAME?</v>
      </c>
      <c r="F171" s="9">
        <f t="shared" ca="1" si="23"/>
        <v>1</v>
      </c>
      <c r="G171" s="8">
        <f t="shared" ca="1" si="24"/>
        <v>0</v>
      </c>
      <c r="H171" s="8">
        <f t="shared" ca="1" si="25"/>
        <v>0</v>
      </c>
      <c r="I171" s="8">
        <f t="shared" ca="1" si="26"/>
        <v>0</v>
      </c>
      <c r="J171" s="6" t="e">
        <f ca="1">_xll.xlqxhSMA($C171,$L$4,$J$7,$K$3)</f>
        <v>#NAME?</v>
      </c>
      <c r="K171" s="7" t="e">
        <f ca="1">_xll.xlqhClose($C171,K$8,$K$3)</f>
        <v>#NAME?</v>
      </c>
      <c r="L171" s="7" t="e">
        <f ca="1">_xll.xlqhClose($C171,L$8,$K$3)</f>
        <v>#NAME?</v>
      </c>
      <c r="N171" s="9">
        <f t="shared" ca="1" si="27"/>
        <v>1</v>
      </c>
      <c r="O171" s="9">
        <f t="shared" ca="1" si="28"/>
        <v>1</v>
      </c>
      <c r="P171" s="9">
        <f t="shared" ca="1" si="29"/>
        <v>1</v>
      </c>
      <c r="Q171" s="9">
        <f t="shared" ca="1" si="30"/>
        <v>1</v>
      </c>
      <c r="R171" s="9">
        <f t="shared" ca="1" si="31"/>
        <v>0</v>
      </c>
    </row>
    <row r="172" spans="2:18" x14ac:dyDescent="0.25">
      <c r="B172" t="s">
        <v>1989</v>
      </c>
      <c r="C172" s="39" t="s">
        <v>1990</v>
      </c>
      <c r="D172" s="7" t="e">
        <f ca="1">_xll.xlqPrice(C172)</f>
        <v>#NAME?</v>
      </c>
      <c r="E172" s="9" t="e">
        <f t="shared" ca="1" si="22"/>
        <v>#NAME?</v>
      </c>
      <c r="F172" s="9">
        <f t="shared" ca="1" si="23"/>
        <v>1</v>
      </c>
      <c r="G172" s="8">
        <f t="shared" ca="1" si="24"/>
        <v>0</v>
      </c>
      <c r="H172" s="8">
        <f t="shared" ca="1" si="25"/>
        <v>0</v>
      </c>
      <c r="I172" s="8">
        <f t="shared" ca="1" si="26"/>
        <v>0</v>
      </c>
      <c r="J172" s="6" t="e">
        <f ca="1">_xll.xlqxhSMA($C172,$L$4,$J$7,$K$3)</f>
        <v>#NAME?</v>
      </c>
      <c r="K172" s="7" t="e">
        <f ca="1">_xll.xlqhClose($C172,K$8,$K$3)</f>
        <v>#NAME?</v>
      </c>
      <c r="L172" s="7" t="e">
        <f ca="1">_xll.xlqhClose($C172,L$8,$K$3)</f>
        <v>#NAME?</v>
      </c>
      <c r="N172" s="9">
        <f t="shared" ca="1" si="27"/>
        <v>1</v>
      </c>
      <c r="O172" s="9">
        <f t="shared" ca="1" si="28"/>
        <v>1</v>
      </c>
      <c r="P172" s="9">
        <f t="shared" ca="1" si="29"/>
        <v>1</v>
      </c>
      <c r="Q172" s="9">
        <f t="shared" ca="1" si="30"/>
        <v>1</v>
      </c>
      <c r="R172" s="9">
        <f t="shared" ca="1" si="31"/>
        <v>0</v>
      </c>
    </row>
    <row r="173" spans="2:18" x14ac:dyDescent="0.25">
      <c r="B173" s="17" t="s">
        <v>228</v>
      </c>
      <c r="C173" s="18" t="s">
        <v>229</v>
      </c>
      <c r="D173" s="7" t="e">
        <f ca="1">_xll.xlqPrice(C173)</f>
        <v>#NAME?</v>
      </c>
      <c r="E173" s="9" t="e">
        <f t="shared" ca="1" si="22"/>
        <v>#NAME?</v>
      </c>
      <c r="F173" s="9">
        <f t="shared" ca="1" si="23"/>
        <v>1</v>
      </c>
      <c r="G173" s="8">
        <f t="shared" ca="1" si="24"/>
        <v>0</v>
      </c>
      <c r="H173" s="8">
        <f t="shared" ca="1" si="25"/>
        <v>0</v>
      </c>
      <c r="I173" s="8">
        <f t="shared" ca="1" si="26"/>
        <v>0</v>
      </c>
      <c r="J173" s="6" t="e">
        <f ca="1">_xll.xlqxhSMA($C173,$L$4,$J$7,$K$3)</f>
        <v>#NAME?</v>
      </c>
      <c r="K173" s="7" t="e">
        <f ca="1">_xll.xlqhClose($C173,K$8,$K$3)</f>
        <v>#NAME?</v>
      </c>
      <c r="L173" s="7" t="e">
        <f ca="1">_xll.xlqhClose($C173,L$8,$K$3)</f>
        <v>#NAME?</v>
      </c>
      <c r="N173" s="9">
        <f t="shared" ca="1" si="27"/>
        <v>1</v>
      </c>
      <c r="O173" s="9">
        <f t="shared" ca="1" si="28"/>
        <v>1</v>
      </c>
      <c r="P173" s="9">
        <f t="shared" ca="1" si="29"/>
        <v>1</v>
      </c>
      <c r="Q173" s="9">
        <f t="shared" ca="1" si="30"/>
        <v>1</v>
      </c>
      <c r="R173" s="9">
        <f t="shared" ca="1" si="31"/>
        <v>0</v>
      </c>
    </row>
    <row r="174" spans="2:18" x14ac:dyDescent="0.25">
      <c r="B174" s="17" t="s">
        <v>248</v>
      </c>
      <c r="C174" s="18" t="s">
        <v>249</v>
      </c>
      <c r="D174" s="7" t="e">
        <f ca="1">_xll.xlqPrice(C174)</f>
        <v>#NAME?</v>
      </c>
      <c r="E174" s="9" t="e">
        <f t="shared" ca="1" si="22"/>
        <v>#NAME?</v>
      </c>
      <c r="F174" s="9">
        <f t="shared" ca="1" si="23"/>
        <v>1</v>
      </c>
      <c r="G174" s="8">
        <f t="shared" ca="1" si="24"/>
        <v>0</v>
      </c>
      <c r="H174" s="8">
        <f t="shared" ca="1" si="25"/>
        <v>0</v>
      </c>
      <c r="I174" s="8">
        <f t="shared" ca="1" si="26"/>
        <v>0</v>
      </c>
      <c r="J174" s="6" t="e">
        <f ca="1">_xll.xlqxhSMA($C174,$L$4,$J$7,$K$3)</f>
        <v>#NAME?</v>
      </c>
      <c r="K174" s="7" t="e">
        <f ca="1">_xll.xlqhClose($C174,K$8,$K$3)</f>
        <v>#NAME?</v>
      </c>
      <c r="L174" s="7" t="e">
        <f ca="1">_xll.xlqhClose($C174,L$8,$K$3)</f>
        <v>#NAME?</v>
      </c>
      <c r="N174" s="9">
        <f t="shared" ca="1" si="27"/>
        <v>1</v>
      </c>
      <c r="O174" s="9">
        <f t="shared" ca="1" si="28"/>
        <v>1</v>
      </c>
      <c r="P174" s="9">
        <f t="shared" ca="1" si="29"/>
        <v>1</v>
      </c>
      <c r="Q174" s="9">
        <f t="shared" ca="1" si="30"/>
        <v>1</v>
      </c>
      <c r="R174" s="9">
        <f t="shared" ca="1" si="31"/>
        <v>0</v>
      </c>
    </row>
    <row r="175" spans="2:18" x14ac:dyDescent="0.25">
      <c r="B175" s="17" t="s">
        <v>1701</v>
      </c>
      <c r="C175" s="18" t="s">
        <v>1702</v>
      </c>
      <c r="D175" s="7" t="e">
        <f ca="1">_xll.xlqPrice(C175)</f>
        <v>#NAME?</v>
      </c>
      <c r="E175" s="9" t="e">
        <f t="shared" ca="1" si="22"/>
        <v>#NAME?</v>
      </c>
      <c r="F175" s="9">
        <f t="shared" ca="1" si="23"/>
        <v>1</v>
      </c>
      <c r="G175" s="8">
        <f t="shared" ca="1" si="24"/>
        <v>0</v>
      </c>
      <c r="H175" s="8">
        <f t="shared" ca="1" si="25"/>
        <v>0</v>
      </c>
      <c r="I175" s="8">
        <f t="shared" ca="1" si="26"/>
        <v>0</v>
      </c>
      <c r="J175" s="6" t="e">
        <f ca="1">_xll.xlqxhSMA($C175,$L$4,$J$7,$K$3)</f>
        <v>#NAME?</v>
      </c>
      <c r="K175" s="7" t="e">
        <f ca="1">_xll.xlqhClose($C175,K$8,$K$3)</f>
        <v>#NAME?</v>
      </c>
      <c r="L175" s="7" t="e">
        <f ca="1">_xll.xlqhClose($C175,L$8,$K$3)</f>
        <v>#NAME?</v>
      </c>
      <c r="N175" s="9">
        <f t="shared" ca="1" si="27"/>
        <v>1</v>
      </c>
      <c r="O175" s="9">
        <f t="shared" ca="1" si="28"/>
        <v>1</v>
      </c>
      <c r="P175" s="9">
        <f t="shared" ca="1" si="29"/>
        <v>1</v>
      </c>
      <c r="Q175" s="9">
        <f t="shared" ca="1" si="30"/>
        <v>1</v>
      </c>
      <c r="R175" s="9">
        <f t="shared" ca="1" si="31"/>
        <v>0</v>
      </c>
    </row>
    <row r="176" spans="2:18" x14ac:dyDescent="0.25">
      <c r="B176" s="17" t="s">
        <v>1045</v>
      </c>
      <c r="C176" s="18" t="s">
        <v>1046</v>
      </c>
      <c r="D176" s="7" t="e">
        <f ca="1">_xll.xlqPrice(C176)</f>
        <v>#NAME?</v>
      </c>
      <c r="E176" s="9" t="e">
        <f t="shared" ca="1" si="22"/>
        <v>#NAME?</v>
      </c>
      <c r="F176" s="9">
        <f t="shared" ca="1" si="23"/>
        <v>1</v>
      </c>
      <c r="G176" s="8">
        <f t="shared" ca="1" si="24"/>
        <v>0</v>
      </c>
      <c r="H176" s="8">
        <f t="shared" ca="1" si="25"/>
        <v>0</v>
      </c>
      <c r="I176" s="8">
        <f t="shared" ca="1" si="26"/>
        <v>0</v>
      </c>
      <c r="J176" s="6" t="e">
        <f ca="1">_xll.xlqxhSMA($C176,$L$4,$J$7,$K$3)</f>
        <v>#NAME?</v>
      </c>
      <c r="K176" s="7" t="e">
        <f ca="1">_xll.xlqhClose($C176,K$8,$K$3)</f>
        <v>#NAME?</v>
      </c>
      <c r="L176" s="7" t="e">
        <f ca="1">_xll.xlqhClose($C176,L$8,$K$3)</f>
        <v>#NAME?</v>
      </c>
      <c r="N176" s="9">
        <f t="shared" ca="1" si="27"/>
        <v>1</v>
      </c>
      <c r="O176" s="9">
        <f t="shared" ca="1" si="28"/>
        <v>1</v>
      </c>
      <c r="P176" s="9">
        <f t="shared" ca="1" si="29"/>
        <v>1</v>
      </c>
      <c r="Q176" s="9">
        <f t="shared" ca="1" si="30"/>
        <v>1</v>
      </c>
      <c r="R176" s="9">
        <f t="shared" ca="1" si="31"/>
        <v>0</v>
      </c>
    </row>
    <row r="177" spans="2:18" x14ac:dyDescent="0.25">
      <c r="B177" s="17" t="s">
        <v>1647</v>
      </c>
      <c r="C177" s="18" t="s">
        <v>1648</v>
      </c>
      <c r="D177" s="7" t="e">
        <f ca="1">_xll.xlqPrice(C177)</f>
        <v>#NAME?</v>
      </c>
      <c r="E177" s="9" t="e">
        <f t="shared" ca="1" si="22"/>
        <v>#NAME?</v>
      </c>
      <c r="F177" s="9">
        <f t="shared" ca="1" si="23"/>
        <v>1</v>
      </c>
      <c r="G177" s="8">
        <f t="shared" ca="1" si="24"/>
        <v>0</v>
      </c>
      <c r="H177" s="8">
        <f t="shared" ca="1" si="25"/>
        <v>0</v>
      </c>
      <c r="I177" s="8">
        <f t="shared" ca="1" si="26"/>
        <v>0</v>
      </c>
      <c r="J177" s="6" t="e">
        <f ca="1">_xll.xlqxhSMA($C177,$L$4,$J$7,$K$3)</f>
        <v>#NAME?</v>
      </c>
      <c r="K177" s="7" t="e">
        <f ca="1">_xll.xlqhClose($C177,K$8,$K$3)</f>
        <v>#NAME?</v>
      </c>
      <c r="L177" s="7" t="e">
        <f ca="1">_xll.xlqhClose($C177,L$8,$K$3)</f>
        <v>#NAME?</v>
      </c>
      <c r="N177" s="9">
        <f t="shared" ca="1" si="27"/>
        <v>1</v>
      </c>
      <c r="O177" s="9">
        <f t="shared" ca="1" si="28"/>
        <v>1</v>
      </c>
      <c r="P177" s="9">
        <f t="shared" ca="1" si="29"/>
        <v>1</v>
      </c>
      <c r="Q177" s="9">
        <f t="shared" ca="1" si="30"/>
        <v>1</v>
      </c>
      <c r="R177" s="9">
        <f t="shared" ca="1" si="31"/>
        <v>0</v>
      </c>
    </row>
    <row r="178" spans="2:18" x14ac:dyDescent="0.25">
      <c r="B178" s="17" t="s">
        <v>736</v>
      </c>
      <c r="C178" s="18" t="s">
        <v>737</v>
      </c>
      <c r="D178" s="7" t="e">
        <f ca="1">_xll.xlqPrice(C178)</f>
        <v>#NAME?</v>
      </c>
      <c r="E178" s="9" t="e">
        <f t="shared" ca="1" si="22"/>
        <v>#NAME?</v>
      </c>
      <c r="F178" s="9">
        <f t="shared" ca="1" si="23"/>
        <v>1</v>
      </c>
      <c r="G178" s="8">
        <f t="shared" ca="1" si="24"/>
        <v>0</v>
      </c>
      <c r="H178" s="8">
        <f t="shared" ca="1" si="25"/>
        <v>0</v>
      </c>
      <c r="I178" s="8">
        <f t="shared" ca="1" si="26"/>
        <v>0</v>
      </c>
      <c r="J178" s="6" t="e">
        <f ca="1">_xll.xlqxhSMA($C178,$L$4,$J$7,$K$3)</f>
        <v>#NAME?</v>
      </c>
      <c r="K178" s="7" t="e">
        <f ca="1">_xll.xlqhClose($C178,K$8,$K$3)</f>
        <v>#NAME?</v>
      </c>
      <c r="L178" s="7" t="e">
        <f ca="1">_xll.xlqhClose($C178,L$8,$K$3)</f>
        <v>#NAME?</v>
      </c>
      <c r="N178" s="9">
        <f t="shared" ca="1" si="27"/>
        <v>1</v>
      </c>
      <c r="O178" s="9">
        <f t="shared" ca="1" si="28"/>
        <v>1</v>
      </c>
      <c r="P178" s="9">
        <f t="shared" ca="1" si="29"/>
        <v>1</v>
      </c>
      <c r="Q178" s="9">
        <f t="shared" ca="1" si="30"/>
        <v>1</v>
      </c>
      <c r="R178" s="9">
        <f t="shared" ca="1" si="31"/>
        <v>0</v>
      </c>
    </row>
    <row r="179" spans="2:18" x14ac:dyDescent="0.25">
      <c r="B179" s="17" t="s">
        <v>1855</v>
      </c>
      <c r="C179" s="18" t="s">
        <v>1856</v>
      </c>
      <c r="D179" s="7" t="e">
        <f ca="1">_xll.xlqPrice(C179)</f>
        <v>#NAME?</v>
      </c>
      <c r="E179" s="9" t="e">
        <f t="shared" ca="1" si="22"/>
        <v>#NAME?</v>
      </c>
      <c r="F179" s="9">
        <f t="shared" ca="1" si="23"/>
        <v>1</v>
      </c>
      <c r="G179" s="8">
        <f t="shared" ca="1" si="24"/>
        <v>0</v>
      </c>
      <c r="H179" s="8">
        <f t="shared" ca="1" si="25"/>
        <v>0</v>
      </c>
      <c r="I179" s="8">
        <f t="shared" ca="1" si="26"/>
        <v>0</v>
      </c>
      <c r="J179" s="6" t="e">
        <f ca="1">_xll.xlqxhSMA($C179,$L$4,$J$7,$K$3)</f>
        <v>#NAME?</v>
      </c>
      <c r="K179" s="7" t="e">
        <f ca="1">_xll.xlqhClose($C179,K$8,$K$3)</f>
        <v>#NAME?</v>
      </c>
      <c r="L179" s="7" t="e">
        <f ca="1">_xll.xlqhClose($C179,L$8,$K$3)</f>
        <v>#NAME?</v>
      </c>
      <c r="N179" s="9">
        <f t="shared" ca="1" si="27"/>
        <v>1</v>
      </c>
      <c r="O179" s="9">
        <f t="shared" ca="1" si="28"/>
        <v>1</v>
      </c>
      <c r="P179" s="9">
        <f t="shared" ca="1" si="29"/>
        <v>1</v>
      </c>
      <c r="Q179" s="9">
        <f t="shared" ca="1" si="30"/>
        <v>1</v>
      </c>
      <c r="R179" s="9">
        <f t="shared" ca="1" si="31"/>
        <v>0</v>
      </c>
    </row>
    <row r="180" spans="2:18" x14ac:dyDescent="0.25">
      <c r="B180" s="17" t="s">
        <v>39</v>
      </c>
      <c r="C180" s="18" t="s">
        <v>17</v>
      </c>
      <c r="D180" s="7" t="e">
        <f ca="1">_xll.xlqPrice(C180)</f>
        <v>#NAME?</v>
      </c>
      <c r="E180" s="9" t="e">
        <f t="shared" ca="1" si="22"/>
        <v>#NAME?</v>
      </c>
      <c r="F180" s="9">
        <f t="shared" ca="1" si="23"/>
        <v>1</v>
      </c>
      <c r="G180" s="8">
        <f t="shared" ca="1" si="24"/>
        <v>0</v>
      </c>
      <c r="H180" s="8">
        <f t="shared" ca="1" si="25"/>
        <v>0</v>
      </c>
      <c r="I180" s="8">
        <f t="shared" ca="1" si="26"/>
        <v>0</v>
      </c>
      <c r="J180" s="6" t="e">
        <f ca="1">_xll.xlqxhSMA($C180,$L$4,$J$7,$K$3)</f>
        <v>#NAME?</v>
      </c>
      <c r="K180" s="7" t="e">
        <f ca="1">_xll.xlqhClose($C180,K$8,$K$3)</f>
        <v>#NAME?</v>
      </c>
      <c r="L180" s="7" t="e">
        <f ca="1">_xll.xlqhClose($C180,L$8,$K$3)</f>
        <v>#NAME?</v>
      </c>
      <c r="N180" s="9">
        <f t="shared" ca="1" si="27"/>
        <v>1</v>
      </c>
      <c r="O180" s="9">
        <f t="shared" ca="1" si="28"/>
        <v>1</v>
      </c>
      <c r="P180" s="9">
        <f t="shared" ca="1" si="29"/>
        <v>1</v>
      </c>
      <c r="Q180" s="9">
        <f t="shared" ca="1" si="30"/>
        <v>1</v>
      </c>
      <c r="R180" s="9">
        <f t="shared" ca="1" si="31"/>
        <v>0</v>
      </c>
    </row>
    <row r="181" spans="2:18" x14ac:dyDescent="0.25">
      <c r="B181" t="s">
        <v>1929</v>
      </c>
      <c r="C181" s="39" t="s">
        <v>1930</v>
      </c>
      <c r="D181" s="7" t="e">
        <f ca="1">_xll.xlqPrice(C181)</f>
        <v>#NAME?</v>
      </c>
      <c r="E181" s="9" t="e">
        <f t="shared" ca="1" si="22"/>
        <v>#NAME?</v>
      </c>
      <c r="F181" s="9">
        <f t="shared" ca="1" si="23"/>
        <v>1</v>
      </c>
      <c r="G181" s="8">
        <f t="shared" ca="1" si="24"/>
        <v>0</v>
      </c>
      <c r="H181" s="8">
        <f t="shared" ca="1" si="25"/>
        <v>0</v>
      </c>
      <c r="I181" s="8">
        <f t="shared" ca="1" si="26"/>
        <v>0</v>
      </c>
      <c r="J181" s="6" t="e">
        <f ca="1">_xll.xlqxhSMA($C181,$L$4,$J$7,$K$3)</f>
        <v>#NAME?</v>
      </c>
      <c r="K181" s="7" t="e">
        <f ca="1">_xll.xlqhClose($C181,K$8,$K$3)</f>
        <v>#NAME?</v>
      </c>
      <c r="L181" s="7" t="e">
        <f ca="1">_xll.xlqhClose($C181,L$8,$K$3)</f>
        <v>#NAME?</v>
      </c>
      <c r="N181" s="9">
        <f t="shared" ca="1" si="27"/>
        <v>1</v>
      </c>
      <c r="O181" s="9">
        <f t="shared" ca="1" si="28"/>
        <v>1</v>
      </c>
      <c r="P181" s="9">
        <f t="shared" ca="1" si="29"/>
        <v>1</v>
      </c>
      <c r="Q181" s="9">
        <f t="shared" ca="1" si="30"/>
        <v>1</v>
      </c>
      <c r="R181" s="9">
        <f t="shared" ca="1" si="31"/>
        <v>0</v>
      </c>
    </row>
    <row r="182" spans="2:18" x14ac:dyDescent="0.25">
      <c r="B182" s="17" t="s">
        <v>1449</v>
      </c>
      <c r="C182" s="18" t="s">
        <v>1450</v>
      </c>
      <c r="D182" s="7" t="e">
        <f ca="1">_xll.xlqPrice(C182)</f>
        <v>#NAME?</v>
      </c>
      <c r="E182" s="9" t="e">
        <f t="shared" ca="1" si="22"/>
        <v>#NAME?</v>
      </c>
      <c r="F182" s="9">
        <f t="shared" ca="1" si="23"/>
        <v>1</v>
      </c>
      <c r="G182" s="8">
        <f t="shared" ca="1" si="24"/>
        <v>0</v>
      </c>
      <c r="H182" s="8">
        <f t="shared" ca="1" si="25"/>
        <v>0</v>
      </c>
      <c r="I182" s="8">
        <f t="shared" ca="1" si="26"/>
        <v>0</v>
      </c>
      <c r="J182" s="6" t="e">
        <f ca="1">_xll.xlqxhSMA($C182,$L$4,$J$7,$K$3)</f>
        <v>#NAME?</v>
      </c>
      <c r="K182" s="7" t="e">
        <f ca="1">_xll.xlqhClose($C182,K$8,$K$3)</f>
        <v>#NAME?</v>
      </c>
      <c r="L182" s="7" t="e">
        <f ca="1">_xll.xlqhClose($C182,L$8,$K$3)</f>
        <v>#NAME?</v>
      </c>
      <c r="N182" s="9">
        <f t="shared" ca="1" si="27"/>
        <v>1</v>
      </c>
      <c r="O182" s="9">
        <f t="shared" ca="1" si="28"/>
        <v>1</v>
      </c>
      <c r="P182" s="9">
        <f t="shared" ca="1" si="29"/>
        <v>1</v>
      </c>
      <c r="Q182" s="9">
        <f t="shared" ca="1" si="30"/>
        <v>1</v>
      </c>
      <c r="R182" s="9">
        <f t="shared" ca="1" si="31"/>
        <v>0</v>
      </c>
    </row>
    <row r="183" spans="2:18" x14ac:dyDescent="0.25">
      <c r="B183" s="17" t="s">
        <v>1017</v>
      </c>
      <c r="C183" s="18" t="s">
        <v>1018</v>
      </c>
      <c r="D183" s="7" t="e">
        <f ca="1">_xll.xlqPrice(C183)</f>
        <v>#NAME?</v>
      </c>
      <c r="E183" s="9" t="e">
        <f t="shared" ca="1" si="22"/>
        <v>#NAME?</v>
      </c>
      <c r="F183" s="9">
        <f t="shared" ca="1" si="23"/>
        <v>1</v>
      </c>
      <c r="G183" s="8">
        <f t="shared" ca="1" si="24"/>
        <v>0</v>
      </c>
      <c r="H183" s="8">
        <f t="shared" ca="1" si="25"/>
        <v>0</v>
      </c>
      <c r="I183" s="8">
        <f t="shared" ca="1" si="26"/>
        <v>0</v>
      </c>
      <c r="J183" s="6" t="e">
        <f ca="1">_xll.xlqxhSMA($C183,$L$4,$J$7,$K$3)</f>
        <v>#NAME?</v>
      </c>
      <c r="K183" s="7" t="e">
        <f ca="1">_xll.xlqhClose($C183,K$8,$K$3)</f>
        <v>#NAME?</v>
      </c>
      <c r="L183" s="7" t="e">
        <f ca="1">_xll.xlqhClose($C183,L$8,$K$3)</f>
        <v>#NAME?</v>
      </c>
      <c r="N183" s="9">
        <f t="shared" ca="1" si="27"/>
        <v>1</v>
      </c>
      <c r="O183" s="9">
        <f t="shared" ca="1" si="28"/>
        <v>1</v>
      </c>
      <c r="P183" s="9">
        <f t="shared" ca="1" si="29"/>
        <v>1</v>
      </c>
      <c r="Q183" s="9">
        <f t="shared" ca="1" si="30"/>
        <v>1</v>
      </c>
      <c r="R183" s="9">
        <f t="shared" ca="1" si="31"/>
        <v>0</v>
      </c>
    </row>
    <row r="184" spans="2:18" x14ac:dyDescent="0.25">
      <c r="B184" s="17" t="s">
        <v>1981</v>
      </c>
      <c r="C184" s="18" t="s">
        <v>1982</v>
      </c>
      <c r="D184" s="7" t="e">
        <f ca="1">_xll.xlqPrice(C184)</f>
        <v>#NAME?</v>
      </c>
      <c r="E184" s="9" t="e">
        <f t="shared" ca="1" si="22"/>
        <v>#NAME?</v>
      </c>
      <c r="F184" s="9">
        <f t="shared" ca="1" si="23"/>
        <v>1</v>
      </c>
      <c r="G184" s="8">
        <f t="shared" ca="1" si="24"/>
        <v>0</v>
      </c>
      <c r="H184" s="8">
        <f t="shared" ca="1" si="25"/>
        <v>0</v>
      </c>
      <c r="I184" s="8">
        <f t="shared" ca="1" si="26"/>
        <v>0</v>
      </c>
      <c r="J184" s="6" t="e">
        <f ca="1">_xll.xlqxhSMA($C184,$L$4,$J$7,$K$3)</f>
        <v>#NAME?</v>
      </c>
      <c r="K184" s="7" t="e">
        <f ca="1">_xll.xlqhClose($C184,K$8,$K$3)</f>
        <v>#NAME?</v>
      </c>
      <c r="L184" s="7" t="e">
        <f ca="1">_xll.xlqhClose($C184,L$8,$K$3)</f>
        <v>#NAME?</v>
      </c>
      <c r="N184" s="9">
        <f t="shared" ca="1" si="27"/>
        <v>1</v>
      </c>
      <c r="O184" s="9">
        <f t="shared" ca="1" si="28"/>
        <v>1</v>
      </c>
      <c r="P184" s="9">
        <f t="shared" ca="1" si="29"/>
        <v>1</v>
      </c>
      <c r="Q184" s="9">
        <f t="shared" ca="1" si="30"/>
        <v>1</v>
      </c>
      <c r="R184" s="9">
        <f t="shared" ca="1" si="31"/>
        <v>0</v>
      </c>
    </row>
    <row r="185" spans="2:18" x14ac:dyDescent="0.25">
      <c r="B185" s="17" t="s">
        <v>2283</v>
      </c>
      <c r="C185" s="18" t="s">
        <v>2284</v>
      </c>
      <c r="D185" s="7" t="e">
        <f ca="1">_xll.xlqPrice(C185)</f>
        <v>#NAME?</v>
      </c>
      <c r="E185" s="9" t="e">
        <f t="shared" ca="1" si="22"/>
        <v>#NAME?</v>
      </c>
      <c r="F185" s="9">
        <f t="shared" ca="1" si="23"/>
        <v>1</v>
      </c>
      <c r="G185" s="8">
        <f t="shared" ca="1" si="24"/>
        <v>0</v>
      </c>
      <c r="H185" s="8">
        <f t="shared" ca="1" si="25"/>
        <v>0</v>
      </c>
      <c r="I185" s="8">
        <f t="shared" ca="1" si="26"/>
        <v>0</v>
      </c>
      <c r="J185" s="6" t="e">
        <f ca="1">_xll.xlqxhSMA($C185,$L$4,$J$7,$K$3)</f>
        <v>#NAME?</v>
      </c>
      <c r="K185" s="7" t="e">
        <f ca="1">_xll.xlqhClose($C185,K$8,$K$3)</f>
        <v>#NAME?</v>
      </c>
      <c r="L185" s="7" t="e">
        <f ca="1">_xll.xlqhClose($C185,L$8,$K$3)</f>
        <v>#NAME?</v>
      </c>
      <c r="N185" s="9">
        <f t="shared" ca="1" si="27"/>
        <v>1</v>
      </c>
      <c r="O185" s="9">
        <f t="shared" ca="1" si="28"/>
        <v>1</v>
      </c>
      <c r="P185" s="9">
        <f t="shared" ca="1" si="29"/>
        <v>1</v>
      </c>
      <c r="Q185" s="9">
        <f t="shared" ca="1" si="30"/>
        <v>1</v>
      </c>
      <c r="R185" s="9">
        <f t="shared" ca="1" si="31"/>
        <v>0</v>
      </c>
    </row>
    <row r="186" spans="2:18" x14ac:dyDescent="0.25">
      <c r="B186" s="17" t="s">
        <v>1817</v>
      </c>
      <c r="C186" s="18" t="s">
        <v>1818</v>
      </c>
      <c r="D186" s="7" t="e">
        <f ca="1">_xll.xlqPrice(C186)</f>
        <v>#NAME?</v>
      </c>
      <c r="E186" s="9" t="e">
        <f t="shared" ca="1" si="22"/>
        <v>#NAME?</v>
      </c>
      <c r="F186" s="9">
        <f t="shared" ca="1" si="23"/>
        <v>1</v>
      </c>
      <c r="G186" s="8">
        <f t="shared" ca="1" si="24"/>
        <v>0</v>
      </c>
      <c r="H186" s="8">
        <f t="shared" ca="1" si="25"/>
        <v>0</v>
      </c>
      <c r="I186" s="8">
        <f t="shared" ca="1" si="26"/>
        <v>0</v>
      </c>
      <c r="J186" s="6" t="e">
        <f ca="1">_xll.xlqxhSMA($C186,$L$4,$J$7,$K$3)</f>
        <v>#NAME?</v>
      </c>
      <c r="K186" s="7" t="e">
        <f ca="1">_xll.xlqhClose($C186,K$8,$K$3)</f>
        <v>#NAME?</v>
      </c>
      <c r="L186" s="7" t="e">
        <f ca="1">_xll.xlqhClose($C186,L$8,$K$3)</f>
        <v>#NAME?</v>
      </c>
      <c r="N186" s="9">
        <f t="shared" ca="1" si="27"/>
        <v>1</v>
      </c>
      <c r="O186" s="9">
        <f t="shared" ca="1" si="28"/>
        <v>1</v>
      </c>
      <c r="P186" s="9">
        <f t="shared" ca="1" si="29"/>
        <v>1</v>
      </c>
      <c r="Q186" s="9">
        <f t="shared" ca="1" si="30"/>
        <v>1</v>
      </c>
      <c r="R186" s="9">
        <f t="shared" ca="1" si="31"/>
        <v>0</v>
      </c>
    </row>
    <row r="187" spans="2:18" x14ac:dyDescent="0.25">
      <c r="B187" s="17" t="s">
        <v>1443</v>
      </c>
      <c r="C187" s="18" t="s">
        <v>1444</v>
      </c>
      <c r="D187" s="7" t="e">
        <f ca="1">_xll.xlqPrice(C187)</f>
        <v>#NAME?</v>
      </c>
      <c r="E187" s="9" t="e">
        <f t="shared" ca="1" si="22"/>
        <v>#NAME?</v>
      </c>
      <c r="F187" s="9">
        <f t="shared" ca="1" si="23"/>
        <v>1</v>
      </c>
      <c r="G187" s="8">
        <f t="shared" ca="1" si="24"/>
        <v>0</v>
      </c>
      <c r="H187" s="8">
        <f t="shared" ca="1" si="25"/>
        <v>0</v>
      </c>
      <c r="I187" s="8">
        <f t="shared" ca="1" si="26"/>
        <v>0</v>
      </c>
      <c r="J187" s="6" t="e">
        <f ca="1">_xll.xlqxhSMA($C187,$L$4,$J$7,$K$3)</f>
        <v>#NAME?</v>
      </c>
      <c r="K187" s="7" t="e">
        <f ca="1">_xll.xlqhClose($C187,K$8,$K$3)</f>
        <v>#NAME?</v>
      </c>
      <c r="L187" s="7" t="e">
        <f ca="1">_xll.xlqhClose($C187,L$8,$K$3)</f>
        <v>#NAME?</v>
      </c>
      <c r="N187" s="9">
        <f t="shared" ca="1" si="27"/>
        <v>1</v>
      </c>
      <c r="O187" s="9">
        <f t="shared" ca="1" si="28"/>
        <v>1</v>
      </c>
      <c r="P187" s="9">
        <f t="shared" ca="1" si="29"/>
        <v>1</v>
      </c>
      <c r="Q187" s="9">
        <f t="shared" ca="1" si="30"/>
        <v>1</v>
      </c>
      <c r="R187" s="9">
        <f t="shared" ca="1" si="31"/>
        <v>0</v>
      </c>
    </row>
    <row r="188" spans="2:18" x14ac:dyDescent="0.25">
      <c r="B188" s="17" t="s">
        <v>2327</v>
      </c>
      <c r="C188" s="18" t="s">
        <v>2328</v>
      </c>
      <c r="D188" s="7" t="e">
        <f ca="1">_xll.xlqPrice(C188)</f>
        <v>#NAME?</v>
      </c>
      <c r="E188" s="9" t="e">
        <f t="shared" ca="1" si="22"/>
        <v>#NAME?</v>
      </c>
      <c r="F188" s="9">
        <f t="shared" ca="1" si="23"/>
        <v>1</v>
      </c>
      <c r="G188" s="8">
        <f t="shared" ca="1" si="24"/>
        <v>0</v>
      </c>
      <c r="H188" s="8">
        <f t="shared" ca="1" si="25"/>
        <v>0</v>
      </c>
      <c r="I188" s="8">
        <f t="shared" ca="1" si="26"/>
        <v>0</v>
      </c>
      <c r="J188" s="6" t="e">
        <f ca="1">_xll.xlqxhSMA($C188,$L$4,$J$7,$K$3)</f>
        <v>#NAME?</v>
      </c>
      <c r="K188" s="7" t="e">
        <f ca="1">_xll.xlqhClose($C188,K$8,$K$3)</f>
        <v>#NAME?</v>
      </c>
      <c r="L188" s="7" t="e">
        <f ca="1">_xll.xlqhClose($C188,L$8,$K$3)</f>
        <v>#NAME?</v>
      </c>
      <c r="N188" s="9">
        <f t="shared" ca="1" si="27"/>
        <v>1</v>
      </c>
      <c r="O188" s="9">
        <f t="shared" ca="1" si="28"/>
        <v>1</v>
      </c>
      <c r="P188" s="9">
        <f t="shared" ca="1" si="29"/>
        <v>1</v>
      </c>
      <c r="Q188" s="9">
        <f t="shared" ca="1" si="30"/>
        <v>1</v>
      </c>
      <c r="R188" s="9">
        <f t="shared" ca="1" si="31"/>
        <v>0</v>
      </c>
    </row>
    <row r="189" spans="2:18" x14ac:dyDescent="0.25">
      <c r="B189" s="17" t="s">
        <v>436</v>
      </c>
      <c r="C189" s="18" t="s">
        <v>437</v>
      </c>
      <c r="D189" s="7" t="e">
        <f ca="1">_xll.xlqPrice(C189)</f>
        <v>#NAME?</v>
      </c>
      <c r="E189" s="9" t="e">
        <f t="shared" ca="1" si="22"/>
        <v>#NAME?</v>
      </c>
      <c r="F189" s="9">
        <f t="shared" ca="1" si="23"/>
        <v>1</v>
      </c>
      <c r="G189" s="8">
        <f t="shared" ca="1" si="24"/>
        <v>0</v>
      </c>
      <c r="H189" s="8">
        <f t="shared" ca="1" si="25"/>
        <v>0</v>
      </c>
      <c r="I189" s="8">
        <f t="shared" ca="1" si="26"/>
        <v>0</v>
      </c>
      <c r="J189" s="6" t="e">
        <f ca="1">_xll.xlqxhSMA($C189,$L$4,$J$7,$K$3)</f>
        <v>#NAME?</v>
      </c>
      <c r="K189" s="7" t="e">
        <f ca="1">_xll.xlqhClose($C189,K$8,$K$3)</f>
        <v>#NAME?</v>
      </c>
      <c r="L189" s="7" t="e">
        <f ca="1">_xll.xlqhClose($C189,L$8,$K$3)</f>
        <v>#NAME?</v>
      </c>
      <c r="N189" s="9">
        <f t="shared" ca="1" si="27"/>
        <v>1</v>
      </c>
      <c r="O189" s="9">
        <f t="shared" ca="1" si="28"/>
        <v>1</v>
      </c>
      <c r="P189" s="9">
        <f t="shared" ca="1" si="29"/>
        <v>1</v>
      </c>
      <c r="Q189" s="9">
        <f t="shared" ca="1" si="30"/>
        <v>1</v>
      </c>
      <c r="R189" s="9">
        <f t="shared" ca="1" si="31"/>
        <v>0</v>
      </c>
    </row>
    <row r="190" spans="2:18" x14ac:dyDescent="0.25">
      <c r="B190" s="17" t="s">
        <v>2319</v>
      </c>
      <c r="C190" s="18" t="s">
        <v>2320</v>
      </c>
      <c r="D190" s="7" t="e">
        <f ca="1">_xll.xlqPrice(C190)</f>
        <v>#NAME?</v>
      </c>
      <c r="E190" s="9" t="e">
        <f t="shared" ca="1" si="22"/>
        <v>#NAME?</v>
      </c>
      <c r="F190" s="9">
        <f t="shared" ca="1" si="23"/>
        <v>1</v>
      </c>
      <c r="G190" s="8">
        <f t="shared" ca="1" si="24"/>
        <v>0</v>
      </c>
      <c r="H190" s="8">
        <f t="shared" ca="1" si="25"/>
        <v>0</v>
      </c>
      <c r="I190" s="8">
        <f t="shared" ca="1" si="26"/>
        <v>0</v>
      </c>
      <c r="J190" s="6" t="e">
        <f ca="1">_xll.xlqxhSMA($C190,$L$4,$J$7,$K$3)</f>
        <v>#NAME?</v>
      </c>
      <c r="K190" s="7" t="e">
        <f ca="1">_xll.xlqhClose($C190,K$8,$K$3)</f>
        <v>#NAME?</v>
      </c>
      <c r="L190" s="7" t="e">
        <f ca="1">_xll.xlqhClose($C190,L$8,$K$3)</f>
        <v>#NAME?</v>
      </c>
      <c r="N190" s="9">
        <f t="shared" ca="1" si="27"/>
        <v>1</v>
      </c>
      <c r="O190" s="9">
        <f t="shared" ca="1" si="28"/>
        <v>1</v>
      </c>
      <c r="P190" s="9">
        <f t="shared" ca="1" si="29"/>
        <v>1</v>
      </c>
      <c r="Q190" s="9">
        <f t="shared" ca="1" si="30"/>
        <v>1</v>
      </c>
      <c r="R190" s="9">
        <f t="shared" ca="1" si="31"/>
        <v>0</v>
      </c>
    </row>
    <row r="191" spans="2:18" x14ac:dyDescent="0.25">
      <c r="B191" s="17" t="s">
        <v>374</v>
      </c>
      <c r="C191" s="18" t="s">
        <v>375</v>
      </c>
      <c r="D191" s="7" t="e">
        <f ca="1">_xll.xlqPrice(C191)</f>
        <v>#NAME?</v>
      </c>
      <c r="E191" s="9" t="e">
        <f t="shared" ca="1" si="22"/>
        <v>#NAME?</v>
      </c>
      <c r="F191" s="9">
        <f t="shared" ca="1" si="23"/>
        <v>1</v>
      </c>
      <c r="G191" s="8">
        <f t="shared" ca="1" si="24"/>
        <v>0</v>
      </c>
      <c r="H191" s="8">
        <f t="shared" ca="1" si="25"/>
        <v>0</v>
      </c>
      <c r="I191" s="8">
        <f t="shared" ca="1" si="26"/>
        <v>0</v>
      </c>
      <c r="J191" s="6" t="e">
        <f ca="1">_xll.xlqxhSMA($C191,$L$4,$J$7,$K$3)</f>
        <v>#NAME?</v>
      </c>
      <c r="K191" s="7" t="e">
        <f ca="1">_xll.xlqhClose($C191,K$8,$K$3)</f>
        <v>#NAME?</v>
      </c>
      <c r="L191" s="7" t="e">
        <f ca="1">_xll.xlqhClose($C191,L$8,$K$3)</f>
        <v>#NAME?</v>
      </c>
      <c r="N191" s="9">
        <f t="shared" ca="1" si="27"/>
        <v>1</v>
      </c>
      <c r="O191" s="9">
        <f t="shared" ca="1" si="28"/>
        <v>1</v>
      </c>
      <c r="P191" s="9">
        <f t="shared" ca="1" si="29"/>
        <v>1</v>
      </c>
      <c r="Q191" s="9">
        <f t="shared" ca="1" si="30"/>
        <v>1</v>
      </c>
      <c r="R191" s="9">
        <f t="shared" ca="1" si="31"/>
        <v>0</v>
      </c>
    </row>
    <row r="192" spans="2:18" x14ac:dyDescent="0.25">
      <c r="B192" s="17" t="s">
        <v>1019</v>
      </c>
      <c r="C192" s="18" t="s">
        <v>1020</v>
      </c>
      <c r="D192" s="7" t="e">
        <f ca="1">_xll.xlqPrice(C192)</f>
        <v>#NAME?</v>
      </c>
      <c r="E192" s="9" t="e">
        <f t="shared" ca="1" si="22"/>
        <v>#NAME?</v>
      </c>
      <c r="F192" s="9">
        <f t="shared" ca="1" si="23"/>
        <v>1</v>
      </c>
      <c r="G192" s="8">
        <f t="shared" ca="1" si="24"/>
        <v>0</v>
      </c>
      <c r="H192" s="8">
        <f t="shared" ca="1" si="25"/>
        <v>0</v>
      </c>
      <c r="I192" s="8">
        <f t="shared" ca="1" si="26"/>
        <v>0</v>
      </c>
      <c r="J192" s="6" t="e">
        <f ca="1">_xll.xlqxhSMA($C192,$L$4,$J$7,$K$3)</f>
        <v>#NAME?</v>
      </c>
      <c r="K192" s="7" t="e">
        <f ca="1">_xll.xlqhClose($C192,K$8,$K$3)</f>
        <v>#NAME?</v>
      </c>
      <c r="L192" s="7" t="e">
        <f ca="1">_xll.xlqhClose($C192,L$8,$K$3)</f>
        <v>#NAME?</v>
      </c>
      <c r="N192" s="9">
        <f t="shared" ca="1" si="27"/>
        <v>1</v>
      </c>
      <c r="O192" s="9">
        <f t="shared" ca="1" si="28"/>
        <v>1</v>
      </c>
      <c r="P192" s="9">
        <f t="shared" ca="1" si="29"/>
        <v>1</v>
      </c>
      <c r="Q192" s="9">
        <f t="shared" ca="1" si="30"/>
        <v>1</v>
      </c>
      <c r="R192" s="9">
        <f t="shared" ca="1" si="31"/>
        <v>0</v>
      </c>
    </row>
    <row r="193" spans="2:18" x14ac:dyDescent="0.25">
      <c r="B193" s="17" t="s">
        <v>1901</v>
      </c>
      <c r="C193" s="18" t="s">
        <v>1902</v>
      </c>
      <c r="D193" s="7" t="e">
        <f ca="1">_xll.xlqPrice(C193)</f>
        <v>#NAME?</v>
      </c>
      <c r="E193" s="9" t="e">
        <f t="shared" ca="1" si="22"/>
        <v>#NAME?</v>
      </c>
      <c r="F193" s="9">
        <f t="shared" ca="1" si="23"/>
        <v>1</v>
      </c>
      <c r="G193" s="8">
        <f t="shared" ca="1" si="24"/>
        <v>0</v>
      </c>
      <c r="H193" s="8">
        <f t="shared" ca="1" si="25"/>
        <v>0</v>
      </c>
      <c r="I193" s="8">
        <f t="shared" ca="1" si="26"/>
        <v>0</v>
      </c>
      <c r="J193" s="6" t="e">
        <f ca="1">_xll.xlqxhSMA($C193,$L$4,$J$7,$K$3)</f>
        <v>#NAME?</v>
      </c>
      <c r="K193" s="7" t="e">
        <f ca="1">_xll.xlqhClose($C193,K$8,$K$3)</f>
        <v>#NAME?</v>
      </c>
      <c r="L193" s="7" t="e">
        <f ca="1">_xll.xlqhClose($C193,L$8,$K$3)</f>
        <v>#NAME?</v>
      </c>
      <c r="N193" s="9">
        <f t="shared" ca="1" si="27"/>
        <v>1</v>
      </c>
      <c r="O193" s="9">
        <f t="shared" ca="1" si="28"/>
        <v>1</v>
      </c>
      <c r="P193" s="9">
        <f t="shared" ca="1" si="29"/>
        <v>1</v>
      </c>
      <c r="Q193" s="9">
        <f t="shared" ca="1" si="30"/>
        <v>1</v>
      </c>
      <c r="R193" s="9">
        <f t="shared" ca="1" si="31"/>
        <v>0</v>
      </c>
    </row>
    <row r="194" spans="2:18" x14ac:dyDescent="0.25">
      <c r="B194" s="17" t="s">
        <v>1505</v>
      </c>
      <c r="C194" s="18" t="s">
        <v>1506</v>
      </c>
      <c r="D194" s="7" t="e">
        <f ca="1">_xll.xlqPrice(C194)</f>
        <v>#NAME?</v>
      </c>
      <c r="E194" s="9" t="e">
        <f t="shared" ca="1" si="22"/>
        <v>#NAME?</v>
      </c>
      <c r="F194" s="9">
        <f t="shared" ca="1" si="23"/>
        <v>1</v>
      </c>
      <c r="G194" s="8">
        <f t="shared" ca="1" si="24"/>
        <v>0</v>
      </c>
      <c r="H194" s="8">
        <f t="shared" ca="1" si="25"/>
        <v>0</v>
      </c>
      <c r="I194" s="8">
        <f t="shared" ca="1" si="26"/>
        <v>0</v>
      </c>
      <c r="J194" s="6" t="e">
        <f ca="1">_xll.xlqxhSMA($C194,$L$4,$J$7,$K$3)</f>
        <v>#NAME?</v>
      </c>
      <c r="K194" s="7" t="e">
        <f ca="1">_xll.xlqhClose($C194,K$8,$K$3)</f>
        <v>#NAME?</v>
      </c>
      <c r="L194" s="7" t="e">
        <f ca="1">_xll.xlqhClose($C194,L$8,$K$3)</f>
        <v>#NAME?</v>
      </c>
      <c r="N194" s="9">
        <f t="shared" ca="1" si="27"/>
        <v>1</v>
      </c>
      <c r="O194" s="9">
        <f t="shared" ca="1" si="28"/>
        <v>1</v>
      </c>
      <c r="P194" s="9">
        <f t="shared" ca="1" si="29"/>
        <v>1</v>
      </c>
      <c r="Q194" s="9">
        <f t="shared" ca="1" si="30"/>
        <v>1</v>
      </c>
      <c r="R194" s="9">
        <f t="shared" ca="1" si="31"/>
        <v>0</v>
      </c>
    </row>
    <row r="195" spans="2:18" x14ac:dyDescent="0.25">
      <c r="B195" s="17" t="s">
        <v>2257</v>
      </c>
      <c r="C195" s="18" t="s">
        <v>2258</v>
      </c>
      <c r="D195" s="7" t="e">
        <f ca="1">_xll.xlqPrice(C195)</f>
        <v>#NAME?</v>
      </c>
      <c r="E195" s="9" t="e">
        <f t="shared" ca="1" si="22"/>
        <v>#NAME?</v>
      </c>
      <c r="F195" s="9">
        <f t="shared" ca="1" si="23"/>
        <v>1</v>
      </c>
      <c r="G195" s="8">
        <f t="shared" ca="1" si="24"/>
        <v>0</v>
      </c>
      <c r="H195" s="8">
        <f t="shared" ca="1" si="25"/>
        <v>0</v>
      </c>
      <c r="I195" s="8">
        <f t="shared" ca="1" si="26"/>
        <v>0</v>
      </c>
      <c r="J195" s="6" t="e">
        <f ca="1">_xll.xlqxhSMA($C195,$L$4,$J$7,$K$3)</f>
        <v>#NAME?</v>
      </c>
      <c r="K195" s="7" t="e">
        <f ca="1">_xll.xlqhClose($C195,K$8,$K$3)</f>
        <v>#NAME?</v>
      </c>
      <c r="L195" s="7" t="e">
        <f ca="1">_xll.xlqhClose($C195,L$8,$K$3)</f>
        <v>#NAME?</v>
      </c>
      <c r="N195" s="9">
        <f t="shared" ca="1" si="27"/>
        <v>1</v>
      </c>
      <c r="O195" s="9">
        <f t="shared" ca="1" si="28"/>
        <v>1</v>
      </c>
      <c r="P195" s="9">
        <f t="shared" ca="1" si="29"/>
        <v>1</v>
      </c>
      <c r="Q195" s="9">
        <f t="shared" ca="1" si="30"/>
        <v>1</v>
      </c>
      <c r="R195" s="9">
        <f t="shared" ca="1" si="31"/>
        <v>0</v>
      </c>
    </row>
    <row r="196" spans="2:18" x14ac:dyDescent="0.25">
      <c r="B196" s="17" t="s">
        <v>1197</v>
      </c>
      <c r="C196" s="18" t="s">
        <v>1198</v>
      </c>
      <c r="D196" s="7" t="e">
        <f ca="1">_xll.xlqPrice(C196)</f>
        <v>#NAME?</v>
      </c>
      <c r="E196" s="9" t="e">
        <f t="shared" ca="1" si="22"/>
        <v>#NAME?</v>
      </c>
      <c r="F196" s="9">
        <f t="shared" ca="1" si="23"/>
        <v>1</v>
      </c>
      <c r="G196" s="8">
        <f t="shared" ca="1" si="24"/>
        <v>0</v>
      </c>
      <c r="H196" s="8">
        <f t="shared" ca="1" si="25"/>
        <v>0</v>
      </c>
      <c r="I196" s="8">
        <f t="shared" ca="1" si="26"/>
        <v>0</v>
      </c>
      <c r="J196" s="6" t="e">
        <f ca="1">_xll.xlqxhSMA($C196,$L$4,$J$7,$K$3)</f>
        <v>#NAME?</v>
      </c>
      <c r="K196" s="7" t="e">
        <f ca="1">_xll.xlqhClose($C196,K$8,$K$3)</f>
        <v>#NAME?</v>
      </c>
      <c r="L196" s="7" t="e">
        <f ca="1">_xll.xlqhClose($C196,L$8,$K$3)</f>
        <v>#NAME?</v>
      </c>
      <c r="N196" s="9">
        <f t="shared" ca="1" si="27"/>
        <v>1</v>
      </c>
      <c r="O196" s="9">
        <f t="shared" ca="1" si="28"/>
        <v>1</v>
      </c>
      <c r="P196" s="9">
        <f t="shared" ca="1" si="29"/>
        <v>1</v>
      </c>
      <c r="Q196" s="9">
        <f t="shared" ca="1" si="30"/>
        <v>1</v>
      </c>
      <c r="R196" s="9">
        <f t="shared" ca="1" si="31"/>
        <v>0</v>
      </c>
    </row>
    <row r="197" spans="2:18" x14ac:dyDescent="0.25">
      <c r="B197" s="17" t="s">
        <v>1115</v>
      </c>
      <c r="C197" s="18" t="s">
        <v>1116</v>
      </c>
      <c r="D197" s="7" t="e">
        <f ca="1">_xll.xlqPrice(C197)</f>
        <v>#NAME?</v>
      </c>
      <c r="E197" s="9" t="e">
        <f t="shared" ca="1" si="22"/>
        <v>#NAME?</v>
      </c>
      <c r="F197" s="9">
        <f t="shared" ca="1" si="23"/>
        <v>1</v>
      </c>
      <c r="G197" s="8">
        <f t="shared" ca="1" si="24"/>
        <v>0</v>
      </c>
      <c r="H197" s="8">
        <f t="shared" ca="1" si="25"/>
        <v>0</v>
      </c>
      <c r="I197" s="8">
        <f t="shared" ca="1" si="26"/>
        <v>0</v>
      </c>
      <c r="J197" s="6" t="e">
        <f ca="1">_xll.xlqxhSMA($C197,$L$4,$J$7,$K$3)</f>
        <v>#NAME?</v>
      </c>
      <c r="K197" s="7" t="e">
        <f ca="1">_xll.xlqhClose($C197,K$8,$K$3)</f>
        <v>#NAME?</v>
      </c>
      <c r="L197" s="7" t="e">
        <f ca="1">_xll.xlqhClose($C197,L$8,$K$3)</f>
        <v>#NAME?</v>
      </c>
      <c r="N197" s="9">
        <f t="shared" ca="1" si="27"/>
        <v>1</v>
      </c>
      <c r="O197" s="9">
        <f t="shared" ca="1" si="28"/>
        <v>1</v>
      </c>
      <c r="P197" s="9">
        <f t="shared" ca="1" si="29"/>
        <v>1</v>
      </c>
      <c r="Q197" s="9">
        <f t="shared" ca="1" si="30"/>
        <v>1</v>
      </c>
      <c r="R197" s="9">
        <f t="shared" ca="1" si="31"/>
        <v>0</v>
      </c>
    </row>
    <row r="198" spans="2:18" x14ac:dyDescent="0.25">
      <c r="B198" s="17" t="s">
        <v>384</v>
      </c>
      <c r="C198" s="18" t="s">
        <v>385</v>
      </c>
      <c r="D198" s="7" t="e">
        <f ca="1">_xll.xlqPrice(C198)</f>
        <v>#NAME?</v>
      </c>
      <c r="E198" s="9" t="e">
        <f t="shared" ca="1" si="22"/>
        <v>#NAME?</v>
      </c>
      <c r="F198" s="9">
        <f t="shared" ca="1" si="23"/>
        <v>1</v>
      </c>
      <c r="G198" s="8">
        <f t="shared" ca="1" si="24"/>
        <v>0</v>
      </c>
      <c r="H198" s="8">
        <f t="shared" ca="1" si="25"/>
        <v>0</v>
      </c>
      <c r="I198" s="8">
        <f t="shared" ca="1" si="26"/>
        <v>0</v>
      </c>
      <c r="J198" s="6" t="e">
        <f ca="1">_xll.xlqxhSMA($C198,$L$4,$J$7,$K$3)</f>
        <v>#NAME?</v>
      </c>
      <c r="K198" s="7" t="e">
        <f ca="1">_xll.xlqhClose($C198,K$8,$K$3)</f>
        <v>#NAME?</v>
      </c>
      <c r="L198" s="7" t="e">
        <f ca="1">_xll.xlqhClose($C198,L$8,$K$3)</f>
        <v>#NAME?</v>
      </c>
      <c r="N198" s="9">
        <f t="shared" ca="1" si="27"/>
        <v>1</v>
      </c>
      <c r="O198" s="9">
        <f t="shared" ca="1" si="28"/>
        <v>1</v>
      </c>
      <c r="P198" s="9">
        <f t="shared" ca="1" si="29"/>
        <v>1</v>
      </c>
      <c r="Q198" s="9">
        <f t="shared" ca="1" si="30"/>
        <v>1</v>
      </c>
      <c r="R198" s="9">
        <f t="shared" ca="1" si="31"/>
        <v>0</v>
      </c>
    </row>
    <row r="199" spans="2:18" x14ac:dyDescent="0.25">
      <c r="B199" s="17" t="s">
        <v>352</v>
      </c>
      <c r="C199" s="18" t="s">
        <v>353</v>
      </c>
      <c r="D199" s="7" t="e">
        <f ca="1">_xll.xlqPrice(C199)</f>
        <v>#NAME?</v>
      </c>
      <c r="E199" s="9" t="e">
        <f t="shared" ca="1" si="22"/>
        <v>#NAME?</v>
      </c>
      <c r="F199" s="9">
        <f t="shared" ca="1" si="23"/>
        <v>1</v>
      </c>
      <c r="G199" s="8">
        <f t="shared" ca="1" si="24"/>
        <v>0</v>
      </c>
      <c r="H199" s="8">
        <f t="shared" ca="1" si="25"/>
        <v>0</v>
      </c>
      <c r="I199" s="8">
        <f t="shared" ca="1" si="26"/>
        <v>0</v>
      </c>
      <c r="J199" s="6" t="e">
        <f ca="1">_xll.xlqxhSMA($C199,$L$4,$J$7,$K$3)</f>
        <v>#NAME?</v>
      </c>
      <c r="K199" s="7" t="e">
        <f ca="1">_xll.xlqhClose($C199,K$8,$K$3)</f>
        <v>#NAME?</v>
      </c>
      <c r="L199" s="7" t="e">
        <f ca="1">_xll.xlqhClose($C199,L$8,$K$3)</f>
        <v>#NAME?</v>
      </c>
      <c r="N199" s="9">
        <f t="shared" ca="1" si="27"/>
        <v>1</v>
      </c>
      <c r="O199" s="9">
        <f t="shared" ca="1" si="28"/>
        <v>1</v>
      </c>
      <c r="P199" s="9">
        <f t="shared" ca="1" si="29"/>
        <v>1</v>
      </c>
      <c r="Q199" s="9">
        <f t="shared" ca="1" si="30"/>
        <v>1</v>
      </c>
      <c r="R199" s="9">
        <f t="shared" ca="1" si="31"/>
        <v>0</v>
      </c>
    </row>
    <row r="200" spans="2:18" x14ac:dyDescent="0.25">
      <c r="B200" s="17" t="s">
        <v>73</v>
      </c>
      <c r="C200" s="18" t="s">
        <v>74</v>
      </c>
      <c r="D200" s="7" t="e">
        <f ca="1">_xll.xlqPrice(C200)</f>
        <v>#NAME?</v>
      </c>
      <c r="E200" s="9" t="e">
        <f t="shared" ca="1" si="22"/>
        <v>#NAME?</v>
      </c>
      <c r="F200" s="9">
        <f t="shared" ca="1" si="23"/>
        <v>1</v>
      </c>
      <c r="G200" s="8">
        <f t="shared" ca="1" si="24"/>
        <v>0</v>
      </c>
      <c r="H200" s="8">
        <f t="shared" ca="1" si="25"/>
        <v>0</v>
      </c>
      <c r="I200" s="8">
        <f t="shared" ca="1" si="26"/>
        <v>0</v>
      </c>
      <c r="J200" s="6" t="e">
        <f ca="1">_xll.xlqxhSMA($C200,$L$4,$J$7,$K$3)</f>
        <v>#NAME?</v>
      </c>
      <c r="K200" s="7" t="e">
        <f ca="1">_xll.xlqhClose($C200,K$8,$K$3)</f>
        <v>#NAME?</v>
      </c>
      <c r="L200" s="7" t="e">
        <f ca="1">_xll.xlqhClose($C200,L$8,$K$3)</f>
        <v>#NAME?</v>
      </c>
      <c r="N200" s="9">
        <f t="shared" ca="1" si="27"/>
        <v>1</v>
      </c>
      <c r="O200" s="9">
        <f t="shared" ca="1" si="28"/>
        <v>1</v>
      </c>
      <c r="P200" s="9">
        <f t="shared" ca="1" si="29"/>
        <v>1</v>
      </c>
      <c r="Q200" s="9">
        <f t="shared" ca="1" si="30"/>
        <v>1</v>
      </c>
      <c r="R200" s="9">
        <f t="shared" ca="1" si="31"/>
        <v>0</v>
      </c>
    </row>
    <row r="201" spans="2:18" x14ac:dyDescent="0.25">
      <c r="B201" s="17" t="s">
        <v>2261</v>
      </c>
      <c r="C201" s="18" t="s">
        <v>2262</v>
      </c>
      <c r="D201" s="7" t="e">
        <f ca="1">_xll.xlqPrice(C201)</f>
        <v>#NAME?</v>
      </c>
      <c r="E201" s="9" t="e">
        <f t="shared" ca="1" si="22"/>
        <v>#NAME?</v>
      </c>
      <c r="F201" s="9">
        <f t="shared" ca="1" si="23"/>
        <v>1</v>
      </c>
      <c r="G201" s="8">
        <f t="shared" ca="1" si="24"/>
        <v>0</v>
      </c>
      <c r="H201" s="8">
        <f t="shared" ca="1" si="25"/>
        <v>0</v>
      </c>
      <c r="I201" s="8">
        <f t="shared" ca="1" si="26"/>
        <v>0</v>
      </c>
      <c r="J201" s="6" t="e">
        <f ca="1">_xll.xlqxhSMA($C201,$L$4,$J$7,$K$3)</f>
        <v>#NAME?</v>
      </c>
      <c r="K201" s="7" t="e">
        <f ca="1">_xll.xlqhClose($C201,K$8,$K$3)</f>
        <v>#NAME?</v>
      </c>
      <c r="L201" s="7" t="e">
        <f ca="1">_xll.xlqhClose($C201,L$8,$K$3)</f>
        <v>#NAME?</v>
      </c>
      <c r="N201" s="9">
        <f t="shared" ca="1" si="27"/>
        <v>1</v>
      </c>
      <c r="O201" s="9">
        <f t="shared" ca="1" si="28"/>
        <v>1</v>
      </c>
      <c r="P201" s="9">
        <f t="shared" ca="1" si="29"/>
        <v>1</v>
      </c>
      <c r="Q201" s="9">
        <f t="shared" ca="1" si="30"/>
        <v>1</v>
      </c>
      <c r="R201" s="9">
        <f t="shared" ca="1" si="31"/>
        <v>0</v>
      </c>
    </row>
    <row r="202" spans="2:18" x14ac:dyDescent="0.25">
      <c r="B202" s="17" t="s">
        <v>372</v>
      </c>
      <c r="C202" s="18" t="s">
        <v>373</v>
      </c>
      <c r="D202" s="7" t="e">
        <f ca="1">_xll.xlqPrice(C202)</f>
        <v>#NAME?</v>
      </c>
      <c r="E202" s="9" t="e">
        <f t="shared" ca="1" si="22"/>
        <v>#NAME?</v>
      </c>
      <c r="F202" s="9">
        <f t="shared" ca="1" si="23"/>
        <v>1</v>
      </c>
      <c r="G202" s="8">
        <f t="shared" ca="1" si="24"/>
        <v>0</v>
      </c>
      <c r="H202" s="8">
        <f t="shared" ca="1" si="25"/>
        <v>0</v>
      </c>
      <c r="I202" s="8">
        <f t="shared" ca="1" si="26"/>
        <v>0</v>
      </c>
      <c r="J202" s="6" t="e">
        <f ca="1">_xll.xlqxhSMA($C202,$L$4,$J$7,$K$3)</f>
        <v>#NAME?</v>
      </c>
      <c r="K202" s="7" t="e">
        <f ca="1">_xll.xlqhClose($C202,K$8,$K$3)</f>
        <v>#NAME?</v>
      </c>
      <c r="L202" s="7" t="e">
        <f ca="1">_xll.xlqhClose($C202,L$8,$K$3)</f>
        <v>#NAME?</v>
      </c>
      <c r="N202" s="9">
        <f t="shared" ca="1" si="27"/>
        <v>1</v>
      </c>
      <c r="O202" s="9">
        <f t="shared" ca="1" si="28"/>
        <v>1</v>
      </c>
      <c r="P202" s="9">
        <f t="shared" ca="1" si="29"/>
        <v>1</v>
      </c>
      <c r="Q202" s="9">
        <f t="shared" ca="1" si="30"/>
        <v>1</v>
      </c>
      <c r="R202" s="9">
        <f t="shared" ca="1" si="31"/>
        <v>0</v>
      </c>
    </row>
    <row r="203" spans="2:18" x14ac:dyDescent="0.25">
      <c r="B203" s="17" t="s">
        <v>302</v>
      </c>
      <c r="C203" s="18" t="s">
        <v>303</v>
      </c>
      <c r="D203" s="7" t="e">
        <f ca="1">_xll.xlqPrice(C203)</f>
        <v>#NAME?</v>
      </c>
      <c r="E203" s="9" t="e">
        <f t="shared" ref="E203:E266" ca="1" si="32">IF(D203&gt;J203, "Buy","Cash")</f>
        <v>#NAME?</v>
      </c>
      <c r="F203" s="9">
        <f t="shared" ref="F203:F266" ca="1" si="33">RANK(I203,$I$11:$I$1138,0)</f>
        <v>1</v>
      </c>
      <c r="G203" s="8">
        <f t="shared" ref="G203:G266" ca="1" si="34">IFERROR(($D203-K203)/K203,0)</f>
        <v>0</v>
      </c>
      <c r="H203" s="8">
        <f t="shared" ref="H203:H266" ca="1" si="35">IFERROR(($D203-L203)/L203,0)</f>
        <v>0</v>
      </c>
      <c r="I203" s="8">
        <f t="shared" ref="I203:I266" ca="1" si="36">IFERROR((G203*$G$8)+(H203*$H$8),0)</f>
        <v>0</v>
      </c>
      <c r="J203" s="6" t="e">
        <f ca="1">_xll.xlqxhSMA($C203,$L$4,$J$7,$K$3)</f>
        <v>#NAME?</v>
      </c>
      <c r="K203" s="7" t="e">
        <f ca="1">_xll.xlqhClose($C203,K$8,$K$3)</f>
        <v>#NAME?</v>
      </c>
      <c r="L203" s="7" t="e">
        <f ca="1">_xll.xlqhClose($C203,L$8,$K$3)</f>
        <v>#NAME?</v>
      </c>
      <c r="N203" s="9">
        <f t="shared" ref="N203:N266" ca="1" si="37">RANK($G203,G$11:G$1138,0)</f>
        <v>1</v>
      </c>
      <c r="O203" s="9">
        <f t="shared" ref="O203:O266" ca="1" si="38">RANK($H203,H$11:H$1138,0)</f>
        <v>1</v>
      </c>
      <c r="P203" s="9">
        <f t="shared" ref="P203:P266" ca="1" si="39">RANK($I203,I$11:I$1138,0)</f>
        <v>1</v>
      </c>
      <c r="Q203" s="9">
        <f t="shared" ref="Q203:Q266" ca="1" si="40">RANK($P203,P$11:P$1138,1)</f>
        <v>1</v>
      </c>
      <c r="R203" s="9">
        <f t="shared" ref="R203:R266" ca="1" si="41">F203-Q203</f>
        <v>0</v>
      </c>
    </row>
    <row r="204" spans="2:18" x14ac:dyDescent="0.25">
      <c r="B204" t="s">
        <v>2073</v>
      </c>
      <c r="C204" s="39" t="s">
        <v>2074</v>
      </c>
      <c r="D204" s="7" t="e">
        <f ca="1">_xll.xlqPrice(C204)</f>
        <v>#NAME?</v>
      </c>
      <c r="E204" s="9" t="e">
        <f t="shared" ca="1" si="32"/>
        <v>#NAME?</v>
      </c>
      <c r="F204" s="9">
        <f t="shared" ca="1" si="33"/>
        <v>1</v>
      </c>
      <c r="G204" s="8">
        <f t="shared" ca="1" si="34"/>
        <v>0</v>
      </c>
      <c r="H204" s="8">
        <f t="shared" ca="1" si="35"/>
        <v>0</v>
      </c>
      <c r="I204" s="8">
        <f t="shared" ca="1" si="36"/>
        <v>0</v>
      </c>
      <c r="J204" s="6" t="e">
        <f ca="1">_xll.xlqxhSMA($C204,$L$4,$J$7,$K$3)</f>
        <v>#NAME?</v>
      </c>
      <c r="K204" s="7" t="e">
        <f ca="1">_xll.xlqhClose($C204,K$8,$K$3)</f>
        <v>#NAME?</v>
      </c>
      <c r="L204" s="7" t="e">
        <f ca="1">_xll.xlqhClose($C204,L$8,$K$3)</f>
        <v>#NAME?</v>
      </c>
      <c r="N204" s="9">
        <f t="shared" ca="1" si="37"/>
        <v>1</v>
      </c>
      <c r="O204" s="9">
        <f t="shared" ca="1" si="38"/>
        <v>1</v>
      </c>
      <c r="P204" s="9">
        <f t="shared" ca="1" si="39"/>
        <v>1</v>
      </c>
      <c r="Q204" s="9">
        <f t="shared" ca="1" si="40"/>
        <v>1</v>
      </c>
      <c r="R204" s="9">
        <f t="shared" ca="1" si="41"/>
        <v>0</v>
      </c>
    </row>
    <row r="205" spans="2:18" x14ac:dyDescent="0.25">
      <c r="B205" s="17" t="s">
        <v>150</v>
      </c>
      <c r="C205" s="18" t="s">
        <v>151</v>
      </c>
      <c r="D205" s="7" t="e">
        <f ca="1">_xll.xlqPrice(C205)</f>
        <v>#NAME?</v>
      </c>
      <c r="E205" s="9" t="e">
        <f t="shared" ca="1" si="32"/>
        <v>#NAME?</v>
      </c>
      <c r="F205" s="9">
        <f t="shared" ca="1" si="33"/>
        <v>1</v>
      </c>
      <c r="G205" s="8">
        <f t="shared" ca="1" si="34"/>
        <v>0</v>
      </c>
      <c r="H205" s="8">
        <f t="shared" ca="1" si="35"/>
        <v>0</v>
      </c>
      <c r="I205" s="8">
        <f t="shared" ca="1" si="36"/>
        <v>0</v>
      </c>
      <c r="J205" s="6" t="e">
        <f ca="1">_xll.xlqxhSMA($C205,$L$4,$J$7,$K$3)</f>
        <v>#NAME?</v>
      </c>
      <c r="K205" s="7" t="e">
        <f ca="1">_xll.xlqhClose($C205,K$8,$K$3)</f>
        <v>#NAME?</v>
      </c>
      <c r="L205" s="7" t="e">
        <f ca="1">_xll.xlqhClose($C205,L$8,$K$3)</f>
        <v>#NAME?</v>
      </c>
      <c r="N205" s="9">
        <f t="shared" ca="1" si="37"/>
        <v>1</v>
      </c>
      <c r="O205" s="9">
        <f t="shared" ca="1" si="38"/>
        <v>1</v>
      </c>
      <c r="P205" s="9">
        <f t="shared" ca="1" si="39"/>
        <v>1</v>
      </c>
      <c r="Q205" s="9">
        <f t="shared" ca="1" si="40"/>
        <v>1</v>
      </c>
      <c r="R205" s="9">
        <f t="shared" ca="1" si="41"/>
        <v>0</v>
      </c>
    </row>
    <row r="206" spans="2:18" x14ac:dyDescent="0.25">
      <c r="B206" s="17" t="s">
        <v>186</v>
      </c>
      <c r="C206" s="18" t="s">
        <v>187</v>
      </c>
      <c r="D206" s="7" t="e">
        <f ca="1">_xll.xlqPrice(C206)</f>
        <v>#NAME?</v>
      </c>
      <c r="E206" s="9" t="e">
        <f t="shared" ca="1" si="32"/>
        <v>#NAME?</v>
      </c>
      <c r="F206" s="9">
        <f t="shared" ca="1" si="33"/>
        <v>1</v>
      </c>
      <c r="G206" s="8">
        <f t="shared" ca="1" si="34"/>
        <v>0</v>
      </c>
      <c r="H206" s="8">
        <f t="shared" ca="1" si="35"/>
        <v>0</v>
      </c>
      <c r="I206" s="8">
        <f t="shared" ca="1" si="36"/>
        <v>0</v>
      </c>
      <c r="J206" s="6" t="e">
        <f ca="1">_xll.xlqxhSMA($C206,$L$4,$J$7,$K$3)</f>
        <v>#NAME?</v>
      </c>
      <c r="K206" s="7" t="e">
        <f ca="1">_xll.xlqhClose($C206,K$8,$K$3)</f>
        <v>#NAME?</v>
      </c>
      <c r="L206" s="7" t="e">
        <f ca="1">_xll.xlqhClose($C206,L$8,$K$3)</f>
        <v>#NAME?</v>
      </c>
      <c r="N206" s="9">
        <f t="shared" ca="1" si="37"/>
        <v>1</v>
      </c>
      <c r="O206" s="9">
        <f t="shared" ca="1" si="38"/>
        <v>1</v>
      </c>
      <c r="P206" s="9">
        <f t="shared" ca="1" si="39"/>
        <v>1</v>
      </c>
      <c r="Q206" s="9">
        <f t="shared" ca="1" si="40"/>
        <v>1</v>
      </c>
      <c r="R206" s="9">
        <f t="shared" ca="1" si="41"/>
        <v>0</v>
      </c>
    </row>
    <row r="207" spans="2:18" x14ac:dyDescent="0.25">
      <c r="B207" s="17" t="s">
        <v>2275</v>
      </c>
      <c r="C207" s="18" t="s">
        <v>2276</v>
      </c>
      <c r="D207" s="7" t="e">
        <f ca="1">_xll.xlqPrice(C207)</f>
        <v>#NAME?</v>
      </c>
      <c r="E207" s="9" t="e">
        <f t="shared" ca="1" si="32"/>
        <v>#NAME?</v>
      </c>
      <c r="F207" s="9">
        <f t="shared" ca="1" si="33"/>
        <v>1</v>
      </c>
      <c r="G207" s="8">
        <f t="shared" ca="1" si="34"/>
        <v>0</v>
      </c>
      <c r="H207" s="8">
        <f t="shared" ca="1" si="35"/>
        <v>0</v>
      </c>
      <c r="I207" s="8">
        <f t="shared" ca="1" si="36"/>
        <v>0</v>
      </c>
      <c r="J207" s="6" t="e">
        <f ca="1">_xll.xlqxhSMA($C207,$L$4,$J$7,$K$3)</f>
        <v>#NAME?</v>
      </c>
      <c r="K207" s="7" t="e">
        <f ca="1">_xll.xlqhClose($C207,K$8,$K$3)</f>
        <v>#NAME?</v>
      </c>
      <c r="L207" s="7" t="e">
        <f ca="1">_xll.xlqhClose($C207,L$8,$K$3)</f>
        <v>#NAME?</v>
      </c>
      <c r="N207" s="9">
        <f t="shared" ca="1" si="37"/>
        <v>1</v>
      </c>
      <c r="O207" s="9">
        <f t="shared" ca="1" si="38"/>
        <v>1</v>
      </c>
      <c r="P207" s="9">
        <f t="shared" ca="1" si="39"/>
        <v>1</v>
      </c>
      <c r="Q207" s="9">
        <f t="shared" ca="1" si="40"/>
        <v>1</v>
      </c>
      <c r="R207" s="9">
        <f t="shared" ca="1" si="41"/>
        <v>0</v>
      </c>
    </row>
    <row r="208" spans="2:18" x14ac:dyDescent="0.25">
      <c r="B208" s="17" t="s">
        <v>1905</v>
      </c>
      <c r="C208" s="18" t="s">
        <v>1906</v>
      </c>
      <c r="D208" s="7" t="e">
        <f ca="1">_xll.xlqPrice(C208)</f>
        <v>#NAME?</v>
      </c>
      <c r="E208" s="9" t="e">
        <f t="shared" ca="1" si="32"/>
        <v>#NAME?</v>
      </c>
      <c r="F208" s="9">
        <f t="shared" ca="1" si="33"/>
        <v>1</v>
      </c>
      <c r="G208" s="8">
        <f t="shared" ca="1" si="34"/>
        <v>0</v>
      </c>
      <c r="H208" s="8">
        <f t="shared" ca="1" si="35"/>
        <v>0</v>
      </c>
      <c r="I208" s="8">
        <f t="shared" ca="1" si="36"/>
        <v>0</v>
      </c>
      <c r="J208" s="6" t="e">
        <f ca="1">_xll.xlqxhSMA($C208,$L$4,$J$7,$K$3)</f>
        <v>#NAME?</v>
      </c>
      <c r="K208" s="7" t="e">
        <f ca="1">_xll.xlqhClose($C208,K$8,$K$3)</f>
        <v>#NAME?</v>
      </c>
      <c r="L208" s="7" t="e">
        <f ca="1">_xll.xlqhClose($C208,L$8,$K$3)</f>
        <v>#NAME?</v>
      </c>
      <c r="N208" s="9">
        <f t="shared" ca="1" si="37"/>
        <v>1</v>
      </c>
      <c r="O208" s="9">
        <f t="shared" ca="1" si="38"/>
        <v>1</v>
      </c>
      <c r="P208" s="9">
        <f t="shared" ca="1" si="39"/>
        <v>1</v>
      </c>
      <c r="Q208" s="9">
        <f t="shared" ca="1" si="40"/>
        <v>1</v>
      </c>
      <c r="R208" s="9">
        <f t="shared" ca="1" si="41"/>
        <v>0</v>
      </c>
    </row>
    <row r="209" spans="2:18" x14ac:dyDescent="0.25">
      <c r="B209" s="17" t="s">
        <v>388</v>
      </c>
      <c r="C209" s="18" t="s">
        <v>389</v>
      </c>
      <c r="D209" s="7" t="e">
        <f ca="1">_xll.xlqPrice(C209)</f>
        <v>#NAME?</v>
      </c>
      <c r="E209" s="9" t="e">
        <f t="shared" ca="1" si="32"/>
        <v>#NAME?</v>
      </c>
      <c r="F209" s="9">
        <f t="shared" ca="1" si="33"/>
        <v>1</v>
      </c>
      <c r="G209" s="8">
        <f t="shared" ca="1" si="34"/>
        <v>0</v>
      </c>
      <c r="H209" s="8">
        <f t="shared" ca="1" si="35"/>
        <v>0</v>
      </c>
      <c r="I209" s="8">
        <f t="shared" ca="1" si="36"/>
        <v>0</v>
      </c>
      <c r="J209" s="6" t="e">
        <f ca="1">_xll.xlqxhSMA($C209,$L$4,$J$7,$K$3)</f>
        <v>#NAME?</v>
      </c>
      <c r="K209" s="7" t="e">
        <f ca="1">_xll.xlqhClose($C209,K$8,$K$3)</f>
        <v>#NAME?</v>
      </c>
      <c r="L209" s="7" t="e">
        <f ca="1">_xll.xlqhClose($C209,L$8,$K$3)</f>
        <v>#NAME?</v>
      </c>
      <c r="N209" s="9">
        <f t="shared" ca="1" si="37"/>
        <v>1</v>
      </c>
      <c r="O209" s="9">
        <f t="shared" ca="1" si="38"/>
        <v>1</v>
      </c>
      <c r="P209" s="9">
        <f t="shared" ca="1" si="39"/>
        <v>1</v>
      </c>
      <c r="Q209" s="9">
        <f t="shared" ca="1" si="40"/>
        <v>1</v>
      </c>
      <c r="R209" s="9">
        <f t="shared" ca="1" si="41"/>
        <v>0</v>
      </c>
    </row>
    <row r="210" spans="2:18" x14ac:dyDescent="0.25">
      <c r="B210" s="17" t="s">
        <v>61</v>
      </c>
      <c r="C210" s="18" t="s">
        <v>62</v>
      </c>
      <c r="D210" s="7" t="e">
        <f ca="1">_xll.xlqPrice(C210)</f>
        <v>#NAME?</v>
      </c>
      <c r="E210" s="9" t="e">
        <f t="shared" ca="1" si="32"/>
        <v>#NAME?</v>
      </c>
      <c r="F210" s="9">
        <f t="shared" ca="1" si="33"/>
        <v>1</v>
      </c>
      <c r="G210" s="8">
        <f t="shared" ca="1" si="34"/>
        <v>0</v>
      </c>
      <c r="H210" s="8">
        <f t="shared" ca="1" si="35"/>
        <v>0</v>
      </c>
      <c r="I210" s="8">
        <f t="shared" ca="1" si="36"/>
        <v>0</v>
      </c>
      <c r="J210" s="6" t="e">
        <f ca="1">_xll.xlqxhSMA($C210,$L$4,$J$7,$K$3)</f>
        <v>#NAME?</v>
      </c>
      <c r="K210" s="7" t="e">
        <f ca="1">_xll.xlqhClose($C210,K$8,$K$3)</f>
        <v>#NAME?</v>
      </c>
      <c r="L210" s="7" t="e">
        <f ca="1">_xll.xlqhClose($C210,L$8,$K$3)</f>
        <v>#NAME?</v>
      </c>
      <c r="N210" s="9">
        <f t="shared" ca="1" si="37"/>
        <v>1</v>
      </c>
      <c r="O210" s="9">
        <f t="shared" ca="1" si="38"/>
        <v>1</v>
      </c>
      <c r="P210" s="9">
        <f t="shared" ca="1" si="39"/>
        <v>1</v>
      </c>
      <c r="Q210" s="9">
        <f t="shared" ca="1" si="40"/>
        <v>1</v>
      </c>
      <c r="R210" s="9">
        <f t="shared" ca="1" si="41"/>
        <v>0</v>
      </c>
    </row>
    <row r="211" spans="2:18" x14ac:dyDescent="0.25">
      <c r="B211" s="17" t="s">
        <v>2253</v>
      </c>
      <c r="C211" s="18" t="s">
        <v>2254</v>
      </c>
      <c r="D211" s="7" t="e">
        <f ca="1">_xll.xlqPrice(C211)</f>
        <v>#NAME?</v>
      </c>
      <c r="E211" s="9" t="e">
        <f t="shared" ca="1" si="32"/>
        <v>#NAME?</v>
      </c>
      <c r="F211" s="9">
        <f t="shared" ca="1" si="33"/>
        <v>1</v>
      </c>
      <c r="G211" s="8">
        <f t="shared" ca="1" si="34"/>
        <v>0</v>
      </c>
      <c r="H211" s="8">
        <f t="shared" ca="1" si="35"/>
        <v>0</v>
      </c>
      <c r="I211" s="8">
        <f t="shared" ca="1" si="36"/>
        <v>0</v>
      </c>
      <c r="J211" s="6" t="e">
        <f ca="1">_xll.xlqxhSMA($C211,$L$4,$J$7,$K$3)</f>
        <v>#NAME?</v>
      </c>
      <c r="K211" s="7" t="e">
        <f ca="1">_xll.xlqhClose($C211,K$8,$K$3)</f>
        <v>#NAME?</v>
      </c>
      <c r="L211" s="7" t="e">
        <f ca="1">_xll.xlqhClose($C211,L$8,$K$3)</f>
        <v>#NAME?</v>
      </c>
      <c r="N211" s="9">
        <f t="shared" ca="1" si="37"/>
        <v>1</v>
      </c>
      <c r="O211" s="9">
        <f t="shared" ca="1" si="38"/>
        <v>1</v>
      </c>
      <c r="P211" s="9">
        <f t="shared" ca="1" si="39"/>
        <v>1</v>
      </c>
      <c r="Q211" s="9">
        <f t="shared" ca="1" si="40"/>
        <v>1</v>
      </c>
      <c r="R211" s="9">
        <f t="shared" ca="1" si="41"/>
        <v>0</v>
      </c>
    </row>
    <row r="212" spans="2:18" x14ac:dyDescent="0.25">
      <c r="B212" s="17" t="s">
        <v>2145</v>
      </c>
      <c r="C212" s="18" t="s">
        <v>2146</v>
      </c>
      <c r="D212" s="7" t="e">
        <f ca="1">_xll.xlqPrice(C212)</f>
        <v>#NAME?</v>
      </c>
      <c r="E212" s="9" t="e">
        <f t="shared" ca="1" si="32"/>
        <v>#NAME?</v>
      </c>
      <c r="F212" s="9">
        <f t="shared" ca="1" si="33"/>
        <v>1</v>
      </c>
      <c r="G212" s="8">
        <f t="shared" ca="1" si="34"/>
        <v>0</v>
      </c>
      <c r="H212" s="8">
        <f t="shared" ca="1" si="35"/>
        <v>0</v>
      </c>
      <c r="I212" s="8">
        <f t="shared" ca="1" si="36"/>
        <v>0</v>
      </c>
      <c r="J212" s="6" t="e">
        <f ca="1">_xll.xlqxhSMA($C212,$L$4,$J$7,$K$3)</f>
        <v>#NAME?</v>
      </c>
      <c r="K212" s="7" t="e">
        <f ca="1">_xll.xlqhClose($C212,K$8,$K$3)</f>
        <v>#NAME?</v>
      </c>
      <c r="L212" s="7" t="e">
        <f ca="1">_xll.xlqhClose($C212,L$8,$K$3)</f>
        <v>#NAME?</v>
      </c>
      <c r="N212" s="9">
        <f t="shared" ca="1" si="37"/>
        <v>1</v>
      </c>
      <c r="O212" s="9">
        <f t="shared" ca="1" si="38"/>
        <v>1</v>
      </c>
      <c r="P212" s="9">
        <f t="shared" ca="1" si="39"/>
        <v>1</v>
      </c>
      <c r="Q212" s="9">
        <f t="shared" ca="1" si="40"/>
        <v>1</v>
      </c>
      <c r="R212" s="9">
        <f t="shared" ca="1" si="41"/>
        <v>0</v>
      </c>
    </row>
    <row r="213" spans="2:18" x14ac:dyDescent="0.25">
      <c r="B213" s="17" t="s">
        <v>1121</v>
      </c>
      <c r="C213" s="18" t="s">
        <v>1122</v>
      </c>
      <c r="D213" s="7" t="e">
        <f ca="1">_xll.xlqPrice(C213)</f>
        <v>#NAME?</v>
      </c>
      <c r="E213" s="9" t="e">
        <f t="shared" ca="1" si="32"/>
        <v>#NAME?</v>
      </c>
      <c r="F213" s="9">
        <f t="shared" ca="1" si="33"/>
        <v>1</v>
      </c>
      <c r="G213" s="8">
        <f t="shared" ca="1" si="34"/>
        <v>0</v>
      </c>
      <c r="H213" s="8">
        <f t="shared" ca="1" si="35"/>
        <v>0</v>
      </c>
      <c r="I213" s="8">
        <f t="shared" ca="1" si="36"/>
        <v>0</v>
      </c>
      <c r="J213" s="6" t="e">
        <f ca="1">_xll.xlqxhSMA($C213,$L$4,$J$7,$K$3)</f>
        <v>#NAME?</v>
      </c>
      <c r="K213" s="7" t="e">
        <f ca="1">_xll.xlqhClose($C213,K$8,$K$3)</f>
        <v>#NAME?</v>
      </c>
      <c r="L213" s="7" t="e">
        <f ca="1">_xll.xlqhClose($C213,L$8,$K$3)</f>
        <v>#NAME?</v>
      </c>
      <c r="N213" s="9">
        <f t="shared" ca="1" si="37"/>
        <v>1</v>
      </c>
      <c r="O213" s="9">
        <f t="shared" ca="1" si="38"/>
        <v>1</v>
      </c>
      <c r="P213" s="9">
        <f t="shared" ca="1" si="39"/>
        <v>1</v>
      </c>
      <c r="Q213" s="9">
        <f t="shared" ca="1" si="40"/>
        <v>1</v>
      </c>
      <c r="R213" s="9">
        <f t="shared" ca="1" si="41"/>
        <v>0</v>
      </c>
    </row>
    <row r="214" spans="2:18" x14ac:dyDescent="0.25">
      <c r="B214" s="17" t="s">
        <v>1859</v>
      </c>
      <c r="C214" s="18" t="s">
        <v>1860</v>
      </c>
      <c r="D214" s="7" t="e">
        <f ca="1">_xll.xlqPrice(C214)</f>
        <v>#NAME?</v>
      </c>
      <c r="E214" s="9" t="e">
        <f t="shared" ca="1" si="32"/>
        <v>#NAME?</v>
      </c>
      <c r="F214" s="9">
        <f t="shared" ca="1" si="33"/>
        <v>1</v>
      </c>
      <c r="G214" s="8">
        <f t="shared" ca="1" si="34"/>
        <v>0</v>
      </c>
      <c r="H214" s="8">
        <f t="shared" ca="1" si="35"/>
        <v>0</v>
      </c>
      <c r="I214" s="8">
        <f t="shared" ca="1" si="36"/>
        <v>0</v>
      </c>
      <c r="J214" s="6" t="e">
        <f ca="1">_xll.xlqxhSMA($C214,$L$4,$J$7,$K$3)</f>
        <v>#NAME?</v>
      </c>
      <c r="K214" s="7" t="e">
        <f ca="1">_xll.xlqhClose($C214,K$8,$K$3)</f>
        <v>#NAME?</v>
      </c>
      <c r="L214" s="7" t="e">
        <f ca="1">_xll.xlqhClose($C214,L$8,$K$3)</f>
        <v>#NAME?</v>
      </c>
      <c r="N214" s="9">
        <f t="shared" ca="1" si="37"/>
        <v>1</v>
      </c>
      <c r="O214" s="9">
        <f t="shared" ca="1" si="38"/>
        <v>1</v>
      </c>
      <c r="P214" s="9">
        <f t="shared" ca="1" si="39"/>
        <v>1</v>
      </c>
      <c r="Q214" s="9">
        <f t="shared" ca="1" si="40"/>
        <v>1</v>
      </c>
      <c r="R214" s="9">
        <f t="shared" ca="1" si="41"/>
        <v>0</v>
      </c>
    </row>
    <row r="215" spans="2:18" x14ac:dyDescent="0.25">
      <c r="B215" s="17" t="s">
        <v>434</v>
      </c>
      <c r="C215" s="18" t="s">
        <v>435</v>
      </c>
      <c r="D215" s="7" t="e">
        <f ca="1">_xll.xlqPrice(C215)</f>
        <v>#NAME?</v>
      </c>
      <c r="E215" s="9" t="e">
        <f t="shared" ca="1" si="32"/>
        <v>#NAME?</v>
      </c>
      <c r="F215" s="9">
        <f t="shared" ca="1" si="33"/>
        <v>1</v>
      </c>
      <c r="G215" s="8">
        <f t="shared" ca="1" si="34"/>
        <v>0</v>
      </c>
      <c r="H215" s="8">
        <f t="shared" ca="1" si="35"/>
        <v>0</v>
      </c>
      <c r="I215" s="8">
        <f t="shared" ca="1" si="36"/>
        <v>0</v>
      </c>
      <c r="J215" s="6" t="e">
        <f ca="1">_xll.xlqxhSMA($C215,$L$4,$J$7,$K$3)</f>
        <v>#NAME?</v>
      </c>
      <c r="K215" s="7" t="e">
        <f ca="1">_xll.xlqhClose($C215,K$8,$K$3)</f>
        <v>#NAME?</v>
      </c>
      <c r="L215" s="7" t="e">
        <f ca="1">_xll.xlqhClose($C215,L$8,$K$3)</f>
        <v>#NAME?</v>
      </c>
      <c r="N215" s="9">
        <f t="shared" ca="1" si="37"/>
        <v>1</v>
      </c>
      <c r="O215" s="9">
        <f t="shared" ca="1" si="38"/>
        <v>1</v>
      </c>
      <c r="P215" s="9">
        <f t="shared" ca="1" si="39"/>
        <v>1</v>
      </c>
      <c r="Q215" s="9">
        <f t="shared" ca="1" si="40"/>
        <v>1</v>
      </c>
      <c r="R215" s="9">
        <f t="shared" ca="1" si="41"/>
        <v>0</v>
      </c>
    </row>
    <row r="216" spans="2:18" x14ac:dyDescent="0.25">
      <c r="B216" s="17" t="s">
        <v>1503</v>
      </c>
      <c r="C216" s="18" t="s">
        <v>1504</v>
      </c>
      <c r="D216" s="7" t="e">
        <f ca="1">_xll.xlqPrice(C216)</f>
        <v>#NAME?</v>
      </c>
      <c r="E216" s="9" t="e">
        <f t="shared" ca="1" si="32"/>
        <v>#NAME?</v>
      </c>
      <c r="F216" s="9">
        <f t="shared" ca="1" si="33"/>
        <v>1</v>
      </c>
      <c r="G216" s="8">
        <f t="shared" ca="1" si="34"/>
        <v>0</v>
      </c>
      <c r="H216" s="8">
        <f t="shared" ca="1" si="35"/>
        <v>0</v>
      </c>
      <c r="I216" s="8">
        <f t="shared" ca="1" si="36"/>
        <v>0</v>
      </c>
      <c r="J216" s="6" t="e">
        <f ca="1">_xll.xlqxhSMA($C216,$L$4,$J$7,$K$3)</f>
        <v>#NAME?</v>
      </c>
      <c r="K216" s="7" t="e">
        <f ca="1">_xll.xlqhClose($C216,K$8,$K$3)</f>
        <v>#NAME?</v>
      </c>
      <c r="L216" s="7" t="e">
        <f ca="1">_xll.xlqhClose($C216,L$8,$K$3)</f>
        <v>#NAME?</v>
      </c>
      <c r="N216" s="9">
        <f t="shared" ca="1" si="37"/>
        <v>1</v>
      </c>
      <c r="O216" s="9">
        <f t="shared" ca="1" si="38"/>
        <v>1</v>
      </c>
      <c r="P216" s="9">
        <f t="shared" ca="1" si="39"/>
        <v>1</v>
      </c>
      <c r="Q216" s="9">
        <f t="shared" ca="1" si="40"/>
        <v>1</v>
      </c>
      <c r="R216" s="9">
        <f t="shared" ca="1" si="41"/>
        <v>0</v>
      </c>
    </row>
    <row r="217" spans="2:18" x14ac:dyDescent="0.25">
      <c r="B217" s="17" t="s">
        <v>1587</v>
      </c>
      <c r="C217" s="18" t="s">
        <v>1588</v>
      </c>
      <c r="D217" s="7" t="e">
        <f ca="1">_xll.xlqPrice(C217)</f>
        <v>#NAME?</v>
      </c>
      <c r="E217" s="9" t="e">
        <f t="shared" ca="1" si="32"/>
        <v>#NAME?</v>
      </c>
      <c r="F217" s="9">
        <f t="shared" ca="1" si="33"/>
        <v>1</v>
      </c>
      <c r="G217" s="8">
        <f t="shared" ca="1" si="34"/>
        <v>0</v>
      </c>
      <c r="H217" s="8">
        <f t="shared" ca="1" si="35"/>
        <v>0</v>
      </c>
      <c r="I217" s="8">
        <f t="shared" ca="1" si="36"/>
        <v>0</v>
      </c>
      <c r="J217" s="6" t="e">
        <f ca="1">_xll.xlqxhSMA($C217,$L$4,$J$7,$K$3)</f>
        <v>#NAME?</v>
      </c>
      <c r="K217" s="7" t="e">
        <f ca="1">_xll.xlqhClose($C217,K$8,$K$3)</f>
        <v>#NAME?</v>
      </c>
      <c r="L217" s="7" t="e">
        <f ca="1">_xll.xlqhClose($C217,L$8,$K$3)</f>
        <v>#NAME?</v>
      </c>
      <c r="N217" s="9">
        <f t="shared" ca="1" si="37"/>
        <v>1</v>
      </c>
      <c r="O217" s="9">
        <f t="shared" ca="1" si="38"/>
        <v>1</v>
      </c>
      <c r="P217" s="9">
        <f t="shared" ca="1" si="39"/>
        <v>1</v>
      </c>
      <c r="Q217" s="9">
        <f t="shared" ca="1" si="40"/>
        <v>1</v>
      </c>
      <c r="R217" s="9">
        <f t="shared" ca="1" si="41"/>
        <v>0</v>
      </c>
    </row>
    <row r="218" spans="2:18" x14ac:dyDescent="0.25">
      <c r="B218" s="17" t="s">
        <v>494</v>
      </c>
      <c r="C218" s="18" t="s">
        <v>495</v>
      </c>
      <c r="D218" s="7" t="e">
        <f ca="1">_xll.xlqPrice(C218)</f>
        <v>#NAME?</v>
      </c>
      <c r="E218" s="9" t="e">
        <f t="shared" ca="1" si="32"/>
        <v>#NAME?</v>
      </c>
      <c r="F218" s="9">
        <f t="shared" ca="1" si="33"/>
        <v>1</v>
      </c>
      <c r="G218" s="8">
        <f t="shared" ca="1" si="34"/>
        <v>0</v>
      </c>
      <c r="H218" s="8">
        <f t="shared" ca="1" si="35"/>
        <v>0</v>
      </c>
      <c r="I218" s="8">
        <f t="shared" ca="1" si="36"/>
        <v>0</v>
      </c>
      <c r="J218" s="6" t="e">
        <f ca="1">_xll.xlqxhSMA($C218,$L$4,$J$7,$K$3)</f>
        <v>#NAME?</v>
      </c>
      <c r="K218" s="7" t="e">
        <f ca="1">_xll.xlqhClose($C218,K$8,$K$3)</f>
        <v>#NAME?</v>
      </c>
      <c r="L218" s="7" t="e">
        <f ca="1">_xll.xlqhClose($C218,L$8,$K$3)</f>
        <v>#NAME?</v>
      </c>
      <c r="N218" s="9">
        <f t="shared" ca="1" si="37"/>
        <v>1</v>
      </c>
      <c r="O218" s="9">
        <f t="shared" ca="1" si="38"/>
        <v>1</v>
      </c>
      <c r="P218" s="9">
        <f t="shared" ca="1" si="39"/>
        <v>1</v>
      </c>
      <c r="Q218" s="9">
        <f t="shared" ca="1" si="40"/>
        <v>1</v>
      </c>
      <c r="R218" s="9">
        <f t="shared" ca="1" si="41"/>
        <v>0</v>
      </c>
    </row>
    <row r="219" spans="2:18" x14ac:dyDescent="0.25">
      <c r="B219" s="17" t="s">
        <v>1845</v>
      </c>
      <c r="C219" s="18" t="s">
        <v>1846</v>
      </c>
      <c r="D219" s="7" t="e">
        <f ca="1">_xll.xlqPrice(C219)</f>
        <v>#NAME?</v>
      </c>
      <c r="E219" s="9" t="e">
        <f t="shared" ca="1" si="32"/>
        <v>#NAME?</v>
      </c>
      <c r="F219" s="9">
        <f t="shared" ca="1" si="33"/>
        <v>1</v>
      </c>
      <c r="G219" s="8">
        <f t="shared" ca="1" si="34"/>
        <v>0</v>
      </c>
      <c r="H219" s="8">
        <f t="shared" ca="1" si="35"/>
        <v>0</v>
      </c>
      <c r="I219" s="8">
        <f t="shared" ca="1" si="36"/>
        <v>0</v>
      </c>
      <c r="J219" s="6" t="e">
        <f ca="1">_xll.xlqxhSMA($C219,$L$4,$J$7,$K$3)</f>
        <v>#NAME?</v>
      </c>
      <c r="K219" s="7" t="e">
        <f ca="1">_xll.xlqhClose($C219,K$8,$K$3)</f>
        <v>#NAME?</v>
      </c>
      <c r="L219" s="7" t="e">
        <f ca="1">_xll.xlqhClose($C219,L$8,$K$3)</f>
        <v>#NAME?</v>
      </c>
      <c r="N219" s="9">
        <f t="shared" ca="1" si="37"/>
        <v>1</v>
      </c>
      <c r="O219" s="9">
        <f t="shared" ca="1" si="38"/>
        <v>1</v>
      </c>
      <c r="P219" s="9">
        <f t="shared" ca="1" si="39"/>
        <v>1</v>
      </c>
      <c r="Q219" s="9">
        <f t="shared" ca="1" si="40"/>
        <v>1</v>
      </c>
      <c r="R219" s="9">
        <f t="shared" ca="1" si="41"/>
        <v>0</v>
      </c>
    </row>
    <row r="220" spans="2:18" x14ac:dyDescent="0.25">
      <c r="B220" t="s">
        <v>1297</v>
      </c>
      <c r="C220" s="39" t="s">
        <v>1298</v>
      </c>
      <c r="D220" s="7" t="e">
        <f ca="1">_xll.xlqPrice(C220)</f>
        <v>#NAME?</v>
      </c>
      <c r="E220" s="9" t="e">
        <f t="shared" ca="1" si="32"/>
        <v>#NAME?</v>
      </c>
      <c r="F220" s="9">
        <f t="shared" ca="1" si="33"/>
        <v>1</v>
      </c>
      <c r="G220" s="8">
        <f t="shared" ca="1" si="34"/>
        <v>0</v>
      </c>
      <c r="H220" s="8">
        <f t="shared" ca="1" si="35"/>
        <v>0</v>
      </c>
      <c r="I220" s="8">
        <f t="shared" ca="1" si="36"/>
        <v>0</v>
      </c>
      <c r="J220" s="6" t="e">
        <f ca="1">_xll.xlqxhSMA($C220,$L$4,$J$7,$K$3)</f>
        <v>#NAME?</v>
      </c>
      <c r="K220" s="7" t="e">
        <f ca="1">_xll.xlqhClose($C220,K$8,$K$3)</f>
        <v>#NAME?</v>
      </c>
      <c r="L220" s="7" t="e">
        <f ca="1">_xll.xlqhClose($C220,L$8,$K$3)</f>
        <v>#NAME?</v>
      </c>
      <c r="N220" s="9">
        <f t="shared" ca="1" si="37"/>
        <v>1</v>
      </c>
      <c r="O220" s="9">
        <f t="shared" ca="1" si="38"/>
        <v>1</v>
      </c>
      <c r="P220" s="9">
        <f t="shared" ca="1" si="39"/>
        <v>1</v>
      </c>
      <c r="Q220" s="9">
        <f t="shared" ca="1" si="40"/>
        <v>1</v>
      </c>
      <c r="R220" s="9">
        <f t="shared" ca="1" si="41"/>
        <v>0</v>
      </c>
    </row>
    <row r="221" spans="2:18" x14ac:dyDescent="0.25">
      <c r="B221" t="s">
        <v>1429</v>
      </c>
      <c r="C221" s="39" t="s">
        <v>1430</v>
      </c>
      <c r="D221" s="7" t="e">
        <f ca="1">_xll.xlqPrice(C221)</f>
        <v>#NAME?</v>
      </c>
      <c r="E221" s="9" t="e">
        <f t="shared" ca="1" si="32"/>
        <v>#NAME?</v>
      </c>
      <c r="F221" s="9">
        <f t="shared" ca="1" si="33"/>
        <v>1</v>
      </c>
      <c r="G221" s="8">
        <f t="shared" ca="1" si="34"/>
        <v>0</v>
      </c>
      <c r="H221" s="8">
        <f t="shared" ca="1" si="35"/>
        <v>0</v>
      </c>
      <c r="I221" s="8">
        <f t="shared" ca="1" si="36"/>
        <v>0</v>
      </c>
      <c r="J221" s="6" t="e">
        <f ca="1">_xll.xlqxhSMA($C221,$L$4,$J$7,$K$3)</f>
        <v>#NAME?</v>
      </c>
      <c r="K221" s="7" t="e">
        <f ca="1">_xll.xlqhClose($C221,K$8,$K$3)</f>
        <v>#NAME?</v>
      </c>
      <c r="L221" s="7" t="e">
        <f ca="1">_xll.xlqhClose($C221,L$8,$K$3)</f>
        <v>#NAME?</v>
      </c>
      <c r="N221" s="9">
        <f t="shared" ca="1" si="37"/>
        <v>1</v>
      </c>
      <c r="O221" s="9">
        <f t="shared" ca="1" si="38"/>
        <v>1</v>
      </c>
      <c r="P221" s="9">
        <f t="shared" ca="1" si="39"/>
        <v>1</v>
      </c>
      <c r="Q221" s="9">
        <f t="shared" ca="1" si="40"/>
        <v>1</v>
      </c>
      <c r="R221" s="9">
        <f t="shared" ca="1" si="41"/>
        <v>0</v>
      </c>
    </row>
    <row r="222" spans="2:18" x14ac:dyDescent="0.25">
      <c r="B222" s="17" t="s">
        <v>418</v>
      </c>
      <c r="C222" s="18" t="s">
        <v>419</v>
      </c>
      <c r="D222" s="7" t="e">
        <f ca="1">_xll.xlqPrice(C222)</f>
        <v>#NAME?</v>
      </c>
      <c r="E222" s="9" t="e">
        <f t="shared" ca="1" si="32"/>
        <v>#NAME?</v>
      </c>
      <c r="F222" s="9">
        <f t="shared" ca="1" si="33"/>
        <v>1</v>
      </c>
      <c r="G222" s="8">
        <f t="shared" ca="1" si="34"/>
        <v>0</v>
      </c>
      <c r="H222" s="8">
        <f t="shared" ca="1" si="35"/>
        <v>0</v>
      </c>
      <c r="I222" s="8">
        <f t="shared" ca="1" si="36"/>
        <v>0</v>
      </c>
      <c r="J222" s="6" t="e">
        <f ca="1">_xll.xlqxhSMA($C222,$L$4,$J$7,$K$3)</f>
        <v>#NAME?</v>
      </c>
      <c r="K222" s="7" t="e">
        <f ca="1">_xll.xlqhClose($C222,K$8,$K$3)</f>
        <v>#NAME?</v>
      </c>
      <c r="L222" s="7" t="e">
        <f ca="1">_xll.xlqhClose($C222,L$8,$K$3)</f>
        <v>#NAME?</v>
      </c>
      <c r="N222" s="9">
        <f t="shared" ca="1" si="37"/>
        <v>1</v>
      </c>
      <c r="O222" s="9">
        <f t="shared" ca="1" si="38"/>
        <v>1</v>
      </c>
      <c r="P222" s="9">
        <f t="shared" ca="1" si="39"/>
        <v>1</v>
      </c>
      <c r="Q222" s="9">
        <f t="shared" ca="1" si="40"/>
        <v>1</v>
      </c>
      <c r="R222" s="9">
        <f t="shared" ca="1" si="41"/>
        <v>0</v>
      </c>
    </row>
    <row r="223" spans="2:18" x14ac:dyDescent="0.25">
      <c r="B223" s="17" t="s">
        <v>2111</v>
      </c>
      <c r="C223" s="18" t="s">
        <v>2112</v>
      </c>
      <c r="D223" s="7" t="e">
        <f ca="1">_xll.xlqPrice(C223)</f>
        <v>#NAME?</v>
      </c>
      <c r="E223" s="9" t="e">
        <f t="shared" ca="1" si="32"/>
        <v>#NAME?</v>
      </c>
      <c r="F223" s="9">
        <f t="shared" ca="1" si="33"/>
        <v>1</v>
      </c>
      <c r="G223" s="8">
        <f t="shared" ca="1" si="34"/>
        <v>0</v>
      </c>
      <c r="H223" s="8">
        <f t="shared" ca="1" si="35"/>
        <v>0</v>
      </c>
      <c r="I223" s="8">
        <f t="shared" ca="1" si="36"/>
        <v>0</v>
      </c>
      <c r="J223" s="6" t="e">
        <f ca="1">_xll.xlqxhSMA($C223,$L$4,$J$7,$K$3)</f>
        <v>#NAME?</v>
      </c>
      <c r="K223" s="7" t="e">
        <f ca="1">_xll.xlqhClose($C223,K$8,$K$3)</f>
        <v>#NAME?</v>
      </c>
      <c r="L223" s="7" t="e">
        <f ca="1">_xll.xlqhClose($C223,L$8,$K$3)</f>
        <v>#NAME?</v>
      </c>
      <c r="N223" s="9">
        <f t="shared" ca="1" si="37"/>
        <v>1</v>
      </c>
      <c r="O223" s="9">
        <f t="shared" ca="1" si="38"/>
        <v>1</v>
      </c>
      <c r="P223" s="9">
        <f t="shared" ca="1" si="39"/>
        <v>1</v>
      </c>
      <c r="Q223" s="9">
        <f t="shared" ca="1" si="40"/>
        <v>1</v>
      </c>
      <c r="R223" s="9">
        <f t="shared" ca="1" si="41"/>
        <v>0</v>
      </c>
    </row>
    <row r="224" spans="2:18" x14ac:dyDescent="0.25">
      <c r="B224" s="17" t="s">
        <v>458</v>
      </c>
      <c r="C224" s="18" t="s">
        <v>459</v>
      </c>
      <c r="D224" s="7" t="e">
        <f ca="1">_xll.xlqPrice(C224)</f>
        <v>#NAME?</v>
      </c>
      <c r="E224" s="9" t="e">
        <f t="shared" ca="1" si="32"/>
        <v>#NAME?</v>
      </c>
      <c r="F224" s="9">
        <f t="shared" ca="1" si="33"/>
        <v>1</v>
      </c>
      <c r="G224" s="8">
        <f t="shared" ca="1" si="34"/>
        <v>0</v>
      </c>
      <c r="H224" s="8">
        <f t="shared" ca="1" si="35"/>
        <v>0</v>
      </c>
      <c r="I224" s="8">
        <f t="shared" ca="1" si="36"/>
        <v>0</v>
      </c>
      <c r="J224" s="6" t="e">
        <f ca="1">_xll.xlqxhSMA($C224,$L$4,$J$7,$K$3)</f>
        <v>#NAME?</v>
      </c>
      <c r="K224" s="7" t="e">
        <f ca="1">_xll.xlqhClose($C224,K$8,$K$3)</f>
        <v>#NAME?</v>
      </c>
      <c r="L224" s="7" t="e">
        <f ca="1">_xll.xlqhClose($C224,L$8,$K$3)</f>
        <v>#NAME?</v>
      </c>
      <c r="N224" s="9">
        <f t="shared" ca="1" si="37"/>
        <v>1</v>
      </c>
      <c r="O224" s="9">
        <f t="shared" ca="1" si="38"/>
        <v>1</v>
      </c>
      <c r="P224" s="9">
        <f t="shared" ca="1" si="39"/>
        <v>1</v>
      </c>
      <c r="Q224" s="9">
        <f t="shared" ca="1" si="40"/>
        <v>1</v>
      </c>
      <c r="R224" s="9">
        <f t="shared" ca="1" si="41"/>
        <v>0</v>
      </c>
    </row>
    <row r="225" spans="2:18" x14ac:dyDescent="0.25">
      <c r="B225" s="17" t="s">
        <v>848</v>
      </c>
      <c r="C225" s="18" t="s">
        <v>849</v>
      </c>
      <c r="D225" s="7" t="e">
        <f ca="1">_xll.xlqPrice(C225)</f>
        <v>#NAME?</v>
      </c>
      <c r="E225" s="9" t="e">
        <f t="shared" ca="1" si="32"/>
        <v>#NAME?</v>
      </c>
      <c r="F225" s="9">
        <f t="shared" ca="1" si="33"/>
        <v>1</v>
      </c>
      <c r="G225" s="8">
        <f t="shared" ca="1" si="34"/>
        <v>0</v>
      </c>
      <c r="H225" s="8">
        <f t="shared" ca="1" si="35"/>
        <v>0</v>
      </c>
      <c r="I225" s="8">
        <f t="shared" ca="1" si="36"/>
        <v>0</v>
      </c>
      <c r="J225" s="6" t="e">
        <f ca="1">_xll.xlqxhSMA($C225,$L$4,$J$7,$K$3)</f>
        <v>#NAME?</v>
      </c>
      <c r="K225" s="7" t="e">
        <f ca="1">_xll.xlqhClose($C225,K$8,$K$3)</f>
        <v>#NAME?</v>
      </c>
      <c r="L225" s="7" t="e">
        <f ca="1">_xll.xlqhClose($C225,L$8,$K$3)</f>
        <v>#NAME?</v>
      </c>
      <c r="N225" s="9">
        <f t="shared" ca="1" si="37"/>
        <v>1</v>
      </c>
      <c r="O225" s="9">
        <f t="shared" ca="1" si="38"/>
        <v>1</v>
      </c>
      <c r="P225" s="9">
        <f t="shared" ca="1" si="39"/>
        <v>1</v>
      </c>
      <c r="Q225" s="9">
        <f t="shared" ca="1" si="40"/>
        <v>1</v>
      </c>
      <c r="R225" s="9">
        <f t="shared" ca="1" si="41"/>
        <v>0</v>
      </c>
    </row>
    <row r="226" spans="2:18" x14ac:dyDescent="0.25">
      <c r="B226" t="s">
        <v>1911</v>
      </c>
      <c r="C226" s="39" t="s">
        <v>1912</v>
      </c>
      <c r="D226" s="7" t="e">
        <f ca="1">_xll.xlqPrice(C226)</f>
        <v>#NAME?</v>
      </c>
      <c r="E226" s="9" t="e">
        <f t="shared" ca="1" si="32"/>
        <v>#NAME?</v>
      </c>
      <c r="F226" s="9">
        <f t="shared" ca="1" si="33"/>
        <v>1</v>
      </c>
      <c r="G226" s="8">
        <f t="shared" ca="1" si="34"/>
        <v>0</v>
      </c>
      <c r="H226" s="8">
        <f t="shared" ca="1" si="35"/>
        <v>0</v>
      </c>
      <c r="I226" s="8">
        <f t="shared" ca="1" si="36"/>
        <v>0</v>
      </c>
      <c r="J226" s="6" t="e">
        <f ca="1">_xll.xlqxhSMA($C226,$L$4,$J$7,$K$3)</f>
        <v>#NAME?</v>
      </c>
      <c r="K226" s="7" t="e">
        <f ca="1">_xll.xlqhClose($C226,K$8,$K$3)</f>
        <v>#NAME?</v>
      </c>
      <c r="L226" s="7" t="e">
        <f ca="1">_xll.xlqhClose($C226,L$8,$K$3)</f>
        <v>#NAME?</v>
      </c>
      <c r="N226" s="9">
        <f t="shared" ca="1" si="37"/>
        <v>1</v>
      </c>
      <c r="O226" s="9">
        <f t="shared" ca="1" si="38"/>
        <v>1</v>
      </c>
      <c r="P226" s="9">
        <f t="shared" ca="1" si="39"/>
        <v>1</v>
      </c>
      <c r="Q226" s="9">
        <f t="shared" ca="1" si="40"/>
        <v>1</v>
      </c>
      <c r="R226" s="9">
        <f t="shared" ca="1" si="41"/>
        <v>0</v>
      </c>
    </row>
    <row r="227" spans="2:18" x14ac:dyDescent="0.25">
      <c r="B227" s="17" t="s">
        <v>476</v>
      </c>
      <c r="C227" s="18" t="s">
        <v>477</v>
      </c>
      <c r="D227" s="7" t="e">
        <f ca="1">_xll.xlqPrice(C227)</f>
        <v>#NAME?</v>
      </c>
      <c r="E227" s="9" t="e">
        <f t="shared" ca="1" si="32"/>
        <v>#NAME?</v>
      </c>
      <c r="F227" s="9">
        <f t="shared" ca="1" si="33"/>
        <v>1</v>
      </c>
      <c r="G227" s="8">
        <f t="shared" ca="1" si="34"/>
        <v>0</v>
      </c>
      <c r="H227" s="8">
        <f t="shared" ca="1" si="35"/>
        <v>0</v>
      </c>
      <c r="I227" s="8">
        <f t="shared" ca="1" si="36"/>
        <v>0</v>
      </c>
      <c r="J227" s="6" t="e">
        <f ca="1">_xll.xlqxhSMA($C227,$L$4,$J$7,$K$3)</f>
        <v>#NAME?</v>
      </c>
      <c r="K227" s="7" t="e">
        <f ca="1">_xll.xlqhClose($C227,K$8,$K$3)</f>
        <v>#NAME?</v>
      </c>
      <c r="L227" s="7" t="e">
        <f ca="1">_xll.xlqhClose($C227,L$8,$K$3)</f>
        <v>#NAME?</v>
      </c>
      <c r="N227" s="9">
        <f t="shared" ca="1" si="37"/>
        <v>1</v>
      </c>
      <c r="O227" s="9">
        <f t="shared" ca="1" si="38"/>
        <v>1</v>
      </c>
      <c r="P227" s="9">
        <f t="shared" ca="1" si="39"/>
        <v>1</v>
      </c>
      <c r="Q227" s="9">
        <f t="shared" ca="1" si="40"/>
        <v>1</v>
      </c>
      <c r="R227" s="9">
        <f t="shared" ca="1" si="41"/>
        <v>0</v>
      </c>
    </row>
    <row r="228" spans="2:18" x14ac:dyDescent="0.25">
      <c r="B228" s="17" t="s">
        <v>2241</v>
      </c>
      <c r="C228" s="18" t="s">
        <v>2242</v>
      </c>
      <c r="D228" s="7" t="e">
        <f ca="1">_xll.xlqPrice(C228)</f>
        <v>#NAME?</v>
      </c>
      <c r="E228" s="9" t="e">
        <f t="shared" ca="1" si="32"/>
        <v>#NAME?</v>
      </c>
      <c r="F228" s="9">
        <f t="shared" ca="1" si="33"/>
        <v>1</v>
      </c>
      <c r="G228" s="8">
        <f t="shared" ca="1" si="34"/>
        <v>0</v>
      </c>
      <c r="H228" s="8">
        <f t="shared" ca="1" si="35"/>
        <v>0</v>
      </c>
      <c r="I228" s="8">
        <f t="shared" ca="1" si="36"/>
        <v>0</v>
      </c>
      <c r="J228" s="6" t="e">
        <f ca="1">_xll.xlqxhSMA($C228,$L$4,$J$7,$K$3)</f>
        <v>#NAME?</v>
      </c>
      <c r="K228" s="7" t="e">
        <f ca="1">_xll.xlqhClose($C228,K$8,$K$3)</f>
        <v>#NAME?</v>
      </c>
      <c r="L228" s="7" t="e">
        <f ca="1">_xll.xlqhClose($C228,L$8,$K$3)</f>
        <v>#NAME?</v>
      </c>
      <c r="N228" s="9">
        <f t="shared" ca="1" si="37"/>
        <v>1</v>
      </c>
      <c r="O228" s="9">
        <f t="shared" ca="1" si="38"/>
        <v>1</v>
      </c>
      <c r="P228" s="9">
        <f t="shared" ca="1" si="39"/>
        <v>1</v>
      </c>
      <c r="Q228" s="9">
        <f t="shared" ca="1" si="40"/>
        <v>1</v>
      </c>
      <c r="R228" s="9">
        <f t="shared" ca="1" si="41"/>
        <v>0</v>
      </c>
    </row>
    <row r="229" spans="2:18" x14ac:dyDescent="0.25">
      <c r="B229" s="17" t="s">
        <v>426</v>
      </c>
      <c r="C229" s="18" t="s">
        <v>427</v>
      </c>
      <c r="D229" s="7" t="e">
        <f ca="1">_xll.xlqPrice(C229)</f>
        <v>#NAME?</v>
      </c>
      <c r="E229" s="9" t="e">
        <f t="shared" ca="1" si="32"/>
        <v>#NAME?</v>
      </c>
      <c r="F229" s="9">
        <f t="shared" ca="1" si="33"/>
        <v>1</v>
      </c>
      <c r="G229" s="8">
        <f t="shared" ca="1" si="34"/>
        <v>0</v>
      </c>
      <c r="H229" s="8">
        <f t="shared" ca="1" si="35"/>
        <v>0</v>
      </c>
      <c r="I229" s="8">
        <f t="shared" ca="1" si="36"/>
        <v>0</v>
      </c>
      <c r="J229" s="6" t="e">
        <f ca="1">_xll.xlqxhSMA($C229,$L$4,$J$7,$K$3)</f>
        <v>#NAME?</v>
      </c>
      <c r="K229" s="7" t="e">
        <f ca="1">_xll.xlqhClose($C229,K$8,$K$3)</f>
        <v>#NAME?</v>
      </c>
      <c r="L229" s="7" t="e">
        <f ca="1">_xll.xlqhClose($C229,L$8,$K$3)</f>
        <v>#NAME?</v>
      </c>
      <c r="N229" s="9">
        <f t="shared" ca="1" si="37"/>
        <v>1</v>
      </c>
      <c r="O229" s="9">
        <f t="shared" ca="1" si="38"/>
        <v>1</v>
      </c>
      <c r="P229" s="9">
        <f t="shared" ca="1" si="39"/>
        <v>1</v>
      </c>
      <c r="Q229" s="9">
        <f t="shared" ca="1" si="40"/>
        <v>1</v>
      </c>
      <c r="R229" s="9">
        <f t="shared" ca="1" si="41"/>
        <v>0</v>
      </c>
    </row>
    <row r="230" spans="2:18" x14ac:dyDescent="0.25">
      <c r="B230" t="s">
        <v>932</v>
      </c>
      <c r="C230" s="39" t="s">
        <v>933</v>
      </c>
      <c r="D230" s="7" t="e">
        <f ca="1">_xll.xlqPrice(C230)</f>
        <v>#NAME?</v>
      </c>
      <c r="E230" s="9" t="e">
        <f t="shared" ca="1" si="32"/>
        <v>#NAME?</v>
      </c>
      <c r="F230" s="9">
        <f t="shared" ca="1" si="33"/>
        <v>1</v>
      </c>
      <c r="G230" s="8">
        <f t="shared" ca="1" si="34"/>
        <v>0</v>
      </c>
      <c r="H230" s="8">
        <f t="shared" ca="1" si="35"/>
        <v>0</v>
      </c>
      <c r="I230" s="8">
        <f t="shared" ca="1" si="36"/>
        <v>0</v>
      </c>
      <c r="J230" s="6" t="e">
        <f ca="1">_xll.xlqxhSMA($C230,$L$4,$J$7,$K$3)</f>
        <v>#NAME?</v>
      </c>
      <c r="K230" s="7" t="e">
        <f ca="1">_xll.xlqhClose($C230,K$8,$K$3)</f>
        <v>#NAME?</v>
      </c>
      <c r="L230" s="7" t="e">
        <f ca="1">_xll.xlqhClose($C230,L$8,$K$3)</f>
        <v>#NAME?</v>
      </c>
      <c r="N230" s="9">
        <f t="shared" ca="1" si="37"/>
        <v>1</v>
      </c>
      <c r="O230" s="9">
        <f t="shared" ca="1" si="38"/>
        <v>1</v>
      </c>
      <c r="P230" s="9">
        <f t="shared" ca="1" si="39"/>
        <v>1</v>
      </c>
      <c r="Q230" s="9">
        <f t="shared" ca="1" si="40"/>
        <v>1</v>
      </c>
      <c r="R230" s="9">
        <f t="shared" ca="1" si="41"/>
        <v>0</v>
      </c>
    </row>
    <row r="231" spans="2:18" x14ac:dyDescent="0.25">
      <c r="B231" s="17" t="s">
        <v>1771</v>
      </c>
      <c r="C231" s="18" t="s">
        <v>1772</v>
      </c>
      <c r="D231" s="7" t="e">
        <f ca="1">_xll.xlqPrice(C231)</f>
        <v>#NAME?</v>
      </c>
      <c r="E231" s="9" t="e">
        <f t="shared" ca="1" si="32"/>
        <v>#NAME?</v>
      </c>
      <c r="F231" s="9">
        <f t="shared" ca="1" si="33"/>
        <v>1</v>
      </c>
      <c r="G231" s="8">
        <f t="shared" ca="1" si="34"/>
        <v>0</v>
      </c>
      <c r="H231" s="8">
        <f t="shared" ca="1" si="35"/>
        <v>0</v>
      </c>
      <c r="I231" s="8">
        <f t="shared" ca="1" si="36"/>
        <v>0</v>
      </c>
      <c r="J231" s="6" t="e">
        <f ca="1">_xll.xlqxhSMA($C231,$L$4,$J$7,$K$3)</f>
        <v>#NAME?</v>
      </c>
      <c r="K231" s="7" t="e">
        <f ca="1">_xll.xlqhClose($C231,K$8,$K$3)</f>
        <v>#NAME?</v>
      </c>
      <c r="L231" s="7" t="e">
        <f ca="1">_xll.xlqhClose($C231,L$8,$K$3)</f>
        <v>#NAME?</v>
      </c>
      <c r="N231" s="9">
        <f t="shared" ca="1" si="37"/>
        <v>1</v>
      </c>
      <c r="O231" s="9">
        <f t="shared" ca="1" si="38"/>
        <v>1</v>
      </c>
      <c r="P231" s="9">
        <f t="shared" ca="1" si="39"/>
        <v>1</v>
      </c>
      <c r="Q231" s="9">
        <f t="shared" ca="1" si="40"/>
        <v>1</v>
      </c>
      <c r="R231" s="9">
        <f t="shared" ca="1" si="41"/>
        <v>0</v>
      </c>
    </row>
    <row r="232" spans="2:18" x14ac:dyDescent="0.25">
      <c r="B232" s="17" t="s">
        <v>1545</v>
      </c>
      <c r="C232" s="18" t="s">
        <v>1546</v>
      </c>
      <c r="D232" s="7" t="e">
        <f ca="1">_xll.xlqPrice(C232)</f>
        <v>#NAME?</v>
      </c>
      <c r="E232" s="9" t="e">
        <f t="shared" ca="1" si="32"/>
        <v>#NAME?</v>
      </c>
      <c r="F232" s="9">
        <f t="shared" ca="1" si="33"/>
        <v>1</v>
      </c>
      <c r="G232" s="8">
        <f t="shared" ca="1" si="34"/>
        <v>0</v>
      </c>
      <c r="H232" s="8">
        <f t="shared" ca="1" si="35"/>
        <v>0</v>
      </c>
      <c r="I232" s="8">
        <f t="shared" ca="1" si="36"/>
        <v>0</v>
      </c>
      <c r="J232" s="6" t="e">
        <f ca="1">_xll.xlqxhSMA($C232,$L$4,$J$7,$K$3)</f>
        <v>#NAME?</v>
      </c>
      <c r="K232" s="7" t="e">
        <f ca="1">_xll.xlqhClose($C232,K$8,$K$3)</f>
        <v>#NAME?</v>
      </c>
      <c r="L232" s="7" t="e">
        <f ca="1">_xll.xlqhClose($C232,L$8,$K$3)</f>
        <v>#NAME?</v>
      </c>
      <c r="N232" s="9">
        <f t="shared" ca="1" si="37"/>
        <v>1</v>
      </c>
      <c r="O232" s="9">
        <f t="shared" ca="1" si="38"/>
        <v>1</v>
      </c>
      <c r="P232" s="9">
        <f t="shared" ca="1" si="39"/>
        <v>1</v>
      </c>
      <c r="Q232" s="9">
        <f t="shared" ca="1" si="40"/>
        <v>1</v>
      </c>
      <c r="R232" s="9">
        <f t="shared" ca="1" si="41"/>
        <v>0</v>
      </c>
    </row>
    <row r="233" spans="2:18" x14ac:dyDescent="0.25">
      <c r="B233" s="17" t="s">
        <v>270</v>
      </c>
      <c r="C233" s="18" t="s">
        <v>271</v>
      </c>
      <c r="D233" s="7" t="e">
        <f ca="1">_xll.xlqPrice(C233)</f>
        <v>#NAME?</v>
      </c>
      <c r="E233" s="9" t="e">
        <f t="shared" ca="1" si="32"/>
        <v>#NAME?</v>
      </c>
      <c r="F233" s="9">
        <f t="shared" ca="1" si="33"/>
        <v>1</v>
      </c>
      <c r="G233" s="8">
        <f t="shared" ca="1" si="34"/>
        <v>0</v>
      </c>
      <c r="H233" s="8">
        <f t="shared" ca="1" si="35"/>
        <v>0</v>
      </c>
      <c r="I233" s="8">
        <f t="shared" ca="1" si="36"/>
        <v>0</v>
      </c>
      <c r="J233" s="6" t="e">
        <f ca="1">_xll.xlqxhSMA($C233,$L$4,$J$7,$K$3)</f>
        <v>#NAME?</v>
      </c>
      <c r="K233" s="7" t="e">
        <f ca="1">_xll.xlqhClose($C233,K$8,$K$3)</f>
        <v>#NAME?</v>
      </c>
      <c r="L233" s="7" t="e">
        <f ca="1">_xll.xlqhClose($C233,L$8,$K$3)</f>
        <v>#NAME?</v>
      </c>
      <c r="N233" s="9">
        <f t="shared" ca="1" si="37"/>
        <v>1</v>
      </c>
      <c r="O233" s="9">
        <f t="shared" ca="1" si="38"/>
        <v>1</v>
      </c>
      <c r="P233" s="9">
        <f t="shared" ca="1" si="39"/>
        <v>1</v>
      </c>
      <c r="Q233" s="9">
        <f t="shared" ca="1" si="40"/>
        <v>1</v>
      </c>
      <c r="R233" s="9">
        <f t="shared" ca="1" si="41"/>
        <v>0</v>
      </c>
    </row>
    <row r="234" spans="2:18" x14ac:dyDescent="0.25">
      <c r="B234" s="17" t="s">
        <v>792</v>
      </c>
      <c r="C234" s="18" t="s">
        <v>793</v>
      </c>
      <c r="D234" s="7" t="e">
        <f ca="1">_xll.xlqPrice(C234)</f>
        <v>#NAME?</v>
      </c>
      <c r="E234" s="9" t="e">
        <f t="shared" ca="1" si="32"/>
        <v>#NAME?</v>
      </c>
      <c r="F234" s="9">
        <f t="shared" ca="1" si="33"/>
        <v>1</v>
      </c>
      <c r="G234" s="8">
        <f t="shared" ca="1" si="34"/>
        <v>0</v>
      </c>
      <c r="H234" s="8">
        <f t="shared" ca="1" si="35"/>
        <v>0</v>
      </c>
      <c r="I234" s="8">
        <f t="shared" ca="1" si="36"/>
        <v>0</v>
      </c>
      <c r="J234" s="6" t="e">
        <f ca="1">_xll.xlqxhSMA($C234,$L$4,$J$7,$K$3)</f>
        <v>#NAME?</v>
      </c>
      <c r="K234" s="7" t="e">
        <f ca="1">_xll.xlqhClose($C234,K$8,$K$3)</f>
        <v>#NAME?</v>
      </c>
      <c r="L234" s="7" t="e">
        <f ca="1">_xll.xlqhClose($C234,L$8,$K$3)</f>
        <v>#NAME?</v>
      </c>
      <c r="N234" s="9">
        <f t="shared" ca="1" si="37"/>
        <v>1</v>
      </c>
      <c r="O234" s="9">
        <f t="shared" ca="1" si="38"/>
        <v>1</v>
      </c>
      <c r="P234" s="9">
        <f t="shared" ca="1" si="39"/>
        <v>1</v>
      </c>
      <c r="Q234" s="9">
        <f t="shared" ca="1" si="40"/>
        <v>1</v>
      </c>
      <c r="R234" s="9">
        <f t="shared" ca="1" si="41"/>
        <v>0</v>
      </c>
    </row>
    <row r="235" spans="2:18" x14ac:dyDescent="0.25">
      <c r="B235" s="17" t="s">
        <v>538</v>
      </c>
      <c r="C235" s="18" t="s">
        <v>539</v>
      </c>
      <c r="D235" s="7" t="e">
        <f ca="1">_xll.xlqPrice(C235)</f>
        <v>#NAME?</v>
      </c>
      <c r="E235" s="9" t="e">
        <f t="shared" ca="1" si="32"/>
        <v>#NAME?</v>
      </c>
      <c r="F235" s="9">
        <f t="shared" ca="1" si="33"/>
        <v>1</v>
      </c>
      <c r="G235" s="8">
        <f t="shared" ca="1" si="34"/>
        <v>0</v>
      </c>
      <c r="H235" s="8">
        <f t="shared" ca="1" si="35"/>
        <v>0</v>
      </c>
      <c r="I235" s="8">
        <f t="shared" ca="1" si="36"/>
        <v>0</v>
      </c>
      <c r="J235" s="6" t="e">
        <f ca="1">_xll.xlqxhSMA($C235,$L$4,$J$7,$K$3)</f>
        <v>#NAME?</v>
      </c>
      <c r="K235" s="7" t="e">
        <f ca="1">_xll.xlqhClose($C235,K$8,$K$3)</f>
        <v>#NAME?</v>
      </c>
      <c r="L235" s="7" t="e">
        <f ca="1">_xll.xlqhClose($C235,L$8,$K$3)</f>
        <v>#NAME?</v>
      </c>
      <c r="N235" s="9">
        <f t="shared" ca="1" si="37"/>
        <v>1</v>
      </c>
      <c r="O235" s="9">
        <f t="shared" ca="1" si="38"/>
        <v>1</v>
      </c>
      <c r="P235" s="9">
        <f t="shared" ca="1" si="39"/>
        <v>1</v>
      </c>
      <c r="Q235" s="9">
        <f t="shared" ca="1" si="40"/>
        <v>1</v>
      </c>
      <c r="R235" s="9">
        <f t="shared" ca="1" si="41"/>
        <v>0</v>
      </c>
    </row>
    <row r="236" spans="2:18" x14ac:dyDescent="0.25">
      <c r="B236" s="17" t="s">
        <v>1641</v>
      </c>
      <c r="C236" s="18" t="s">
        <v>1642</v>
      </c>
      <c r="D236" s="7" t="e">
        <f ca="1">_xll.xlqPrice(C236)</f>
        <v>#NAME?</v>
      </c>
      <c r="E236" s="9" t="e">
        <f t="shared" ca="1" si="32"/>
        <v>#NAME?</v>
      </c>
      <c r="F236" s="9">
        <f t="shared" ca="1" si="33"/>
        <v>1</v>
      </c>
      <c r="G236" s="8">
        <f t="shared" ca="1" si="34"/>
        <v>0</v>
      </c>
      <c r="H236" s="8">
        <f t="shared" ca="1" si="35"/>
        <v>0</v>
      </c>
      <c r="I236" s="8">
        <f t="shared" ca="1" si="36"/>
        <v>0</v>
      </c>
      <c r="J236" s="6" t="e">
        <f ca="1">_xll.xlqxhSMA($C236,$L$4,$J$7,$K$3)</f>
        <v>#NAME?</v>
      </c>
      <c r="K236" s="7" t="e">
        <f ca="1">_xll.xlqhClose($C236,K$8,$K$3)</f>
        <v>#NAME?</v>
      </c>
      <c r="L236" s="7" t="e">
        <f ca="1">_xll.xlqhClose($C236,L$8,$K$3)</f>
        <v>#NAME?</v>
      </c>
      <c r="N236" s="9">
        <f t="shared" ca="1" si="37"/>
        <v>1</v>
      </c>
      <c r="O236" s="9">
        <f t="shared" ca="1" si="38"/>
        <v>1</v>
      </c>
      <c r="P236" s="9">
        <f t="shared" ca="1" si="39"/>
        <v>1</v>
      </c>
      <c r="Q236" s="9">
        <f t="shared" ca="1" si="40"/>
        <v>1</v>
      </c>
      <c r="R236" s="9">
        <f t="shared" ca="1" si="41"/>
        <v>0</v>
      </c>
    </row>
    <row r="237" spans="2:18" x14ac:dyDescent="0.25">
      <c r="B237" s="17" t="s">
        <v>1095</v>
      </c>
      <c r="C237" s="18" t="s">
        <v>1096</v>
      </c>
      <c r="D237" s="7" t="e">
        <f ca="1">_xll.xlqPrice(C237)</f>
        <v>#NAME?</v>
      </c>
      <c r="E237" s="9" t="e">
        <f t="shared" ca="1" si="32"/>
        <v>#NAME?</v>
      </c>
      <c r="F237" s="9">
        <f t="shared" ca="1" si="33"/>
        <v>1</v>
      </c>
      <c r="G237" s="8">
        <f t="shared" ca="1" si="34"/>
        <v>0</v>
      </c>
      <c r="H237" s="8">
        <f t="shared" ca="1" si="35"/>
        <v>0</v>
      </c>
      <c r="I237" s="8">
        <f t="shared" ca="1" si="36"/>
        <v>0</v>
      </c>
      <c r="J237" s="6" t="e">
        <f ca="1">_xll.xlqxhSMA($C237,$L$4,$J$7,$K$3)</f>
        <v>#NAME?</v>
      </c>
      <c r="K237" s="7" t="e">
        <f ca="1">_xll.xlqhClose($C237,K$8,$K$3)</f>
        <v>#NAME?</v>
      </c>
      <c r="L237" s="7" t="e">
        <f ca="1">_xll.xlqhClose($C237,L$8,$K$3)</f>
        <v>#NAME?</v>
      </c>
      <c r="N237" s="9">
        <f t="shared" ca="1" si="37"/>
        <v>1</v>
      </c>
      <c r="O237" s="9">
        <f t="shared" ca="1" si="38"/>
        <v>1</v>
      </c>
      <c r="P237" s="9">
        <f t="shared" ca="1" si="39"/>
        <v>1</v>
      </c>
      <c r="Q237" s="9">
        <f t="shared" ca="1" si="40"/>
        <v>1</v>
      </c>
      <c r="R237" s="9">
        <f t="shared" ca="1" si="41"/>
        <v>0</v>
      </c>
    </row>
    <row r="238" spans="2:18" x14ac:dyDescent="0.25">
      <c r="B238" s="17" t="s">
        <v>858</v>
      </c>
      <c r="C238" s="18" t="s">
        <v>859</v>
      </c>
      <c r="D238" s="7" t="e">
        <f ca="1">_xll.xlqPrice(C238)</f>
        <v>#NAME?</v>
      </c>
      <c r="E238" s="9" t="e">
        <f t="shared" ca="1" si="32"/>
        <v>#NAME?</v>
      </c>
      <c r="F238" s="9">
        <f t="shared" ca="1" si="33"/>
        <v>1</v>
      </c>
      <c r="G238" s="8">
        <f t="shared" ca="1" si="34"/>
        <v>0</v>
      </c>
      <c r="H238" s="8">
        <f t="shared" ca="1" si="35"/>
        <v>0</v>
      </c>
      <c r="I238" s="8">
        <f t="shared" ca="1" si="36"/>
        <v>0</v>
      </c>
      <c r="J238" s="6" t="e">
        <f ca="1">_xll.xlqxhSMA($C238,$L$4,$J$7,$K$3)</f>
        <v>#NAME?</v>
      </c>
      <c r="K238" s="7" t="e">
        <f ca="1">_xll.xlqhClose($C238,K$8,$K$3)</f>
        <v>#NAME?</v>
      </c>
      <c r="L238" s="7" t="e">
        <f ca="1">_xll.xlqhClose($C238,L$8,$K$3)</f>
        <v>#NAME?</v>
      </c>
      <c r="N238" s="9">
        <f t="shared" ca="1" si="37"/>
        <v>1</v>
      </c>
      <c r="O238" s="9">
        <f t="shared" ca="1" si="38"/>
        <v>1</v>
      </c>
      <c r="P238" s="9">
        <f t="shared" ca="1" si="39"/>
        <v>1</v>
      </c>
      <c r="Q238" s="9">
        <f t="shared" ca="1" si="40"/>
        <v>1</v>
      </c>
      <c r="R238" s="9">
        <f t="shared" ca="1" si="41"/>
        <v>0</v>
      </c>
    </row>
    <row r="239" spans="2:18" x14ac:dyDescent="0.25">
      <c r="B239" s="17" t="s">
        <v>1441</v>
      </c>
      <c r="C239" s="18" t="s">
        <v>1442</v>
      </c>
      <c r="D239" s="7" t="e">
        <f ca="1">_xll.xlqPrice(C239)</f>
        <v>#NAME?</v>
      </c>
      <c r="E239" s="9" t="e">
        <f t="shared" ca="1" si="32"/>
        <v>#NAME?</v>
      </c>
      <c r="F239" s="9">
        <f t="shared" ca="1" si="33"/>
        <v>1</v>
      </c>
      <c r="G239" s="8">
        <f t="shared" ca="1" si="34"/>
        <v>0</v>
      </c>
      <c r="H239" s="8">
        <f t="shared" ca="1" si="35"/>
        <v>0</v>
      </c>
      <c r="I239" s="8">
        <f t="shared" ca="1" si="36"/>
        <v>0</v>
      </c>
      <c r="J239" s="6" t="e">
        <f ca="1">_xll.xlqxhSMA($C239,$L$4,$J$7,$K$3)</f>
        <v>#NAME?</v>
      </c>
      <c r="K239" s="7" t="e">
        <f ca="1">_xll.xlqhClose($C239,K$8,$K$3)</f>
        <v>#NAME?</v>
      </c>
      <c r="L239" s="7" t="e">
        <f ca="1">_xll.xlqhClose($C239,L$8,$K$3)</f>
        <v>#NAME?</v>
      </c>
      <c r="N239" s="9">
        <f t="shared" ca="1" si="37"/>
        <v>1</v>
      </c>
      <c r="O239" s="9">
        <f t="shared" ca="1" si="38"/>
        <v>1</v>
      </c>
      <c r="P239" s="9">
        <f t="shared" ca="1" si="39"/>
        <v>1</v>
      </c>
      <c r="Q239" s="9">
        <f t="shared" ca="1" si="40"/>
        <v>1</v>
      </c>
      <c r="R239" s="9">
        <f t="shared" ca="1" si="41"/>
        <v>0</v>
      </c>
    </row>
    <row r="240" spans="2:18" x14ac:dyDescent="0.25">
      <c r="B240" s="17" t="s">
        <v>1857</v>
      </c>
      <c r="C240" s="18" t="s">
        <v>1858</v>
      </c>
      <c r="D240" s="7" t="e">
        <f ca="1">_xll.xlqPrice(C240)</f>
        <v>#NAME?</v>
      </c>
      <c r="E240" s="9" t="e">
        <f t="shared" ca="1" si="32"/>
        <v>#NAME?</v>
      </c>
      <c r="F240" s="9">
        <f t="shared" ca="1" si="33"/>
        <v>1</v>
      </c>
      <c r="G240" s="8">
        <f t="shared" ca="1" si="34"/>
        <v>0</v>
      </c>
      <c r="H240" s="8">
        <f t="shared" ca="1" si="35"/>
        <v>0</v>
      </c>
      <c r="I240" s="8">
        <f t="shared" ca="1" si="36"/>
        <v>0</v>
      </c>
      <c r="J240" s="6" t="e">
        <f ca="1">_xll.xlqxhSMA($C240,$L$4,$J$7,$K$3)</f>
        <v>#NAME?</v>
      </c>
      <c r="K240" s="7" t="e">
        <f ca="1">_xll.xlqhClose($C240,K$8,$K$3)</f>
        <v>#NAME?</v>
      </c>
      <c r="L240" s="7" t="e">
        <f ca="1">_xll.xlqhClose($C240,L$8,$K$3)</f>
        <v>#NAME?</v>
      </c>
      <c r="N240" s="9">
        <f t="shared" ca="1" si="37"/>
        <v>1</v>
      </c>
      <c r="O240" s="9">
        <f t="shared" ca="1" si="38"/>
        <v>1</v>
      </c>
      <c r="P240" s="9">
        <f t="shared" ca="1" si="39"/>
        <v>1</v>
      </c>
      <c r="Q240" s="9">
        <f t="shared" ca="1" si="40"/>
        <v>1</v>
      </c>
      <c r="R240" s="9">
        <f t="shared" ca="1" si="41"/>
        <v>0</v>
      </c>
    </row>
    <row r="241" spans="2:18" x14ac:dyDescent="0.25">
      <c r="B241" s="17" t="s">
        <v>866</v>
      </c>
      <c r="C241" s="18" t="s">
        <v>867</v>
      </c>
      <c r="D241" s="7" t="e">
        <f ca="1">_xll.xlqPrice(C241)</f>
        <v>#NAME?</v>
      </c>
      <c r="E241" s="9" t="e">
        <f t="shared" ca="1" si="32"/>
        <v>#NAME?</v>
      </c>
      <c r="F241" s="9">
        <f t="shared" ca="1" si="33"/>
        <v>1</v>
      </c>
      <c r="G241" s="8">
        <f t="shared" ca="1" si="34"/>
        <v>0</v>
      </c>
      <c r="H241" s="8">
        <f t="shared" ca="1" si="35"/>
        <v>0</v>
      </c>
      <c r="I241" s="8">
        <f t="shared" ca="1" si="36"/>
        <v>0</v>
      </c>
      <c r="J241" s="6" t="e">
        <f ca="1">_xll.xlqxhSMA($C241,$L$4,$J$7,$K$3)</f>
        <v>#NAME?</v>
      </c>
      <c r="K241" s="7" t="e">
        <f ca="1">_xll.xlqhClose($C241,K$8,$K$3)</f>
        <v>#NAME?</v>
      </c>
      <c r="L241" s="7" t="e">
        <f ca="1">_xll.xlqhClose($C241,L$8,$K$3)</f>
        <v>#NAME?</v>
      </c>
      <c r="N241" s="9">
        <f t="shared" ca="1" si="37"/>
        <v>1</v>
      </c>
      <c r="O241" s="9">
        <f t="shared" ca="1" si="38"/>
        <v>1</v>
      </c>
      <c r="P241" s="9">
        <f t="shared" ca="1" si="39"/>
        <v>1</v>
      </c>
      <c r="Q241" s="9">
        <f t="shared" ca="1" si="40"/>
        <v>1</v>
      </c>
      <c r="R241" s="9">
        <f t="shared" ca="1" si="41"/>
        <v>0</v>
      </c>
    </row>
    <row r="242" spans="2:18" x14ac:dyDescent="0.25">
      <c r="B242" s="17" t="s">
        <v>2209</v>
      </c>
      <c r="C242" s="18" t="s">
        <v>2210</v>
      </c>
      <c r="D242" s="7" t="e">
        <f ca="1">_xll.xlqPrice(C242)</f>
        <v>#NAME?</v>
      </c>
      <c r="E242" s="9" t="e">
        <f t="shared" ca="1" si="32"/>
        <v>#NAME?</v>
      </c>
      <c r="F242" s="9">
        <f t="shared" ca="1" si="33"/>
        <v>1</v>
      </c>
      <c r="G242" s="8">
        <f t="shared" ca="1" si="34"/>
        <v>0</v>
      </c>
      <c r="H242" s="8">
        <f t="shared" ca="1" si="35"/>
        <v>0</v>
      </c>
      <c r="I242" s="8">
        <f t="shared" ca="1" si="36"/>
        <v>0</v>
      </c>
      <c r="J242" s="6" t="e">
        <f ca="1">_xll.xlqxhSMA($C242,$L$4,$J$7,$K$3)</f>
        <v>#NAME?</v>
      </c>
      <c r="K242" s="7" t="e">
        <f ca="1">_xll.xlqhClose($C242,K$8,$K$3)</f>
        <v>#NAME?</v>
      </c>
      <c r="L242" s="7" t="e">
        <f ca="1">_xll.xlqhClose($C242,L$8,$K$3)</f>
        <v>#NAME?</v>
      </c>
      <c r="N242" s="9">
        <f t="shared" ca="1" si="37"/>
        <v>1</v>
      </c>
      <c r="O242" s="9">
        <f t="shared" ca="1" si="38"/>
        <v>1</v>
      </c>
      <c r="P242" s="9">
        <f t="shared" ca="1" si="39"/>
        <v>1</v>
      </c>
      <c r="Q242" s="9">
        <f t="shared" ca="1" si="40"/>
        <v>1</v>
      </c>
      <c r="R242" s="9">
        <f t="shared" ca="1" si="41"/>
        <v>0</v>
      </c>
    </row>
    <row r="243" spans="2:18" x14ac:dyDescent="0.25">
      <c r="B243" s="17" t="s">
        <v>440</v>
      </c>
      <c r="C243" s="18" t="s">
        <v>441</v>
      </c>
      <c r="D243" s="7" t="e">
        <f ca="1">_xll.xlqPrice(C243)</f>
        <v>#NAME?</v>
      </c>
      <c r="E243" s="9" t="e">
        <f t="shared" ca="1" si="32"/>
        <v>#NAME?</v>
      </c>
      <c r="F243" s="9">
        <f t="shared" ca="1" si="33"/>
        <v>1</v>
      </c>
      <c r="G243" s="8">
        <f t="shared" ca="1" si="34"/>
        <v>0</v>
      </c>
      <c r="H243" s="8">
        <f t="shared" ca="1" si="35"/>
        <v>0</v>
      </c>
      <c r="I243" s="8">
        <f t="shared" ca="1" si="36"/>
        <v>0</v>
      </c>
      <c r="J243" s="6" t="e">
        <f ca="1">_xll.xlqxhSMA($C243,$L$4,$J$7,$K$3)</f>
        <v>#NAME?</v>
      </c>
      <c r="K243" s="7" t="e">
        <f ca="1">_xll.xlqhClose($C243,K$8,$K$3)</f>
        <v>#NAME?</v>
      </c>
      <c r="L243" s="7" t="e">
        <f ca="1">_xll.xlqhClose($C243,L$8,$K$3)</f>
        <v>#NAME?</v>
      </c>
      <c r="N243" s="9">
        <f t="shared" ca="1" si="37"/>
        <v>1</v>
      </c>
      <c r="O243" s="9">
        <f t="shared" ca="1" si="38"/>
        <v>1</v>
      </c>
      <c r="P243" s="9">
        <f t="shared" ca="1" si="39"/>
        <v>1</v>
      </c>
      <c r="Q243" s="9">
        <f t="shared" ca="1" si="40"/>
        <v>1</v>
      </c>
      <c r="R243" s="9">
        <f t="shared" ca="1" si="41"/>
        <v>0</v>
      </c>
    </row>
    <row r="244" spans="2:18" x14ac:dyDescent="0.25">
      <c r="B244" s="17" t="s">
        <v>2051</v>
      </c>
      <c r="C244" s="18" t="s">
        <v>2052</v>
      </c>
      <c r="D244" s="7" t="e">
        <f ca="1">_xll.xlqPrice(C244)</f>
        <v>#NAME?</v>
      </c>
      <c r="E244" s="9" t="e">
        <f t="shared" ca="1" si="32"/>
        <v>#NAME?</v>
      </c>
      <c r="F244" s="9">
        <f t="shared" ca="1" si="33"/>
        <v>1</v>
      </c>
      <c r="G244" s="8">
        <f t="shared" ca="1" si="34"/>
        <v>0</v>
      </c>
      <c r="H244" s="8">
        <f t="shared" ca="1" si="35"/>
        <v>0</v>
      </c>
      <c r="I244" s="8">
        <f t="shared" ca="1" si="36"/>
        <v>0</v>
      </c>
      <c r="J244" s="6" t="e">
        <f ca="1">_xll.xlqxhSMA($C244,$L$4,$J$7,$K$3)</f>
        <v>#NAME?</v>
      </c>
      <c r="K244" s="7" t="e">
        <f ca="1">_xll.xlqhClose($C244,K$8,$K$3)</f>
        <v>#NAME?</v>
      </c>
      <c r="L244" s="7" t="e">
        <f ca="1">_xll.xlqhClose($C244,L$8,$K$3)</f>
        <v>#NAME?</v>
      </c>
      <c r="N244" s="9">
        <f t="shared" ca="1" si="37"/>
        <v>1</v>
      </c>
      <c r="O244" s="9">
        <f t="shared" ca="1" si="38"/>
        <v>1</v>
      </c>
      <c r="P244" s="9">
        <f t="shared" ca="1" si="39"/>
        <v>1</v>
      </c>
      <c r="Q244" s="9">
        <f t="shared" ca="1" si="40"/>
        <v>1</v>
      </c>
      <c r="R244" s="9">
        <f t="shared" ca="1" si="41"/>
        <v>0</v>
      </c>
    </row>
    <row r="245" spans="2:18" x14ac:dyDescent="0.25">
      <c r="B245" s="17" t="s">
        <v>1945</v>
      </c>
      <c r="C245" s="18" t="s">
        <v>1946</v>
      </c>
      <c r="D245" s="7" t="e">
        <f ca="1">_xll.xlqPrice(C245)</f>
        <v>#NAME?</v>
      </c>
      <c r="E245" s="9" t="e">
        <f t="shared" ca="1" si="32"/>
        <v>#NAME?</v>
      </c>
      <c r="F245" s="9">
        <f t="shared" ca="1" si="33"/>
        <v>1</v>
      </c>
      <c r="G245" s="8">
        <f t="shared" ca="1" si="34"/>
        <v>0</v>
      </c>
      <c r="H245" s="8">
        <f t="shared" ca="1" si="35"/>
        <v>0</v>
      </c>
      <c r="I245" s="8">
        <f t="shared" ca="1" si="36"/>
        <v>0</v>
      </c>
      <c r="J245" s="6" t="e">
        <f ca="1">_xll.xlqxhSMA($C245,$L$4,$J$7,$K$3)</f>
        <v>#NAME?</v>
      </c>
      <c r="K245" s="7" t="e">
        <f ca="1">_xll.xlqhClose($C245,K$8,$K$3)</f>
        <v>#NAME?</v>
      </c>
      <c r="L245" s="7" t="e">
        <f ca="1">_xll.xlqhClose($C245,L$8,$K$3)</f>
        <v>#NAME?</v>
      </c>
      <c r="N245" s="9">
        <f t="shared" ca="1" si="37"/>
        <v>1</v>
      </c>
      <c r="O245" s="9">
        <f t="shared" ca="1" si="38"/>
        <v>1</v>
      </c>
      <c r="P245" s="9">
        <f t="shared" ca="1" si="39"/>
        <v>1</v>
      </c>
      <c r="Q245" s="9">
        <f t="shared" ca="1" si="40"/>
        <v>1</v>
      </c>
      <c r="R245" s="9">
        <f t="shared" ca="1" si="41"/>
        <v>0</v>
      </c>
    </row>
    <row r="246" spans="2:18" x14ac:dyDescent="0.25">
      <c r="B246" s="17" t="s">
        <v>1769</v>
      </c>
      <c r="C246" s="18" t="s">
        <v>1770</v>
      </c>
      <c r="D246" s="7" t="e">
        <f ca="1">_xll.xlqPrice(C246)</f>
        <v>#NAME?</v>
      </c>
      <c r="E246" s="9" t="e">
        <f t="shared" ca="1" si="32"/>
        <v>#NAME?</v>
      </c>
      <c r="F246" s="9">
        <f t="shared" ca="1" si="33"/>
        <v>1</v>
      </c>
      <c r="G246" s="8">
        <f t="shared" ca="1" si="34"/>
        <v>0</v>
      </c>
      <c r="H246" s="8">
        <f t="shared" ca="1" si="35"/>
        <v>0</v>
      </c>
      <c r="I246" s="8">
        <f t="shared" ca="1" si="36"/>
        <v>0</v>
      </c>
      <c r="J246" s="6" t="e">
        <f ca="1">_xll.xlqxhSMA($C246,$L$4,$J$7,$K$3)</f>
        <v>#NAME?</v>
      </c>
      <c r="K246" s="7" t="e">
        <f ca="1">_xll.xlqhClose($C246,K$8,$K$3)</f>
        <v>#NAME?</v>
      </c>
      <c r="L246" s="7" t="e">
        <f ca="1">_xll.xlqhClose($C246,L$8,$K$3)</f>
        <v>#NAME?</v>
      </c>
      <c r="N246" s="9">
        <f t="shared" ca="1" si="37"/>
        <v>1</v>
      </c>
      <c r="O246" s="9">
        <f t="shared" ca="1" si="38"/>
        <v>1</v>
      </c>
      <c r="P246" s="9">
        <f t="shared" ca="1" si="39"/>
        <v>1</v>
      </c>
      <c r="Q246" s="9">
        <f t="shared" ca="1" si="40"/>
        <v>1</v>
      </c>
      <c r="R246" s="9">
        <f t="shared" ca="1" si="41"/>
        <v>0</v>
      </c>
    </row>
    <row r="247" spans="2:18" x14ac:dyDescent="0.25">
      <c r="B247" s="17" t="s">
        <v>1805</v>
      </c>
      <c r="C247" s="18" t="s">
        <v>1806</v>
      </c>
      <c r="D247" s="7" t="e">
        <f ca="1">_xll.xlqPrice(C247)</f>
        <v>#NAME?</v>
      </c>
      <c r="E247" s="9" t="e">
        <f t="shared" ca="1" si="32"/>
        <v>#NAME?</v>
      </c>
      <c r="F247" s="9">
        <f t="shared" ca="1" si="33"/>
        <v>1</v>
      </c>
      <c r="G247" s="8">
        <f t="shared" ca="1" si="34"/>
        <v>0</v>
      </c>
      <c r="H247" s="8">
        <f t="shared" ca="1" si="35"/>
        <v>0</v>
      </c>
      <c r="I247" s="8">
        <f t="shared" ca="1" si="36"/>
        <v>0</v>
      </c>
      <c r="J247" s="6" t="e">
        <f ca="1">_xll.xlqxhSMA($C247,$L$4,$J$7,$K$3)</f>
        <v>#NAME?</v>
      </c>
      <c r="K247" s="7" t="e">
        <f ca="1">_xll.xlqhClose($C247,K$8,$K$3)</f>
        <v>#NAME?</v>
      </c>
      <c r="L247" s="7" t="e">
        <f ca="1">_xll.xlqhClose($C247,L$8,$K$3)</f>
        <v>#NAME?</v>
      </c>
      <c r="N247" s="9">
        <f t="shared" ca="1" si="37"/>
        <v>1</v>
      </c>
      <c r="O247" s="9">
        <f t="shared" ca="1" si="38"/>
        <v>1</v>
      </c>
      <c r="P247" s="9">
        <f t="shared" ca="1" si="39"/>
        <v>1</v>
      </c>
      <c r="Q247" s="9">
        <f t="shared" ca="1" si="40"/>
        <v>1</v>
      </c>
      <c r="R247" s="9">
        <f t="shared" ca="1" si="41"/>
        <v>0</v>
      </c>
    </row>
    <row r="248" spans="2:18" x14ac:dyDescent="0.25">
      <c r="B248" s="17" t="s">
        <v>2123</v>
      </c>
      <c r="C248" s="18" t="s">
        <v>2124</v>
      </c>
      <c r="D248" s="7" t="e">
        <f ca="1">_xll.xlqPrice(C248)</f>
        <v>#NAME?</v>
      </c>
      <c r="E248" s="9" t="e">
        <f t="shared" ca="1" si="32"/>
        <v>#NAME?</v>
      </c>
      <c r="F248" s="9">
        <f t="shared" ca="1" si="33"/>
        <v>1</v>
      </c>
      <c r="G248" s="8">
        <f t="shared" ca="1" si="34"/>
        <v>0</v>
      </c>
      <c r="H248" s="8">
        <f t="shared" ca="1" si="35"/>
        <v>0</v>
      </c>
      <c r="I248" s="8">
        <f t="shared" ca="1" si="36"/>
        <v>0</v>
      </c>
      <c r="J248" s="6" t="e">
        <f ca="1">_xll.xlqxhSMA($C248,$L$4,$J$7,$K$3)</f>
        <v>#NAME?</v>
      </c>
      <c r="K248" s="7" t="e">
        <f ca="1">_xll.xlqhClose($C248,K$8,$K$3)</f>
        <v>#NAME?</v>
      </c>
      <c r="L248" s="7" t="e">
        <f ca="1">_xll.xlqhClose($C248,L$8,$K$3)</f>
        <v>#NAME?</v>
      </c>
      <c r="N248" s="9">
        <f t="shared" ca="1" si="37"/>
        <v>1</v>
      </c>
      <c r="O248" s="9">
        <f t="shared" ca="1" si="38"/>
        <v>1</v>
      </c>
      <c r="P248" s="9">
        <f t="shared" ca="1" si="39"/>
        <v>1</v>
      </c>
      <c r="Q248" s="9">
        <f t="shared" ca="1" si="40"/>
        <v>1</v>
      </c>
      <c r="R248" s="9">
        <f t="shared" ca="1" si="41"/>
        <v>0</v>
      </c>
    </row>
    <row r="249" spans="2:18" x14ac:dyDescent="0.25">
      <c r="B249" t="s">
        <v>1773</v>
      </c>
      <c r="C249" s="39" t="s">
        <v>1774</v>
      </c>
      <c r="D249" s="7" t="e">
        <f ca="1">_xll.xlqPrice(C249)</f>
        <v>#NAME?</v>
      </c>
      <c r="E249" s="9" t="e">
        <f t="shared" ca="1" si="32"/>
        <v>#NAME?</v>
      </c>
      <c r="F249" s="9">
        <f t="shared" ca="1" si="33"/>
        <v>1</v>
      </c>
      <c r="G249" s="8">
        <f t="shared" ca="1" si="34"/>
        <v>0</v>
      </c>
      <c r="H249" s="8">
        <f t="shared" ca="1" si="35"/>
        <v>0</v>
      </c>
      <c r="I249" s="8">
        <f t="shared" ca="1" si="36"/>
        <v>0</v>
      </c>
      <c r="J249" s="6" t="e">
        <f ca="1">_xll.xlqxhSMA($C249,$L$4,$J$7,$K$3)</f>
        <v>#NAME?</v>
      </c>
      <c r="K249" s="7" t="e">
        <f ca="1">_xll.xlqhClose($C249,K$8,$K$3)</f>
        <v>#NAME?</v>
      </c>
      <c r="L249" s="7" t="e">
        <f ca="1">_xll.xlqhClose($C249,L$8,$K$3)</f>
        <v>#NAME?</v>
      </c>
      <c r="N249" s="9">
        <f t="shared" ca="1" si="37"/>
        <v>1</v>
      </c>
      <c r="O249" s="9">
        <f t="shared" ca="1" si="38"/>
        <v>1</v>
      </c>
      <c r="P249" s="9">
        <f t="shared" ca="1" si="39"/>
        <v>1</v>
      </c>
      <c r="Q249" s="9">
        <f t="shared" ca="1" si="40"/>
        <v>1</v>
      </c>
      <c r="R249" s="9">
        <f t="shared" ca="1" si="41"/>
        <v>0</v>
      </c>
    </row>
    <row r="250" spans="2:18" x14ac:dyDescent="0.25">
      <c r="B250" s="17" t="s">
        <v>240</v>
      </c>
      <c r="C250" s="18" t="s">
        <v>241</v>
      </c>
      <c r="D250" s="7" t="e">
        <f ca="1">_xll.xlqPrice(C250)</f>
        <v>#NAME?</v>
      </c>
      <c r="E250" s="9" t="e">
        <f t="shared" ca="1" si="32"/>
        <v>#NAME?</v>
      </c>
      <c r="F250" s="9">
        <f t="shared" ca="1" si="33"/>
        <v>1</v>
      </c>
      <c r="G250" s="8">
        <f t="shared" ca="1" si="34"/>
        <v>0</v>
      </c>
      <c r="H250" s="8">
        <f t="shared" ca="1" si="35"/>
        <v>0</v>
      </c>
      <c r="I250" s="8">
        <f t="shared" ca="1" si="36"/>
        <v>0</v>
      </c>
      <c r="J250" s="6" t="e">
        <f ca="1">_xll.xlqxhSMA($C250,$L$4,$J$7,$K$3)</f>
        <v>#NAME?</v>
      </c>
      <c r="K250" s="7" t="e">
        <f ca="1">_xll.xlqhClose($C250,K$8,$K$3)</f>
        <v>#NAME?</v>
      </c>
      <c r="L250" s="7" t="e">
        <f ca="1">_xll.xlqhClose($C250,L$8,$K$3)</f>
        <v>#NAME?</v>
      </c>
      <c r="N250" s="9">
        <f t="shared" ca="1" si="37"/>
        <v>1</v>
      </c>
      <c r="O250" s="9">
        <f t="shared" ca="1" si="38"/>
        <v>1</v>
      </c>
      <c r="P250" s="9">
        <f t="shared" ca="1" si="39"/>
        <v>1</v>
      </c>
      <c r="Q250" s="9">
        <f t="shared" ca="1" si="40"/>
        <v>1</v>
      </c>
      <c r="R250" s="9">
        <f t="shared" ca="1" si="41"/>
        <v>0</v>
      </c>
    </row>
    <row r="251" spans="2:18" x14ac:dyDescent="0.25">
      <c r="B251" s="17" t="s">
        <v>844</v>
      </c>
      <c r="C251" s="18" t="s">
        <v>845</v>
      </c>
      <c r="D251" s="7" t="e">
        <f ca="1">_xll.xlqPrice(C251)</f>
        <v>#NAME?</v>
      </c>
      <c r="E251" s="9" t="e">
        <f t="shared" ca="1" si="32"/>
        <v>#NAME?</v>
      </c>
      <c r="F251" s="9">
        <f t="shared" ca="1" si="33"/>
        <v>1</v>
      </c>
      <c r="G251" s="8">
        <f t="shared" ca="1" si="34"/>
        <v>0</v>
      </c>
      <c r="H251" s="8">
        <f t="shared" ca="1" si="35"/>
        <v>0</v>
      </c>
      <c r="I251" s="8">
        <f t="shared" ca="1" si="36"/>
        <v>0</v>
      </c>
      <c r="J251" s="6" t="e">
        <f ca="1">_xll.xlqxhSMA($C251,$L$4,$J$7,$K$3)</f>
        <v>#NAME?</v>
      </c>
      <c r="K251" s="7" t="e">
        <f ca="1">_xll.xlqhClose($C251,K$8,$K$3)</f>
        <v>#NAME?</v>
      </c>
      <c r="L251" s="7" t="e">
        <f ca="1">_xll.xlqhClose($C251,L$8,$K$3)</f>
        <v>#NAME?</v>
      </c>
      <c r="N251" s="9">
        <f t="shared" ca="1" si="37"/>
        <v>1</v>
      </c>
      <c r="O251" s="9">
        <f t="shared" ca="1" si="38"/>
        <v>1</v>
      </c>
      <c r="P251" s="9">
        <f t="shared" ca="1" si="39"/>
        <v>1</v>
      </c>
      <c r="Q251" s="9">
        <f t="shared" ca="1" si="40"/>
        <v>1</v>
      </c>
      <c r="R251" s="9">
        <f t="shared" ca="1" si="41"/>
        <v>0</v>
      </c>
    </row>
    <row r="252" spans="2:18" x14ac:dyDescent="0.25">
      <c r="B252" s="17" t="s">
        <v>1037</v>
      </c>
      <c r="C252" s="18" t="s">
        <v>1038</v>
      </c>
      <c r="D252" s="7" t="e">
        <f ca="1">_xll.xlqPrice(C252)</f>
        <v>#NAME?</v>
      </c>
      <c r="E252" s="9" t="e">
        <f t="shared" ca="1" si="32"/>
        <v>#NAME?</v>
      </c>
      <c r="F252" s="9">
        <f t="shared" ca="1" si="33"/>
        <v>1</v>
      </c>
      <c r="G252" s="8">
        <f t="shared" ca="1" si="34"/>
        <v>0</v>
      </c>
      <c r="H252" s="8">
        <f t="shared" ca="1" si="35"/>
        <v>0</v>
      </c>
      <c r="I252" s="8">
        <f t="shared" ca="1" si="36"/>
        <v>0</v>
      </c>
      <c r="J252" s="6" t="e">
        <f ca="1">_xll.xlqxhSMA($C252,$L$4,$J$7,$K$3)</f>
        <v>#NAME?</v>
      </c>
      <c r="K252" s="7" t="e">
        <f ca="1">_xll.xlqhClose($C252,K$8,$K$3)</f>
        <v>#NAME?</v>
      </c>
      <c r="L252" s="7" t="e">
        <f ca="1">_xll.xlqhClose($C252,L$8,$K$3)</f>
        <v>#NAME?</v>
      </c>
      <c r="N252" s="9">
        <f t="shared" ca="1" si="37"/>
        <v>1</v>
      </c>
      <c r="O252" s="9">
        <f t="shared" ca="1" si="38"/>
        <v>1</v>
      </c>
      <c r="P252" s="9">
        <f t="shared" ca="1" si="39"/>
        <v>1</v>
      </c>
      <c r="Q252" s="9">
        <f t="shared" ca="1" si="40"/>
        <v>1</v>
      </c>
      <c r="R252" s="9">
        <f t="shared" ca="1" si="41"/>
        <v>0</v>
      </c>
    </row>
    <row r="253" spans="2:18" x14ac:dyDescent="0.25">
      <c r="B253" s="17" t="s">
        <v>1157</v>
      </c>
      <c r="C253" s="18" t="s">
        <v>1158</v>
      </c>
      <c r="D253" s="7" t="e">
        <f ca="1">_xll.xlqPrice(C253)</f>
        <v>#NAME?</v>
      </c>
      <c r="E253" s="9" t="e">
        <f t="shared" ca="1" si="32"/>
        <v>#NAME?</v>
      </c>
      <c r="F253" s="9">
        <f t="shared" ca="1" si="33"/>
        <v>1</v>
      </c>
      <c r="G253" s="8">
        <f t="shared" ca="1" si="34"/>
        <v>0</v>
      </c>
      <c r="H253" s="8">
        <f t="shared" ca="1" si="35"/>
        <v>0</v>
      </c>
      <c r="I253" s="8">
        <f t="shared" ca="1" si="36"/>
        <v>0</v>
      </c>
      <c r="J253" s="6" t="e">
        <f ca="1">_xll.xlqxhSMA($C253,$L$4,$J$7,$K$3)</f>
        <v>#NAME?</v>
      </c>
      <c r="K253" s="7" t="e">
        <f ca="1">_xll.xlqhClose($C253,K$8,$K$3)</f>
        <v>#NAME?</v>
      </c>
      <c r="L253" s="7" t="e">
        <f ca="1">_xll.xlqhClose($C253,L$8,$K$3)</f>
        <v>#NAME?</v>
      </c>
      <c r="N253" s="9">
        <f t="shared" ca="1" si="37"/>
        <v>1</v>
      </c>
      <c r="O253" s="9">
        <f t="shared" ca="1" si="38"/>
        <v>1</v>
      </c>
      <c r="P253" s="9">
        <f t="shared" ca="1" si="39"/>
        <v>1</v>
      </c>
      <c r="Q253" s="9">
        <f t="shared" ca="1" si="40"/>
        <v>1</v>
      </c>
      <c r="R253" s="9">
        <f t="shared" ca="1" si="41"/>
        <v>0</v>
      </c>
    </row>
    <row r="254" spans="2:18" x14ac:dyDescent="0.25">
      <c r="B254" t="s">
        <v>1617</v>
      </c>
      <c r="C254" s="39" t="s">
        <v>1618</v>
      </c>
      <c r="D254" s="7" t="e">
        <f ca="1">_xll.xlqPrice(C254)</f>
        <v>#NAME?</v>
      </c>
      <c r="E254" s="9" t="e">
        <f t="shared" ca="1" si="32"/>
        <v>#NAME?</v>
      </c>
      <c r="F254" s="9">
        <f t="shared" ca="1" si="33"/>
        <v>1</v>
      </c>
      <c r="G254" s="8">
        <f t="shared" ca="1" si="34"/>
        <v>0</v>
      </c>
      <c r="H254" s="8">
        <f t="shared" ca="1" si="35"/>
        <v>0</v>
      </c>
      <c r="I254" s="8">
        <f t="shared" ca="1" si="36"/>
        <v>0</v>
      </c>
      <c r="J254" s="6" t="e">
        <f ca="1">_xll.xlqxhSMA($C254,$L$4,$J$7,$K$3)</f>
        <v>#NAME?</v>
      </c>
      <c r="K254" s="7" t="e">
        <f ca="1">_xll.xlqhClose($C254,K$8,$K$3)</f>
        <v>#NAME?</v>
      </c>
      <c r="L254" s="7" t="e">
        <f ca="1">_xll.xlqhClose($C254,L$8,$K$3)</f>
        <v>#NAME?</v>
      </c>
      <c r="N254" s="9">
        <f t="shared" ca="1" si="37"/>
        <v>1</v>
      </c>
      <c r="O254" s="9">
        <f t="shared" ca="1" si="38"/>
        <v>1</v>
      </c>
      <c r="P254" s="9">
        <f t="shared" ca="1" si="39"/>
        <v>1</v>
      </c>
      <c r="Q254" s="9">
        <f t="shared" ca="1" si="40"/>
        <v>1</v>
      </c>
      <c r="R254" s="9">
        <f t="shared" ca="1" si="41"/>
        <v>0</v>
      </c>
    </row>
    <row r="255" spans="2:18" x14ac:dyDescent="0.25">
      <c r="B255" s="17" t="s">
        <v>776</v>
      </c>
      <c r="C255" s="18" t="s">
        <v>777</v>
      </c>
      <c r="D255" s="7" t="e">
        <f ca="1">_xll.xlqPrice(C255)</f>
        <v>#NAME?</v>
      </c>
      <c r="E255" s="9" t="e">
        <f t="shared" ca="1" si="32"/>
        <v>#NAME?</v>
      </c>
      <c r="F255" s="9">
        <f t="shared" ca="1" si="33"/>
        <v>1</v>
      </c>
      <c r="G255" s="8">
        <f t="shared" ca="1" si="34"/>
        <v>0</v>
      </c>
      <c r="H255" s="8">
        <f t="shared" ca="1" si="35"/>
        <v>0</v>
      </c>
      <c r="I255" s="8">
        <f t="shared" ca="1" si="36"/>
        <v>0</v>
      </c>
      <c r="J255" s="6" t="e">
        <f ca="1">_xll.xlqxhSMA($C255,$L$4,$J$7,$K$3)</f>
        <v>#NAME?</v>
      </c>
      <c r="K255" s="7" t="e">
        <f ca="1">_xll.xlqhClose($C255,K$8,$K$3)</f>
        <v>#NAME?</v>
      </c>
      <c r="L255" s="7" t="e">
        <f ca="1">_xll.xlqhClose($C255,L$8,$K$3)</f>
        <v>#NAME?</v>
      </c>
      <c r="N255" s="9">
        <f t="shared" ca="1" si="37"/>
        <v>1</v>
      </c>
      <c r="O255" s="9">
        <f t="shared" ca="1" si="38"/>
        <v>1</v>
      </c>
      <c r="P255" s="9">
        <f t="shared" ca="1" si="39"/>
        <v>1</v>
      </c>
      <c r="Q255" s="9">
        <f t="shared" ca="1" si="40"/>
        <v>1</v>
      </c>
      <c r="R255" s="9">
        <f t="shared" ca="1" si="41"/>
        <v>0</v>
      </c>
    </row>
    <row r="256" spans="2:18" x14ac:dyDescent="0.25">
      <c r="B256" s="17" t="s">
        <v>1811</v>
      </c>
      <c r="C256" s="18" t="s">
        <v>1812</v>
      </c>
      <c r="D256" s="7" t="e">
        <f ca="1">_xll.xlqPrice(C256)</f>
        <v>#NAME?</v>
      </c>
      <c r="E256" s="9" t="e">
        <f t="shared" ca="1" si="32"/>
        <v>#NAME?</v>
      </c>
      <c r="F256" s="9">
        <f t="shared" ca="1" si="33"/>
        <v>1</v>
      </c>
      <c r="G256" s="8">
        <f t="shared" ca="1" si="34"/>
        <v>0</v>
      </c>
      <c r="H256" s="8">
        <f t="shared" ca="1" si="35"/>
        <v>0</v>
      </c>
      <c r="I256" s="8">
        <f t="shared" ca="1" si="36"/>
        <v>0</v>
      </c>
      <c r="J256" s="6" t="e">
        <f ca="1">_xll.xlqxhSMA($C256,$L$4,$J$7,$K$3)</f>
        <v>#NAME?</v>
      </c>
      <c r="K256" s="7" t="e">
        <f ca="1">_xll.xlqhClose($C256,K$8,$K$3)</f>
        <v>#NAME?</v>
      </c>
      <c r="L256" s="7" t="e">
        <f ca="1">_xll.xlqhClose($C256,L$8,$K$3)</f>
        <v>#NAME?</v>
      </c>
      <c r="N256" s="9">
        <f t="shared" ca="1" si="37"/>
        <v>1</v>
      </c>
      <c r="O256" s="9">
        <f t="shared" ca="1" si="38"/>
        <v>1</v>
      </c>
      <c r="P256" s="9">
        <f t="shared" ca="1" si="39"/>
        <v>1</v>
      </c>
      <c r="Q256" s="9">
        <f t="shared" ca="1" si="40"/>
        <v>1</v>
      </c>
      <c r="R256" s="9">
        <f t="shared" ca="1" si="41"/>
        <v>0</v>
      </c>
    </row>
    <row r="257" spans="2:18" x14ac:dyDescent="0.25">
      <c r="B257" s="17" t="s">
        <v>1155</v>
      </c>
      <c r="C257" s="18" t="s">
        <v>1156</v>
      </c>
      <c r="D257" s="7" t="e">
        <f ca="1">_xll.xlqPrice(C257)</f>
        <v>#NAME?</v>
      </c>
      <c r="E257" s="9" t="e">
        <f t="shared" ca="1" si="32"/>
        <v>#NAME?</v>
      </c>
      <c r="F257" s="9">
        <f t="shared" ca="1" si="33"/>
        <v>1</v>
      </c>
      <c r="G257" s="8">
        <f t="shared" ca="1" si="34"/>
        <v>0</v>
      </c>
      <c r="H257" s="8">
        <f t="shared" ca="1" si="35"/>
        <v>0</v>
      </c>
      <c r="I257" s="8">
        <f t="shared" ca="1" si="36"/>
        <v>0</v>
      </c>
      <c r="J257" s="6" t="e">
        <f ca="1">_xll.xlqxhSMA($C257,$L$4,$J$7,$K$3)</f>
        <v>#NAME?</v>
      </c>
      <c r="K257" s="7" t="e">
        <f ca="1">_xll.xlqhClose($C257,K$8,$K$3)</f>
        <v>#NAME?</v>
      </c>
      <c r="L257" s="7" t="e">
        <f ca="1">_xll.xlqhClose($C257,L$8,$K$3)</f>
        <v>#NAME?</v>
      </c>
      <c r="N257" s="9">
        <f t="shared" ca="1" si="37"/>
        <v>1</v>
      </c>
      <c r="O257" s="9">
        <f t="shared" ca="1" si="38"/>
        <v>1</v>
      </c>
      <c r="P257" s="9">
        <f t="shared" ca="1" si="39"/>
        <v>1</v>
      </c>
      <c r="Q257" s="9">
        <f t="shared" ca="1" si="40"/>
        <v>1</v>
      </c>
      <c r="R257" s="9">
        <f t="shared" ca="1" si="41"/>
        <v>0</v>
      </c>
    </row>
    <row r="258" spans="2:18" x14ac:dyDescent="0.25">
      <c r="B258" s="17" t="s">
        <v>1507</v>
      </c>
      <c r="C258" s="18" t="s">
        <v>1508</v>
      </c>
      <c r="D258" s="7" t="e">
        <f ca="1">_xll.xlqPrice(C258)</f>
        <v>#NAME?</v>
      </c>
      <c r="E258" s="9" t="e">
        <f t="shared" ca="1" si="32"/>
        <v>#NAME?</v>
      </c>
      <c r="F258" s="9">
        <f t="shared" ca="1" si="33"/>
        <v>1</v>
      </c>
      <c r="G258" s="8">
        <f t="shared" ca="1" si="34"/>
        <v>0</v>
      </c>
      <c r="H258" s="8">
        <f t="shared" ca="1" si="35"/>
        <v>0</v>
      </c>
      <c r="I258" s="8">
        <f t="shared" ca="1" si="36"/>
        <v>0</v>
      </c>
      <c r="J258" s="6" t="e">
        <f ca="1">_xll.xlqxhSMA($C258,$L$4,$J$7,$K$3)</f>
        <v>#NAME?</v>
      </c>
      <c r="K258" s="7" t="e">
        <f ca="1">_xll.xlqhClose($C258,K$8,$K$3)</f>
        <v>#NAME?</v>
      </c>
      <c r="L258" s="7" t="e">
        <f ca="1">_xll.xlqhClose($C258,L$8,$K$3)</f>
        <v>#NAME?</v>
      </c>
      <c r="N258" s="9">
        <f t="shared" ca="1" si="37"/>
        <v>1</v>
      </c>
      <c r="O258" s="9">
        <f t="shared" ca="1" si="38"/>
        <v>1</v>
      </c>
      <c r="P258" s="9">
        <f t="shared" ca="1" si="39"/>
        <v>1</v>
      </c>
      <c r="Q258" s="9">
        <f t="shared" ca="1" si="40"/>
        <v>1</v>
      </c>
      <c r="R258" s="9">
        <f t="shared" ca="1" si="41"/>
        <v>0</v>
      </c>
    </row>
    <row r="259" spans="2:18" x14ac:dyDescent="0.25">
      <c r="B259" s="17" t="s">
        <v>1079</v>
      </c>
      <c r="C259" s="18" t="s">
        <v>1080</v>
      </c>
      <c r="D259" s="7" t="e">
        <f ca="1">_xll.xlqPrice(C259)</f>
        <v>#NAME?</v>
      </c>
      <c r="E259" s="9" t="e">
        <f t="shared" ca="1" si="32"/>
        <v>#NAME?</v>
      </c>
      <c r="F259" s="9">
        <f t="shared" ca="1" si="33"/>
        <v>1</v>
      </c>
      <c r="G259" s="8">
        <f t="shared" ca="1" si="34"/>
        <v>0</v>
      </c>
      <c r="H259" s="8">
        <f t="shared" ca="1" si="35"/>
        <v>0</v>
      </c>
      <c r="I259" s="8">
        <f t="shared" ca="1" si="36"/>
        <v>0</v>
      </c>
      <c r="J259" s="6" t="e">
        <f ca="1">_xll.xlqxhSMA($C259,$L$4,$J$7,$K$3)</f>
        <v>#NAME?</v>
      </c>
      <c r="K259" s="7" t="e">
        <f ca="1">_xll.xlqhClose($C259,K$8,$K$3)</f>
        <v>#NAME?</v>
      </c>
      <c r="L259" s="7" t="e">
        <f ca="1">_xll.xlqhClose($C259,L$8,$K$3)</f>
        <v>#NAME?</v>
      </c>
      <c r="N259" s="9">
        <f t="shared" ca="1" si="37"/>
        <v>1</v>
      </c>
      <c r="O259" s="9">
        <f t="shared" ca="1" si="38"/>
        <v>1</v>
      </c>
      <c r="P259" s="9">
        <f t="shared" ca="1" si="39"/>
        <v>1</v>
      </c>
      <c r="Q259" s="9">
        <f t="shared" ca="1" si="40"/>
        <v>1</v>
      </c>
      <c r="R259" s="9">
        <f t="shared" ca="1" si="41"/>
        <v>0</v>
      </c>
    </row>
    <row r="260" spans="2:18" x14ac:dyDescent="0.25">
      <c r="B260" s="17" t="s">
        <v>414</v>
      </c>
      <c r="C260" s="18" t="s">
        <v>415</v>
      </c>
      <c r="D260" s="7" t="e">
        <f ca="1">_xll.xlqPrice(C260)</f>
        <v>#NAME?</v>
      </c>
      <c r="E260" s="9" t="e">
        <f t="shared" ca="1" si="32"/>
        <v>#NAME?</v>
      </c>
      <c r="F260" s="9">
        <f t="shared" ca="1" si="33"/>
        <v>1</v>
      </c>
      <c r="G260" s="8">
        <f t="shared" ca="1" si="34"/>
        <v>0</v>
      </c>
      <c r="H260" s="8">
        <f t="shared" ca="1" si="35"/>
        <v>0</v>
      </c>
      <c r="I260" s="8">
        <f t="shared" ca="1" si="36"/>
        <v>0</v>
      </c>
      <c r="J260" s="6" t="e">
        <f ca="1">_xll.xlqxhSMA($C260,$L$4,$J$7,$K$3)</f>
        <v>#NAME?</v>
      </c>
      <c r="K260" s="7" t="e">
        <f ca="1">_xll.xlqhClose($C260,K$8,$K$3)</f>
        <v>#NAME?</v>
      </c>
      <c r="L260" s="7" t="e">
        <f ca="1">_xll.xlqhClose($C260,L$8,$K$3)</f>
        <v>#NAME?</v>
      </c>
      <c r="N260" s="9">
        <f t="shared" ca="1" si="37"/>
        <v>1</v>
      </c>
      <c r="O260" s="9">
        <f t="shared" ca="1" si="38"/>
        <v>1</v>
      </c>
      <c r="P260" s="9">
        <f t="shared" ca="1" si="39"/>
        <v>1</v>
      </c>
      <c r="Q260" s="9">
        <f t="shared" ca="1" si="40"/>
        <v>1</v>
      </c>
      <c r="R260" s="9">
        <f t="shared" ca="1" si="41"/>
        <v>0</v>
      </c>
    </row>
    <row r="261" spans="2:18" x14ac:dyDescent="0.25">
      <c r="B261" s="17" t="s">
        <v>1431</v>
      </c>
      <c r="C261" s="18" t="s">
        <v>1432</v>
      </c>
      <c r="D261" s="7" t="e">
        <f ca="1">_xll.xlqPrice(C261)</f>
        <v>#NAME?</v>
      </c>
      <c r="E261" s="9" t="e">
        <f t="shared" ca="1" si="32"/>
        <v>#NAME?</v>
      </c>
      <c r="F261" s="9">
        <f t="shared" ca="1" si="33"/>
        <v>1</v>
      </c>
      <c r="G261" s="8">
        <f t="shared" ca="1" si="34"/>
        <v>0</v>
      </c>
      <c r="H261" s="8">
        <f t="shared" ca="1" si="35"/>
        <v>0</v>
      </c>
      <c r="I261" s="8">
        <f t="shared" ca="1" si="36"/>
        <v>0</v>
      </c>
      <c r="J261" s="6" t="e">
        <f ca="1">_xll.xlqxhSMA($C261,$L$4,$J$7,$K$3)</f>
        <v>#NAME?</v>
      </c>
      <c r="K261" s="7" t="e">
        <f ca="1">_xll.xlqhClose($C261,K$8,$K$3)</f>
        <v>#NAME?</v>
      </c>
      <c r="L261" s="7" t="e">
        <f ca="1">_xll.xlqhClose($C261,L$8,$K$3)</f>
        <v>#NAME?</v>
      </c>
      <c r="N261" s="9">
        <f t="shared" ca="1" si="37"/>
        <v>1</v>
      </c>
      <c r="O261" s="9">
        <f t="shared" ca="1" si="38"/>
        <v>1</v>
      </c>
      <c r="P261" s="9">
        <f t="shared" ca="1" si="39"/>
        <v>1</v>
      </c>
      <c r="Q261" s="9">
        <f t="shared" ca="1" si="40"/>
        <v>1</v>
      </c>
      <c r="R261" s="9">
        <f t="shared" ca="1" si="41"/>
        <v>0</v>
      </c>
    </row>
    <row r="262" spans="2:18" x14ac:dyDescent="0.25">
      <c r="B262" s="17" t="s">
        <v>2309</v>
      </c>
      <c r="C262" s="18" t="s">
        <v>2310</v>
      </c>
      <c r="D262" s="7" t="e">
        <f ca="1">_xll.xlqPrice(C262)</f>
        <v>#NAME?</v>
      </c>
      <c r="E262" s="9" t="e">
        <f t="shared" ca="1" si="32"/>
        <v>#NAME?</v>
      </c>
      <c r="F262" s="9">
        <f t="shared" ca="1" si="33"/>
        <v>1</v>
      </c>
      <c r="G262" s="8">
        <f t="shared" ca="1" si="34"/>
        <v>0</v>
      </c>
      <c r="H262" s="8">
        <f t="shared" ca="1" si="35"/>
        <v>0</v>
      </c>
      <c r="I262" s="8">
        <f t="shared" ca="1" si="36"/>
        <v>0</v>
      </c>
      <c r="J262" s="6" t="e">
        <f ca="1">_xll.xlqxhSMA($C262,$L$4,$J$7,$K$3)</f>
        <v>#NAME?</v>
      </c>
      <c r="K262" s="7" t="e">
        <f ca="1">_xll.xlqhClose($C262,K$8,$K$3)</f>
        <v>#NAME?</v>
      </c>
      <c r="L262" s="7" t="e">
        <f ca="1">_xll.xlqhClose($C262,L$8,$K$3)</f>
        <v>#NAME?</v>
      </c>
      <c r="N262" s="9">
        <f t="shared" ca="1" si="37"/>
        <v>1</v>
      </c>
      <c r="O262" s="9">
        <f t="shared" ca="1" si="38"/>
        <v>1</v>
      </c>
      <c r="P262" s="9">
        <f t="shared" ca="1" si="39"/>
        <v>1</v>
      </c>
      <c r="Q262" s="9">
        <f t="shared" ca="1" si="40"/>
        <v>1</v>
      </c>
      <c r="R262" s="9">
        <f t="shared" ca="1" si="41"/>
        <v>0</v>
      </c>
    </row>
    <row r="263" spans="2:18" x14ac:dyDescent="0.25">
      <c r="B263" s="17" t="s">
        <v>274</v>
      </c>
      <c r="C263" s="18" t="s">
        <v>275</v>
      </c>
      <c r="D263" s="7" t="e">
        <f ca="1">_xll.xlqPrice(C263)</f>
        <v>#NAME?</v>
      </c>
      <c r="E263" s="9" t="e">
        <f t="shared" ca="1" si="32"/>
        <v>#NAME?</v>
      </c>
      <c r="F263" s="9">
        <f t="shared" ca="1" si="33"/>
        <v>1</v>
      </c>
      <c r="G263" s="8">
        <f t="shared" ca="1" si="34"/>
        <v>0</v>
      </c>
      <c r="H263" s="8">
        <f t="shared" ca="1" si="35"/>
        <v>0</v>
      </c>
      <c r="I263" s="8">
        <f t="shared" ca="1" si="36"/>
        <v>0</v>
      </c>
      <c r="J263" s="6" t="e">
        <f ca="1">_xll.xlqxhSMA($C263,$L$4,$J$7,$K$3)</f>
        <v>#NAME?</v>
      </c>
      <c r="K263" s="7" t="e">
        <f ca="1">_xll.xlqhClose($C263,K$8,$K$3)</f>
        <v>#NAME?</v>
      </c>
      <c r="L263" s="7" t="e">
        <f ca="1">_xll.xlqhClose($C263,L$8,$K$3)</f>
        <v>#NAME?</v>
      </c>
      <c r="N263" s="9">
        <f t="shared" ca="1" si="37"/>
        <v>1</v>
      </c>
      <c r="O263" s="9">
        <f t="shared" ca="1" si="38"/>
        <v>1</v>
      </c>
      <c r="P263" s="9">
        <f t="shared" ca="1" si="39"/>
        <v>1</v>
      </c>
      <c r="Q263" s="9">
        <f t="shared" ca="1" si="40"/>
        <v>1</v>
      </c>
      <c r="R263" s="9">
        <f t="shared" ca="1" si="41"/>
        <v>0</v>
      </c>
    </row>
    <row r="264" spans="2:18" x14ac:dyDescent="0.25">
      <c r="B264" s="17" t="s">
        <v>37</v>
      </c>
      <c r="C264" s="18" t="s">
        <v>24</v>
      </c>
      <c r="D264" s="7" t="e">
        <f ca="1">_xll.xlqPrice(C264)</f>
        <v>#NAME?</v>
      </c>
      <c r="E264" s="9" t="e">
        <f t="shared" ca="1" si="32"/>
        <v>#NAME?</v>
      </c>
      <c r="F264" s="9">
        <f t="shared" ca="1" si="33"/>
        <v>1</v>
      </c>
      <c r="G264" s="8">
        <f t="shared" ca="1" si="34"/>
        <v>0</v>
      </c>
      <c r="H264" s="8">
        <f t="shared" ca="1" si="35"/>
        <v>0</v>
      </c>
      <c r="I264" s="8">
        <f t="shared" ca="1" si="36"/>
        <v>0</v>
      </c>
      <c r="J264" s="6" t="e">
        <f ca="1">_xll.xlqxhSMA($C264,$L$4,$J$7,$K$3)</f>
        <v>#NAME?</v>
      </c>
      <c r="K264" s="7" t="e">
        <f ca="1">_xll.xlqhClose($C264,K$8,$K$3)</f>
        <v>#NAME?</v>
      </c>
      <c r="L264" s="7" t="e">
        <f ca="1">_xll.xlqhClose($C264,L$8,$K$3)</f>
        <v>#NAME?</v>
      </c>
      <c r="N264" s="9">
        <f t="shared" ca="1" si="37"/>
        <v>1</v>
      </c>
      <c r="O264" s="9">
        <f t="shared" ca="1" si="38"/>
        <v>1</v>
      </c>
      <c r="P264" s="9">
        <f t="shared" ca="1" si="39"/>
        <v>1</v>
      </c>
      <c r="Q264" s="9">
        <f t="shared" ca="1" si="40"/>
        <v>1</v>
      </c>
      <c r="R264" s="9">
        <f t="shared" ca="1" si="41"/>
        <v>0</v>
      </c>
    </row>
    <row r="265" spans="2:18" x14ac:dyDescent="0.25">
      <c r="B265" s="17" t="s">
        <v>36</v>
      </c>
      <c r="C265" s="18" t="s">
        <v>23</v>
      </c>
      <c r="D265" s="7" t="e">
        <f ca="1">_xll.xlqPrice(C265)</f>
        <v>#NAME?</v>
      </c>
      <c r="E265" s="9" t="e">
        <f t="shared" ca="1" si="32"/>
        <v>#NAME?</v>
      </c>
      <c r="F265" s="9">
        <f t="shared" ca="1" si="33"/>
        <v>1</v>
      </c>
      <c r="G265" s="8">
        <f t="shared" ca="1" si="34"/>
        <v>0</v>
      </c>
      <c r="H265" s="8">
        <f t="shared" ca="1" si="35"/>
        <v>0</v>
      </c>
      <c r="I265" s="8">
        <f t="shared" ca="1" si="36"/>
        <v>0</v>
      </c>
      <c r="J265" s="6" t="e">
        <f ca="1">_xll.xlqxhSMA($C265,$L$4,$J$7,$K$3)</f>
        <v>#NAME?</v>
      </c>
      <c r="K265" s="7" t="e">
        <f ca="1">_xll.xlqhClose($C265,K$8,$K$3)</f>
        <v>#NAME?</v>
      </c>
      <c r="L265" s="7" t="e">
        <f ca="1">_xll.xlqhClose($C265,L$8,$K$3)</f>
        <v>#NAME?</v>
      </c>
      <c r="N265" s="9">
        <f t="shared" ca="1" si="37"/>
        <v>1</v>
      </c>
      <c r="O265" s="9">
        <f t="shared" ca="1" si="38"/>
        <v>1</v>
      </c>
      <c r="P265" s="9">
        <f t="shared" ca="1" si="39"/>
        <v>1</v>
      </c>
      <c r="Q265" s="9">
        <f t="shared" ca="1" si="40"/>
        <v>1</v>
      </c>
      <c r="R265" s="9">
        <f t="shared" ca="1" si="41"/>
        <v>0</v>
      </c>
    </row>
    <row r="266" spans="2:18" x14ac:dyDescent="0.25">
      <c r="B266" t="s">
        <v>1473</v>
      </c>
      <c r="C266" s="39" t="s">
        <v>1474</v>
      </c>
      <c r="D266" s="7" t="e">
        <f ca="1">_xll.xlqPrice(C266)</f>
        <v>#NAME?</v>
      </c>
      <c r="E266" s="9" t="e">
        <f t="shared" ca="1" si="32"/>
        <v>#NAME?</v>
      </c>
      <c r="F266" s="9">
        <f t="shared" ca="1" si="33"/>
        <v>1</v>
      </c>
      <c r="G266" s="8">
        <f t="shared" ca="1" si="34"/>
        <v>0</v>
      </c>
      <c r="H266" s="8">
        <f t="shared" ca="1" si="35"/>
        <v>0</v>
      </c>
      <c r="I266" s="8">
        <f t="shared" ca="1" si="36"/>
        <v>0</v>
      </c>
      <c r="J266" s="6" t="e">
        <f ca="1">_xll.xlqxhSMA($C266,$L$4,$J$7,$K$3)</f>
        <v>#NAME?</v>
      </c>
      <c r="K266" s="7" t="e">
        <f ca="1">_xll.xlqhClose($C266,K$8,$K$3)</f>
        <v>#NAME?</v>
      </c>
      <c r="L266" s="7" t="e">
        <f ca="1">_xll.xlqhClose($C266,L$8,$K$3)</f>
        <v>#NAME?</v>
      </c>
      <c r="N266" s="9">
        <f t="shared" ca="1" si="37"/>
        <v>1</v>
      </c>
      <c r="O266" s="9">
        <f t="shared" ca="1" si="38"/>
        <v>1</v>
      </c>
      <c r="P266" s="9">
        <f t="shared" ca="1" si="39"/>
        <v>1</v>
      </c>
      <c r="Q266" s="9">
        <f t="shared" ca="1" si="40"/>
        <v>1</v>
      </c>
      <c r="R266" s="9">
        <f t="shared" ca="1" si="41"/>
        <v>0</v>
      </c>
    </row>
    <row r="267" spans="2:18" x14ac:dyDescent="0.25">
      <c r="B267" s="17" t="s">
        <v>1785</v>
      </c>
      <c r="C267" s="18" t="s">
        <v>1786</v>
      </c>
      <c r="D267" s="7" t="e">
        <f ca="1">_xll.xlqPrice(C267)</f>
        <v>#NAME?</v>
      </c>
      <c r="E267" s="9" t="e">
        <f t="shared" ref="E267:E330" ca="1" si="42">IF(D267&gt;J267, "Buy","Cash")</f>
        <v>#NAME?</v>
      </c>
      <c r="F267" s="9">
        <f t="shared" ref="F267:F330" ca="1" si="43">RANK(I267,$I$11:$I$1138,0)</f>
        <v>1</v>
      </c>
      <c r="G267" s="8">
        <f t="shared" ref="G267:G330" ca="1" si="44">IFERROR(($D267-K267)/K267,0)</f>
        <v>0</v>
      </c>
      <c r="H267" s="8">
        <f t="shared" ref="H267:H330" ca="1" si="45">IFERROR(($D267-L267)/L267,0)</f>
        <v>0</v>
      </c>
      <c r="I267" s="8">
        <f t="shared" ref="I267:I330" ca="1" si="46">IFERROR((G267*$G$8)+(H267*$H$8),0)</f>
        <v>0</v>
      </c>
      <c r="J267" s="6" t="e">
        <f ca="1">_xll.xlqxhSMA($C267,$L$4,$J$7,$K$3)</f>
        <v>#NAME?</v>
      </c>
      <c r="K267" s="7" t="e">
        <f ca="1">_xll.xlqhClose($C267,K$8,$K$3)</f>
        <v>#NAME?</v>
      </c>
      <c r="L267" s="7" t="e">
        <f ca="1">_xll.xlqhClose($C267,L$8,$K$3)</f>
        <v>#NAME?</v>
      </c>
      <c r="N267" s="9">
        <f t="shared" ref="N267:N330" ca="1" si="47">RANK($G267,G$11:G$1138,0)</f>
        <v>1</v>
      </c>
      <c r="O267" s="9">
        <f t="shared" ref="O267:O330" ca="1" si="48">RANK($H267,H$11:H$1138,0)</f>
        <v>1</v>
      </c>
      <c r="P267" s="9">
        <f t="shared" ref="P267:P330" ca="1" si="49">RANK($I267,I$11:I$1138,0)</f>
        <v>1</v>
      </c>
      <c r="Q267" s="9">
        <f t="shared" ref="Q267:Q330" ca="1" si="50">RANK($P267,P$11:P$1138,1)</f>
        <v>1</v>
      </c>
      <c r="R267" s="9">
        <f t="shared" ref="R267:R330" ca="1" si="51">F267-Q267</f>
        <v>0</v>
      </c>
    </row>
    <row r="268" spans="2:18" x14ac:dyDescent="0.25">
      <c r="B268" s="17" t="s">
        <v>1119</v>
      </c>
      <c r="C268" s="18" t="s">
        <v>1120</v>
      </c>
      <c r="D268" s="7" t="e">
        <f ca="1">_xll.xlqPrice(C268)</f>
        <v>#NAME?</v>
      </c>
      <c r="E268" s="9" t="e">
        <f t="shared" ca="1" si="42"/>
        <v>#NAME?</v>
      </c>
      <c r="F268" s="9">
        <f t="shared" ca="1" si="43"/>
        <v>1</v>
      </c>
      <c r="G268" s="8">
        <f t="shared" ca="1" si="44"/>
        <v>0</v>
      </c>
      <c r="H268" s="8">
        <f t="shared" ca="1" si="45"/>
        <v>0</v>
      </c>
      <c r="I268" s="8">
        <f t="shared" ca="1" si="46"/>
        <v>0</v>
      </c>
      <c r="J268" s="6" t="e">
        <f ca="1">_xll.xlqxhSMA($C268,$L$4,$J$7,$K$3)</f>
        <v>#NAME?</v>
      </c>
      <c r="K268" s="7" t="e">
        <f ca="1">_xll.xlqhClose($C268,K$8,$K$3)</f>
        <v>#NAME?</v>
      </c>
      <c r="L268" s="7" t="e">
        <f ca="1">_xll.xlqhClose($C268,L$8,$K$3)</f>
        <v>#NAME?</v>
      </c>
      <c r="N268" s="9">
        <f t="shared" ca="1" si="47"/>
        <v>1</v>
      </c>
      <c r="O268" s="9">
        <f t="shared" ca="1" si="48"/>
        <v>1</v>
      </c>
      <c r="P268" s="9">
        <f t="shared" ca="1" si="49"/>
        <v>1</v>
      </c>
      <c r="Q268" s="9">
        <f t="shared" ca="1" si="50"/>
        <v>1</v>
      </c>
      <c r="R268" s="9">
        <f t="shared" ca="1" si="51"/>
        <v>0</v>
      </c>
    </row>
    <row r="269" spans="2:18" x14ac:dyDescent="0.25">
      <c r="B269" s="17" t="s">
        <v>200</v>
      </c>
      <c r="C269" s="18" t="s">
        <v>201</v>
      </c>
      <c r="D269" s="7" t="e">
        <f ca="1">_xll.xlqPrice(C269)</f>
        <v>#NAME?</v>
      </c>
      <c r="E269" s="9" t="e">
        <f t="shared" ca="1" si="42"/>
        <v>#NAME?</v>
      </c>
      <c r="F269" s="9">
        <f t="shared" ca="1" si="43"/>
        <v>1</v>
      </c>
      <c r="G269" s="8">
        <f t="shared" ca="1" si="44"/>
        <v>0</v>
      </c>
      <c r="H269" s="8">
        <f t="shared" ca="1" si="45"/>
        <v>0</v>
      </c>
      <c r="I269" s="8">
        <f t="shared" ca="1" si="46"/>
        <v>0</v>
      </c>
      <c r="J269" s="6" t="e">
        <f ca="1">_xll.xlqxhSMA($C269,$L$4,$J$7,$K$3)</f>
        <v>#NAME?</v>
      </c>
      <c r="K269" s="7" t="e">
        <f ca="1">_xll.xlqhClose($C269,K$8,$K$3)</f>
        <v>#NAME?</v>
      </c>
      <c r="L269" s="7" t="e">
        <f ca="1">_xll.xlqhClose($C269,L$8,$K$3)</f>
        <v>#NAME?</v>
      </c>
      <c r="N269" s="9">
        <f t="shared" ca="1" si="47"/>
        <v>1</v>
      </c>
      <c r="O269" s="9">
        <f t="shared" ca="1" si="48"/>
        <v>1</v>
      </c>
      <c r="P269" s="9">
        <f t="shared" ca="1" si="49"/>
        <v>1</v>
      </c>
      <c r="Q269" s="9">
        <f t="shared" ca="1" si="50"/>
        <v>1</v>
      </c>
      <c r="R269" s="9">
        <f t="shared" ca="1" si="51"/>
        <v>0</v>
      </c>
    </row>
    <row r="270" spans="2:18" x14ac:dyDescent="0.25">
      <c r="B270" s="17" t="s">
        <v>1321</v>
      </c>
      <c r="C270" s="18" t="s">
        <v>1322</v>
      </c>
      <c r="D270" s="7" t="e">
        <f ca="1">_xll.xlqPrice(C270)</f>
        <v>#NAME?</v>
      </c>
      <c r="E270" s="9" t="e">
        <f t="shared" ca="1" si="42"/>
        <v>#NAME?</v>
      </c>
      <c r="F270" s="9">
        <f t="shared" ca="1" si="43"/>
        <v>1</v>
      </c>
      <c r="G270" s="8">
        <f t="shared" ca="1" si="44"/>
        <v>0</v>
      </c>
      <c r="H270" s="8">
        <f t="shared" ca="1" si="45"/>
        <v>0</v>
      </c>
      <c r="I270" s="8">
        <f t="shared" ca="1" si="46"/>
        <v>0</v>
      </c>
      <c r="J270" s="6" t="e">
        <f ca="1">_xll.xlqxhSMA($C270,$L$4,$J$7,$K$3)</f>
        <v>#NAME?</v>
      </c>
      <c r="K270" s="7" t="e">
        <f ca="1">_xll.xlqhClose($C270,K$8,$K$3)</f>
        <v>#NAME?</v>
      </c>
      <c r="L270" s="7" t="e">
        <f ca="1">_xll.xlqhClose($C270,L$8,$K$3)</f>
        <v>#NAME?</v>
      </c>
      <c r="N270" s="9">
        <f t="shared" ca="1" si="47"/>
        <v>1</v>
      </c>
      <c r="O270" s="9">
        <f t="shared" ca="1" si="48"/>
        <v>1</v>
      </c>
      <c r="P270" s="9">
        <f t="shared" ca="1" si="49"/>
        <v>1</v>
      </c>
      <c r="Q270" s="9">
        <f t="shared" ca="1" si="50"/>
        <v>1</v>
      </c>
      <c r="R270" s="9">
        <f t="shared" ca="1" si="51"/>
        <v>0</v>
      </c>
    </row>
    <row r="271" spans="2:18" x14ac:dyDescent="0.25">
      <c r="B271" s="17" t="s">
        <v>342</v>
      </c>
      <c r="C271" s="18" t="s">
        <v>343</v>
      </c>
      <c r="D271" s="7" t="e">
        <f ca="1">_xll.xlqPrice(C271)</f>
        <v>#NAME?</v>
      </c>
      <c r="E271" s="9" t="e">
        <f t="shared" ca="1" si="42"/>
        <v>#NAME?</v>
      </c>
      <c r="F271" s="9">
        <f t="shared" ca="1" si="43"/>
        <v>1</v>
      </c>
      <c r="G271" s="8">
        <f t="shared" ca="1" si="44"/>
        <v>0</v>
      </c>
      <c r="H271" s="8">
        <f t="shared" ca="1" si="45"/>
        <v>0</v>
      </c>
      <c r="I271" s="8">
        <f t="shared" ca="1" si="46"/>
        <v>0</v>
      </c>
      <c r="J271" s="6" t="e">
        <f ca="1">_xll.xlqxhSMA($C271,$L$4,$J$7,$K$3)</f>
        <v>#NAME?</v>
      </c>
      <c r="K271" s="7" t="e">
        <f ca="1">_xll.xlqhClose($C271,K$8,$K$3)</f>
        <v>#NAME?</v>
      </c>
      <c r="L271" s="7" t="e">
        <f ca="1">_xll.xlqhClose($C271,L$8,$K$3)</f>
        <v>#NAME?</v>
      </c>
      <c r="N271" s="9">
        <f t="shared" ca="1" si="47"/>
        <v>1</v>
      </c>
      <c r="O271" s="9">
        <f t="shared" ca="1" si="48"/>
        <v>1</v>
      </c>
      <c r="P271" s="9">
        <f t="shared" ca="1" si="49"/>
        <v>1</v>
      </c>
      <c r="Q271" s="9">
        <f t="shared" ca="1" si="50"/>
        <v>1</v>
      </c>
      <c r="R271" s="9">
        <f t="shared" ca="1" si="51"/>
        <v>0</v>
      </c>
    </row>
    <row r="272" spans="2:18" x14ac:dyDescent="0.25">
      <c r="B272" s="17" t="s">
        <v>1397</v>
      </c>
      <c r="C272" s="18" t="s">
        <v>1398</v>
      </c>
      <c r="D272" s="7" t="e">
        <f ca="1">_xll.xlqPrice(C272)</f>
        <v>#NAME?</v>
      </c>
      <c r="E272" s="9" t="e">
        <f t="shared" ca="1" si="42"/>
        <v>#NAME?</v>
      </c>
      <c r="F272" s="9">
        <f t="shared" ca="1" si="43"/>
        <v>1</v>
      </c>
      <c r="G272" s="8">
        <f t="shared" ca="1" si="44"/>
        <v>0</v>
      </c>
      <c r="H272" s="8">
        <f t="shared" ca="1" si="45"/>
        <v>0</v>
      </c>
      <c r="I272" s="8">
        <f t="shared" ca="1" si="46"/>
        <v>0</v>
      </c>
      <c r="J272" s="6" t="e">
        <f ca="1">_xll.xlqxhSMA($C272,$L$4,$J$7,$K$3)</f>
        <v>#NAME?</v>
      </c>
      <c r="K272" s="7" t="e">
        <f ca="1">_xll.xlqhClose($C272,K$8,$K$3)</f>
        <v>#NAME?</v>
      </c>
      <c r="L272" s="7" t="e">
        <f ca="1">_xll.xlqhClose($C272,L$8,$K$3)</f>
        <v>#NAME?</v>
      </c>
      <c r="N272" s="9">
        <f t="shared" ca="1" si="47"/>
        <v>1</v>
      </c>
      <c r="O272" s="9">
        <f t="shared" ca="1" si="48"/>
        <v>1</v>
      </c>
      <c r="P272" s="9">
        <f t="shared" ca="1" si="49"/>
        <v>1</v>
      </c>
      <c r="Q272" s="9">
        <f t="shared" ca="1" si="50"/>
        <v>1</v>
      </c>
      <c r="R272" s="9">
        <f t="shared" ca="1" si="51"/>
        <v>0</v>
      </c>
    </row>
    <row r="273" spans="2:18" x14ac:dyDescent="0.25">
      <c r="B273" s="17" t="s">
        <v>1639</v>
      </c>
      <c r="C273" s="18" t="s">
        <v>1640</v>
      </c>
      <c r="D273" s="7" t="e">
        <f ca="1">_xll.xlqPrice(C273)</f>
        <v>#NAME?</v>
      </c>
      <c r="E273" s="9" t="e">
        <f t="shared" ca="1" si="42"/>
        <v>#NAME?</v>
      </c>
      <c r="F273" s="9">
        <f t="shared" ca="1" si="43"/>
        <v>1</v>
      </c>
      <c r="G273" s="8">
        <f t="shared" ca="1" si="44"/>
        <v>0</v>
      </c>
      <c r="H273" s="8">
        <f t="shared" ca="1" si="45"/>
        <v>0</v>
      </c>
      <c r="I273" s="8">
        <f t="shared" ca="1" si="46"/>
        <v>0</v>
      </c>
      <c r="J273" s="6" t="e">
        <f ca="1">_xll.xlqxhSMA($C273,$L$4,$J$7,$K$3)</f>
        <v>#NAME?</v>
      </c>
      <c r="K273" s="7" t="e">
        <f ca="1">_xll.xlqhClose($C273,K$8,$K$3)</f>
        <v>#NAME?</v>
      </c>
      <c r="L273" s="7" t="e">
        <f ca="1">_xll.xlqhClose($C273,L$8,$K$3)</f>
        <v>#NAME?</v>
      </c>
      <c r="N273" s="9">
        <f t="shared" ca="1" si="47"/>
        <v>1</v>
      </c>
      <c r="O273" s="9">
        <f t="shared" ca="1" si="48"/>
        <v>1</v>
      </c>
      <c r="P273" s="9">
        <f t="shared" ca="1" si="49"/>
        <v>1</v>
      </c>
      <c r="Q273" s="9">
        <f t="shared" ca="1" si="50"/>
        <v>1</v>
      </c>
      <c r="R273" s="9">
        <f t="shared" ca="1" si="51"/>
        <v>0</v>
      </c>
    </row>
    <row r="274" spans="2:18" x14ac:dyDescent="0.25">
      <c r="B274" s="17" t="s">
        <v>1453</v>
      </c>
      <c r="C274" s="18" t="s">
        <v>1454</v>
      </c>
      <c r="D274" s="7" t="e">
        <f ca="1">_xll.xlqPrice(C274)</f>
        <v>#NAME?</v>
      </c>
      <c r="E274" s="9" t="e">
        <f t="shared" ca="1" si="42"/>
        <v>#NAME?</v>
      </c>
      <c r="F274" s="9">
        <f t="shared" ca="1" si="43"/>
        <v>1</v>
      </c>
      <c r="G274" s="8">
        <f t="shared" ca="1" si="44"/>
        <v>0</v>
      </c>
      <c r="H274" s="8">
        <f t="shared" ca="1" si="45"/>
        <v>0</v>
      </c>
      <c r="I274" s="8">
        <f t="shared" ca="1" si="46"/>
        <v>0</v>
      </c>
      <c r="J274" s="6" t="e">
        <f ca="1">_xll.xlqxhSMA($C274,$L$4,$J$7,$K$3)</f>
        <v>#NAME?</v>
      </c>
      <c r="K274" s="7" t="e">
        <f ca="1">_xll.xlqhClose($C274,K$8,$K$3)</f>
        <v>#NAME?</v>
      </c>
      <c r="L274" s="7" t="e">
        <f ca="1">_xll.xlqhClose($C274,L$8,$K$3)</f>
        <v>#NAME?</v>
      </c>
      <c r="N274" s="9">
        <f t="shared" ca="1" si="47"/>
        <v>1</v>
      </c>
      <c r="O274" s="9">
        <f t="shared" ca="1" si="48"/>
        <v>1</v>
      </c>
      <c r="P274" s="9">
        <f t="shared" ca="1" si="49"/>
        <v>1</v>
      </c>
      <c r="Q274" s="9">
        <f t="shared" ca="1" si="50"/>
        <v>1</v>
      </c>
      <c r="R274" s="9">
        <f t="shared" ca="1" si="51"/>
        <v>0</v>
      </c>
    </row>
    <row r="275" spans="2:18" x14ac:dyDescent="0.25">
      <c r="B275" t="s">
        <v>1285</v>
      </c>
      <c r="C275" s="39" t="s">
        <v>1286</v>
      </c>
      <c r="D275" s="7" t="e">
        <f ca="1">_xll.xlqPrice(C275)</f>
        <v>#NAME?</v>
      </c>
      <c r="E275" s="9" t="e">
        <f t="shared" ca="1" si="42"/>
        <v>#NAME?</v>
      </c>
      <c r="F275" s="9">
        <f t="shared" ca="1" si="43"/>
        <v>1</v>
      </c>
      <c r="G275" s="8">
        <f t="shared" ca="1" si="44"/>
        <v>0</v>
      </c>
      <c r="H275" s="8">
        <f t="shared" ca="1" si="45"/>
        <v>0</v>
      </c>
      <c r="I275" s="8">
        <f t="shared" ca="1" si="46"/>
        <v>0</v>
      </c>
      <c r="J275" s="6" t="e">
        <f ca="1">_xll.xlqxhSMA($C275,$L$4,$J$7,$K$3)</f>
        <v>#NAME?</v>
      </c>
      <c r="K275" s="7" t="e">
        <f ca="1">_xll.xlqhClose($C275,K$8,$K$3)</f>
        <v>#NAME?</v>
      </c>
      <c r="L275" s="7" t="e">
        <f ca="1">_xll.xlqhClose($C275,L$8,$K$3)</f>
        <v>#NAME?</v>
      </c>
      <c r="N275" s="9">
        <f t="shared" ca="1" si="47"/>
        <v>1</v>
      </c>
      <c r="O275" s="9">
        <f t="shared" ca="1" si="48"/>
        <v>1</v>
      </c>
      <c r="P275" s="9">
        <f t="shared" ca="1" si="49"/>
        <v>1</v>
      </c>
      <c r="Q275" s="9">
        <f t="shared" ca="1" si="50"/>
        <v>1</v>
      </c>
      <c r="R275" s="9">
        <f t="shared" ca="1" si="51"/>
        <v>0</v>
      </c>
    </row>
    <row r="276" spans="2:18" x14ac:dyDescent="0.25">
      <c r="B276" s="17" t="s">
        <v>1325</v>
      </c>
      <c r="C276" s="18" t="s">
        <v>1326</v>
      </c>
      <c r="D276" s="7" t="e">
        <f ca="1">_xll.xlqPrice(C276)</f>
        <v>#NAME?</v>
      </c>
      <c r="E276" s="9" t="e">
        <f t="shared" ca="1" si="42"/>
        <v>#NAME?</v>
      </c>
      <c r="F276" s="9">
        <f t="shared" ca="1" si="43"/>
        <v>1</v>
      </c>
      <c r="G276" s="8">
        <f t="shared" ca="1" si="44"/>
        <v>0</v>
      </c>
      <c r="H276" s="8">
        <f t="shared" ca="1" si="45"/>
        <v>0</v>
      </c>
      <c r="I276" s="8">
        <f t="shared" ca="1" si="46"/>
        <v>0</v>
      </c>
      <c r="J276" s="6" t="e">
        <f ca="1">_xll.xlqxhSMA($C276,$L$4,$J$7,$K$3)</f>
        <v>#NAME?</v>
      </c>
      <c r="K276" s="7" t="e">
        <f ca="1">_xll.xlqhClose($C276,K$8,$K$3)</f>
        <v>#NAME?</v>
      </c>
      <c r="L276" s="7" t="e">
        <f ca="1">_xll.xlqhClose($C276,L$8,$K$3)</f>
        <v>#NAME?</v>
      </c>
      <c r="N276" s="9">
        <f t="shared" ca="1" si="47"/>
        <v>1</v>
      </c>
      <c r="O276" s="9">
        <f t="shared" ca="1" si="48"/>
        <v>1</v>
      </c>
      <c r="P276" s="9">
        <f t="shared" ca="1" si="49"/>
        <v>1</v>
      </c>
      <c r="Q276" s="9">
        <f t="shared" ca="1" si="50"/>
        <v>1</v>
      </c>
      <c r="R276" s="9">
        <f t="shared" ca="1" si="51"/>
        <v>0</v>
      </c>
    </row>
    <row r="277" spans="2:18" x14ac:dyDescent="0.25">
      <c r="B277" s="17" t="s">
        <v>402</v>
      </c>
      <c r="C277" s="18" t="s">
        <v>403</v>
      </c>
      <c r="D277" s="7" t="e">
        <f ca="1">_xll.xlqPrice(C277)</f>
        <v>#NAME?</v>
      </c>
      <c r="E277" s="9" t="e">
        <f t="shared" ca="1" si="42"/>
        <v>#NAME?</v>
      </c>
      <c r="F277" s="9">
        <f t="shared" ca="1" si="43"/>
        <v>1</v>
      </c>
      <c r="G277" s="8">
        <f t="shared" ca="1" si="44"/>
        <v>0</v>
      </c>
      <c r="H277" s="8">
        <f t="shared" ca="1" si="45"/>
        <v>0</v>
      </c>
      <c r="I277" s="8">
        <f t="shared" ca="1" si="46"/>
        <v>0</v>
      </c>
      <c r="J277" s="6" t="e">
        <f ca="1">_xll.xlqxhSMA($C277,$L$4,$J$7,$K$3)</f>
        <v>#NAME?</v>
      </c>
      <c r="K277" s="7" t="e">
        <f ca="1">_xll.xlqhClose($C277,K$8,$K$3)</f>
        <v>#NAME?</v>
      </c>
      <c r="L277" s="7" t="e">
        <f ca="1">_xll.xlqhClose($C277,L$8,$K$3)</f>
        <v>#NAME?</v>
      </c>
      <c r="N277" s="9">
        <f t="shared" ca="1" si="47"/>
        <v>1</v>
      </c>
      <c r="O277" s="9">
        <f t="shared" ca="1" si="48"/>
        <v>1</v>
      </c>
      <c r="P277" s="9">
        <f t="shared" ca="1" si="49"/>
        <v>1</v>
      </c>
      <c r="Q277" s="9">
        <f t="shared" ca="1" si="50"/>
        <v>1</v>
      </c>
      <c r="R277" s="9">
        <f t="shared" ca="1" si="51"/>
        <v>0</v>
      </c>
    </row>
    <row r="278" spans="2:18" x14ac:dyDescent="0.25">
      <c r="B278" s="17" t="s">
        <v>182</v>
      </c>
      <c r="C278" s="18" t="s">
        <v>183</v>
      </c>
      <c r="D278" s="7" t="e">
        <f ca="1">_xll.xlqPrice(C278)</f>
        <v>#NAME?</v>
      </c>
      <c r="E278" s="9" t="e">
        <f t="shared" ca="1" si="42"/>
        <v>#NAME?</v>
      </c>
      <c r="F278" s="9">
        <f t="shared" ca="1" si="43"/>
        <v>1</v>
      </c>
      <c r="G278" s="8">
        <f t="shared" ca="1" si="44"/>
        <v>0</v>
      </c>
      <c r="H278" s="8">
        <f t="shared" ca="1" si="45"/>
        <v>0</v>
      </c>
      <c r="I278" s="8">
        <f t="shared" ca="1" si="46"/>
        <v>0</v>
      </c>
      <c r="J278" s="6" t="e">
        <f ca="1">_xll.xlqxhSMA($C278,$L$4,$J$7,$K$3)</f>
        <v>#NAME?</v>
      </c>
      <c r="K278" s="7" t="e">
        <f ca="1">_xll.xlqhClose($C278,K$8,$K$3)</f>
        <v>#NAME?</v>
      </c>
      <c r="L278" s="7" t="e">
        <f ca="1">_xll.xlqhClose($C278,L$8,$K$3)</f>
        <v>#NAME?</v>
      </c>
      <c r="N278" s="9">
        <f t="shared" ca="1" si="47"/>
        <v>1</v>
      </c>
      <c r="O278" s="9">
        <f t="shared" ca="1" si="48"/>
        <v>1</v>
      </c>
      <c r="P278" s="9">
        <f t="shared" ca="1" si="49"/>
        <v>1</v>
      </c>
      <c r="Q278" s="9">
        <f t="shared" ca="1" si="50"/>
        <v>1</v>
      </c>
      <c r="R278" s="9">
        <f t="shared" ca="1" si="51"/>
        <v>0</v>
      </c>
    </row>
    <row r="279" spans="2:18" x14ac:dyDescent="0.25">
      <c r="B279" s="17" t="s">
        <v>1537</v>
      </c>
      <c r="C279" s="18" t="s">
        <v>1538</v>
      </c>
      <c r="D279" s="7" t="e">
        <f ca="1">_xll.xlqPrice(C279)</f>
        <v>#NAME?</v>
      </c>
      <c r="E279" s="9" t="e">
        <f t="shared" ca="1" si="42"/>
        <v>#NAME?</v>
      </c>
      <c r="F279" s="9">
        <f t="shared" ca="1" si="43"/>
        <v>1</v>
      </c>
      <c r="G279" s="8">
        <f t="shared" ca="1" si="44"/>
        <v>0</v>
      </c>
      <c r="H279" s="8">
        <f t="shared" ca="1" si="45"/>
        <v>0</v>
      </c>
      <c r="I279" s="8">
        <f t="shared" ca="1" si="46"/>
        <v>0</v>
      </c>
      <c r="J279" s="6" t="e">
        <f ca="1">_xll.xlqxhSMA($C279,$L$4,$J$7,$K$3)</f>
        <v>#NAME?</v>
      </c>
      <c r="K279" s="7" t="e">
        <f ca="1">_xll.xlqhClose($C279,K$8,$K$3)</f>
        <v>#NAME?</v>
      </c>
      <c r="L279" s="7" t="e">
        <f ca="1">_xll.xlqhClose($C279,L$8,$K$3)</f>
        <v>#NAME?</v>
      </c>
      <c r="N279" s="9">
        <f t="shared" ca="1" si="47"/>
        <v>1</v>
      </c>
      <c r="O279" s="9">
        <f t="shared" ca="1" si="48"/>
        <v>1</v>
      </c>
      <c r="P279" s="9">
        <f t="shared" ca="1" si="49"/>
        <v>1</v>
      </c>
      <c r="Q279" s="9">
        <f t="shared" ca="1" si="50"/>
        <v>1</v>
      </c>
      <c r="R279" s="9">
        <f t="shared" ca="1" si="51"/>
        <v>0</v>
      </c>
    </row>
    <row r="280" spans="2:18" x14ac:dyDescent="0.25">
      <c r="B280" s="17" t="s">
        <v>1991</v>
      </c>
      <c r="C280" s="18" t="s">
        <v>1992</v>
      </c>
      <c r="D280" s="7" t="e">
        <f ca="1">_xll.xlqPrice(C280)</f>
        <v>#NAME?</v>
      </c>
      <c r="E280" s="9" t="e">
        <f t="shared" ca="1" si="42"/>
        <v>#NAME?</v>
      </c>
      <c r="F280" s="9">
        <f t="shared" ca="1" si="43"/>
        <v>1</v>
      </c>
      <c r="G280" s="8">
        <f t="shared" ca="1" si="44"/>
        <v>0</v>
      </c>
      <c r="H280" s="8">
        <f t="shared" ca="1" si="45"/>
        <v>0</v>
      </c>
      <c r="I280" s="8">
        <f t="shared" ca="1" si="46"/>
        <v>0</v>
      </c>
      <c r="J280" s="6" t="e">
        <f ca="1">_xll.xlqxhSMA($C280,$L$4,$J$7,$K$3)</f>
        <v>#NAME?</v>
      </c>
      <c r="K280" s="7" t="e">
        <f ca="1">_xll.xlqhClose($C280,K$8,$K$3)</f>
        <v>#NAME?</v>
      </c>
      <c r="L280" s="7" t="e">
        <f ca="1">_xll.xlqhClose($C280,L$8,$K$3)</f>
        <v>#NAME?</v>
      </c>
      <c r="N280" s="9">
        <f t="shared" ca="1" si="47"/>
        <v>1</v>
      </c>
      <c r="O280" s="9">
        <f t="shared" ca="1" si="48"/>
        <v>1</v>
      </c>
      <c r="P280" s="9">
        <f t="shared" ca="1" si="49"/>
        <v>1</v>
      </c>
      <c r="Q280" s="9">
        <f t="shared" ca="1" si="50"/>
        <v>1</v>
      </c>
      <c r="R280" s="9">
        <f t="shared" ca="1" si="51"/>
        <v>0</v>
      </c>
    </row>
    <row r="281" spans="2:18" x14ac:dyDescent="0.25">
      <c r="B281" s="17" t="s">
        <v>2323</v>
      </c>
      <c r="C281" s="18" t="s">
        <v>2324</v>
      </c>
      <c r="D281" s="7" t="e">
        <f ca="1">_xll.xlqPrice(C281)</f>
        <v>#NAME?</v>
      </c>
      <c r="E281" s="9" t="e">
        <f t="shared" ca="1" si="42"/>
        <v>#NAME?</v>
      </c>
      <c r="F281" s="9">
        <f t="shared" ca="1" si="43"/>
        <v>1</v>
      </c>
      <c r="G281" s="8">
        <f t="shared" ca="1" si="44"/>
        <v>0</v>
      </c>
      <c r="H281" s="8">
        <f t="shared" ca="1" si="45"/>
        <v>0</v>
      </c>
      <c r="I281" s="8">
        <f t="shared" ca="1" si="46"/>
        <v>0</v>
      </c>
      <c r="J281" s="6" t="e">
        <f ca="1">_xll.xlqxhSMA($C281,$L$4,$J$7,$K$3)</f>
        <v>#NAME?</v>
      </c>
      <c r="K281" s="7" t="e">
        <f ca="1">_xll.xlqhClose($C281,K$8,$K$3)</f>
        <v>#NAME?</v>
      </c>
      <c r="L281" s="7" t="e">
        <f ca="1">_xll.xlqhClose($C281,L$8,$K$3)</f>
        <v>#NAME?</v>
      </c>
      <c r="N281" s="9">
        <f t="shared" ca="1" si="47"/>
        <v>1</v>
      </c>
      <c r="O281" s="9">
        <f t="shared" ca="1" si="48"/>
        <v>1</v>
      </c>
      <c r="P281" s="9">
        <f t="shared" ca="1" si="49"/>
        <v>1</v>
      </c>
      <c r="Q281" s="9">
        <f t="shared" ca="1" si="50"/>
        <v>1</v>
      </c>
      <c r="R281" s="9">
        <f t="shared" ca="1" si="51"/>
        <v>0</v>
      </c>
    </row>
    <row r="282" spans="2:18" x14ac:dyDescent="0.25">
      <c r="B282" s="17" t="s">
        <v>1813</v>
      </c>
      <c r="C282" s="18" t="s">
        <v>1814</v>
      </c>
      <c r="D282" s="7" t="e">
        <f ca="1">_xll.xlqPrice(C282)</f>
        <v>#NAME?</v>
      </c>
      <c r="E282" s="9" t="e">
        <f t="shared" ca="1" si="42"/>
        <v>#NAME?</v>
      </c>
      <c r="F282" s="9">
        <f t="shared" ca="1" si="43"/>
        <v>1</v>
      </c>
      <c r="G282" s="8">
        <f t="shared" ca="1" si="44"/>
        <v>0</v>
      </c>
      <c r="H282" s="8">
        <f t="shared" ca="1" si="45"/>
        <v>0</v>
      </c>
      <c r="I282" s="8">
        <f t="shared" ca="1" si="46"/>
        <v>0</v>
      </c>
      <c r="J282" s="6" t="e">
        <f ca="1">_xll.xlqxhSMA($C282,$L$4,$J$7,$K$3)</f>
        <v>#NAME?</v>
      </c>
      <c r="K282" s="7" t="e">
        <f ca="1">_xll.xlqhClose($C282,K$8,$K$3)</f>
        <v>#NAME?</v>
      </c>
      <c r="L282" s="7" t="e">
        <f ca="1">_xll.xlqhClose($C282,L$8,$K$3)</f>
        <v>#NAME?</v>
      </c>
      <c r="N282" s="9">
        <f t="shared" ca="1" si="47"/>
        <v>1</v>
      </c>
      <c r="O282" s="9">
        <f t="shared" ca="1" si="48"/>
        <v>1</v>
      </c>
      <c r="P282" s="9">
        <f t="shared" ca="1" si="49"/>
        <v>1</v>
      </c>
      <c r="Q282" s="9">
        <f t="shared" ca="1" si="50"/>
        <v>1</v>
      </c>
      <c r="R282" s="9">
        <f t="shared" ca="1" si="51"/>
        <v>0</v>
      </c>
    </row>
    <row r="283" spans="2:18" x14ac:dyDescent="0.25">
      <c r="B283" s="17" t="s">
        <v>516</v>
      </c>
      <c r="C283" s="18" t="s">
        <v>517</v>
      </c>
      <c r="D283" s="7" t="e">
        <f ca="1">_xll.xlqPrice(C283)</f>
        <v>#NAME?</v>
      </c>
      <c r="E283" s="9" t="e">
        <f t="shared" ca="1" si="42"/>
        <v>#NAME?</v>
      </c>
      <c r="F283" s="9">
        <f t="shared" ca="1" si="43"/>
        <v>1</v>
      </c>
      <c r="G283" s="8">
        <f t="shared" ca="1" si="44"/>
        <v>0</v>
      </c>
      <c r="H283" s="8">
        <f t="shared" ca="1" si="45"/>
        <v>0</v>
      </c>
      <c r="I283" s="8">
        <f t="shared" ca="1" si="46"/>
        <v>0</v>
      </c>
      <c r="J283" s="6" t="e">
        <f ca="1">_xll.xlqxhSMA($C283,$L$4,$J$7,$K$3)</f>
        <v>#NAME?</v>
      </c>
      <c r="K283" s="7" t="e">
        <f ca="1">_xll.xlqhClose($C283,K$8,$K$3)</f>
        <v>#NAME?</v>
      </c>
      <c r="L283" s="7" t="e">
        <f ca="1">_xll.xlqhClose($C283,L$8,$K$3)</f>
        <v>#NAME?</v>
      </c>
      <c r="N283" s="9">
        <f t="shared" ca="1" si="47"/>
        <v>1</v>
      </c>
      <c r="O283" s="9">
        <f t="shared" ca="1" si="48"/>
        <v>1</v>
      </c>
      <c r="P283" s="9">
        <f t="shared" ca="1" si="49"/>
        <v>1</v>
      </c>
      <c r="Q283" s="9">
        <f t="shared" ca="1" si="50"/>
        <v>1</v>
      </c>
      <c r="R283" s="9">
        <f t="shared" ca="1" si="51"/>
        <v>0</v>
      </c>
    </row>
    <row r="284" spans="2:18" x14ac:dyDescent="0.25">
      <c r="B284" s="17" t="s">
        <v>1459</v>
      </c>
      <c r="C284" s="18" t="s">
        <v>1460</v>
      </c>
      <c r="D284" s="7" t="e">
        <f ca="1">_xll.xlqPrice(C284)</f>
        <v>#NAME?</v>
      </c>
      <c r="E284" s="9" t="e">
        <f t="shared" ca="1" si="42"/>
        <v>#NAME?</v>
      </c>
      <c r="F284" s="9">
        <f t="shared" ca="1" si="43"/>
        <v>1</v>
      </c>
      <c r="G284" s="8">
        <f t="shared" ca="1" si="44"/>
        <v>0</v>
      </c>
      <c r="H284" s="8">
        <f t="shared" ca="1" si="45"/>
        <v>0</v>
      </c>
      <c r="I284" s="8">
        <f t="shared" ca="1" si="46"/>
        <v>0</v>
      </c>
      <c r="J284" s="6" t="e">
        <f ca="1">_xll.xlqxhSMA($C284,$L$4,$J$7,$K$3)</f>
        <v>#NAME?</v>
      </c>
      <c r="K284" s="7" t="e">
        <f ca="1">_xll.xlqhClose($C284,K$8,$K$3)</f>
        <v>#NAME?</v>
      </c>
      <c r="L284" s="7" t="e">
        <f ca="1">_xll.xlqhClose($C284,L$8,$K$3)</f>
        <v>#NAME?</v>
      </c>
      <c r="N284" s="9">
        <f t="shared" ca="1" si="47"/>
        <v>1</v>
      </c>
      <c r="O284" s="9">
        <f t="shared" ca="1" si="48"/>
        <v>1</v>
      </c>
      <c r="P284" s="9">
        <f t="shared" ca="1" si="49"/>
        <v>1</v>
      </c>
      <c r="Q284" s="9">
        <f t="shared" ca="1" si="50"/>
        <v>1</v>
      </c>
      <c r="R284" s="9">
        <f t="shared" ca="1" si="51"/>
        <v>0</v>
      </c>
    </row>
    <row r="285" spans="2:18" x14ac:dyDescent="0.25">
      <c r="B285" s="17" t="s">
        <v>184</v>
      </c>
      <c r="C285" s="18" t="s">
        <v>185</v>
      </c>
      <c r="D285" s="7" t="e">
        <f ca="1">_xll.xlqPrice(C285)</f>
        <v>#NAME?</v>
      </c>
      <c r="E285" s="9" t="e">
        <f t="shared" ca="1" si="42"/>
        <v>#NAME?</v>
      </c>
      <c r="F285" s="9">
        <f t="shared" ca="1" si="43"/>
        <v>1</v>
      </c>
      <c r="G285" s="8">
        <f t="shared" ca="1" si="44"/>
        <v>0</v>
      </c>
      <c r="H285" s="8">
        <f t="shared" ca="1" si="45"/>
        <v>0</v>
      </c>
      <c r="I285" s="8">
        <f t="shared" ca="1" si="46"/>
        <v>0</v>
      </c>
      <c r="J285" s="6" t="e">
        <f ca="1">_xll.xlqxhSMA($C285,$L$4,$J$7,$K$3)</f>
        <v>#NAME?</v>
      </c>
      <c r="K285" s="7" t="e">
        <f ca="1">_xll.xlqhClose($C285,K$8,$K$3)</f>
        <v>#NAME?</v>
      </c>
      <c r="L285" s="7" t="e">
        <f ca="1">_xll.xlqhClose($C285,L$8,$K$3)</f>
        <v>#NAME?</v>
      </c>
      <c r="N285" s="9">
        <f t="shared" ca="1" si="47"/>
        <v>1</v>
      </c>
      <c r="O285" s="9">
        <f t="shared" ca="1" si="48"/>
        <v>1</v>
      </c>
      <c r="P285" s="9">
        <f t="shared" ca="1" si="49"/>
        <v>1</v>
      </c>
      <c r="Q285" s="9">
        <f t="shared" ca="1" si="50"/>
        <v>1</v>
      </c>
      <c r="R285" s="9">
        <f t="shared" ca="1" si="51"/>
        <v>0</v>
      </c>
    </row>
    <row r="286" spans="2:18" x14ac:dyDescent="0.25">
      <c r="B286" s="17" t="s">
        <v>404</v>
      </c>
      <c r="C286" s="18" t="s">
        <v>405</v>
      </c>
      <c r="D286" s="7" t="e">
        <f ca="1">_xll.xlqPrice(C286)</f>
        <v>#NAME?</v>
      </c>
      <c r="E286" s="9" t="e">
        <f t="shared" ca="1" si="42"/>
        <v>#NAME?</v>
      </c>
      <c r="F286" s="9">
        <f t="shared" ca="1" si="43"/>
        <v>1</v>
      </c>
      <c r="G286" s="8">
        <f t="shared" ca="1" si="44"/>
        <v>0</v>
      </c>
      <c r="H286" s="8">
        <f t="shared" ca="1" si="45"/>
        <v>0</v>
      </c>
      <c r="I286" s="8">
        <f t="shared" ca="1" si="46"/>
        <v>0</v>
      </c>
      <c r="J286" s="6" t="e">
        <f ca="1">_xll.xlqxhSMA($C286,$L$4,$J$7,$K$3)</f>
        <v>#NAME?</v>
      </c>
      <c r="K286" s="7" t="e">
        <f ca="1">_xll.xlqhClose($C286,K$8,$K$3)</f>
        <v>#NAME?</v>
      </c>
      <c r="L286" s="7" t="e">
        <f ca="1">_xll.xlqhClose($C286,L$8,$K$3)</f>
        <v>#NAME?</v>
      </c>
      <c r="N286" s="9">
        <f t="shared" ca="1" si="47"/>
        <v>1</v>
      </c>
      <c r="O286" s="9">
        <f t="shared" ca="1" si="48"/>
        <v>1</v>
      </c>
      <c r="P286" s="9">
        <f t="shared" ca="1" si="49"/>
        <v>1</v>
      </c>
      <c r="Q286" s="9">
        <f t="shared" ca="1" si="50"/>
        <v>1</v>
      </c>
      <c r="R286" s="9">
        <f t="shared" ca="1" si="51"/>
        <v>0</v>
      </c>
    </row>
    <row r="287" spans="2:18" x14ac:dyDescent="0.25">
      <c r="B287" s="17" t="s">
        <v>338</v>
      </c>
      <c r="C287" s="18" t="s">
        <v>339</v>
      </c>
      <c r="D287" s="7" t="e">
        <f ca="1">_xll.xlqPrice(C287)</f>
        <v>#NAME?</v>
      </c>
      <c r="E287" s="9" t="e">
        <f t="shared" ca="1" si="42"/>
        <v>#NAME?</v>
      </c>
      <c r="F287" s="9">
        <f t="shared" ca="1" si="43"/>
        <v>1</v>
      </c>
      <c r="G287" s="8">
        <f t="shared" ca="1" si="44"/>
        <v>0</v>
      </c>
      <c r="H287" s="8">
        <f t="shared" ca="1" si="45"/>
        <v>0</v>
      </c>
      <c r="I287" s="8">
        <f t="shared" ca="1" si="46"/>
        <v>0</v>
      </c>
      <c r="J287" s="6" t="e">
        <f ca="1">_xll.xlqxhSMA($C287,$L$4,$J$7,$K$3)</f>
        <v>#NAME?</v>
      </c>
      <c r="K287" s="7" t="e">
        <f ca="1">_xll.xlqhClose($C287,K$8,$K$3)</f>
        <v>#NAME?</v>
      </c>
      <c r="L287" s="7" t="e">
        <f ca="1">_xll.xlqhClose($C287,L$8,$K$3)</f>
        <v>#NAME?</v>
      </c>
      <c r="N287" s="9">
        <f t="shared" ca="1" si="47"/>
        <v>1</v>
      </c>
      <c r="O287" s="9">
        <f t="shared" ca="1" si="48"/>
        <v>1</v>
      </c>
      <c r="P287" s="9">
        <f t="shared" ca="1" si="49"/>
        <v>1</v>
      </c>
      <c r="Q287" s="9">
        <f t="shared" ca="1" si="50"/>
        <v>1</v>
      </c>
      <c r="R287" s="9">
        <f t="shared" ca="1" si="51"/>
        <v>0</v>
      </c>
    </row>
    <row r="288" spans="2:18" x14ac:dyDescent="0.25">
      <c r="B288" s="17" t="s">
        <v>1171</v>
      </c>
      <c r="C288" s="18" t="s">
        <v>1172</v>
      </c>
      <c r="D288" s="7" t="e">
        <f ca="1">_xll.xlqPrice(C288)</f>
        <v>#NAME?</v>
      </c>
      <c r="E288" s="9" t="e">
        <f t="shared" ca="1" si="42"/>
        <v>#NAME?</v>
      </c>
      <c r="F288" s="9">
        <f t="shared" ca="1" si="43"/>
        <v>1</v>
      </c>
      <c r="G288" s="8">
        <f t="shared" ca="1" si="44"/>
        <v>0</v>
      </c>
      <c r="H288" s="8">
        <f t="shared" ca="1" si="45"/>
        <v>0</v>
      </c>
      <c r="I288" s="8">
        <f t="shared" ca="1" si="46"/>
        <v>0</v>
      </c>
      <c r="J288" s="6" t="e">
        <f ca="1">_xll.xlqxhSMA($C288,$L$4,$J$7,$K$3)</f>
        <v>#NAME?</v>
      </c>
      <c r="K288" s="7" t="e">
        <f ca="1">_xll.xlqhClose($C288,K$8,$K$3)</f>
        <v>#NAME?</v>
      </c>
      <c r="L288" s="7" t="e">
        <f ca="1">_xll.xlqhClose($C288,L$8,$K$3)</f>
        <v>#NAME?</v>
      </c>
      <c r="N288" s="9">
        <f t="shared" ca="1" si="47"/>
        <v>1</v>
      </c>
      <c r="O288" s="9">
        <f t="shared" ca="1" si="48"/>
        <v>1</v>
      </c>
      <c r="P288" s="9">
        <f t="shared" ca="1" si="49"/>
        <v>1</v>
      </c>
      <c r="Q288" s="9">
        <f t="shared" ca="1" si="50"/>
        <v>1</v>
      </c>
      <c r="R288" s="9">
        <f t="shared" ca="1" si="51"/>
        <v>0</v>
      </c>
    </row>
    <row r="289" spans="2:18" x14ac:dyDescent="0.25">
      <c r="B289" s="17" t="s">
        <v>330</v>
      </c>
      <c r="C289" s="18" t="s">
        <v>331</v>
      </c>
      <c r="D289" s="7" t="e">
        <f ca="1">_xll.xlqPrice(C289)</f>
        <v>#NAME?</v>
      </c>
      <c r="E289" s="9" t="e">
        <f t="shared" ca="1" si="42"/>
        <v>#NAME?</v>
      </c>
      <c r="F289" s="9">
        <f t="shared" ca="1" si="43"/>
        <v>1</v>
      </c>
      <c r="G289" s="8">
        <f t="shared" ca="1" si="44"/>
        <v>0</v>
      </c>
      <c r="H289" s="8">
        <f t="shared" ca="1" si="45"/>
        <v>0</v>
      </c>
      <c r="I289" s="8">
        <f t="shared" ca="1" si="46"/>
        <v>0</v>
      </c>
      <c r="J289" s="6" t="e">
        <f ca="1">_xll.xlqxhSMA($C289,$L$4,$J$7,$K$3)</f>
        <v>#NAME?</v>
      </c>
      <c r="K289" s="7" t="e">
        <f ca="1">_xll.xlqhClose($C289,K$8,$K$3)</f>
        <v>#NAME?</v>
      </c>
      <c r="L289" s="7" t="e">
        <f ca="1">_xll.xlqhClose($C289,L$8,$K$3)</f>
        <v>#NAME?</v>
      </c>
      <c r="N289" s="9">
        <f t="shared" ca="1" si="47"/>
        <v>1</v>
      </c>
      <c r="O289" s="9">
        <f t="shared" ca="1" si="48"/>
        <v>1</v>
      </c>
      <c r="P289" s="9">
        <f t="shared" ca="1" si="49"/>
        <v>1</v>
      </c>
      <c r="Q289" s="9">
        <f t="shared" ca="1" si="50"/>
        <v>1</v>
      </c>
      <c r="R289" s="9">
        <f t="shared" ca="1" si="51"/>
        <v>0</v>
      </c>
    </row>
    <row r="290" spans="2:18" x14ac:dyDescent="0.25">
      <c r="B290" s="17" t="s">
        <v>1979</v>
      </c>
      <c r="C290" s="18" t="s">
        <v>1980</v>
      </c>
      <c r="D290" s="7" t="e">
        <f ca="1">_xll.xlqPrice(C290)</f>
        <v>#NAME?</v>
      </c>
      <c r="E290" s="9" t="e">
        <f t="shared" ca="1" si="42"/>
        <v>#NAME?</v>
      </c>
      <c r="F290" s="9">
        <f t="shared" ca="1" si="43"/>
        <v>1</v>
      </c>
      <c r="G290" s="8">
        <f t="shared" ca="1" si="44"/>
        <v>0</v>
      </c>
      <c r="H290" s="8">
        <f t="shared" ca="1" si="45"/>
        <v>0</v>
      </c>
      <c r="I290" s="8">
        <f t="shared" ca="1" si="46"/>
        <v>0</v>
      </c>
      <c r="J290" s="6" t="e">
        <f ca="1">_xll.xlqxhSMA($C290,$L$4,$J$7,$K$3)</f>
        <v>#NAME?</v>
      </c>
      <c r="K290" s="7" t="e">
        <f ca="1">_xll.xlqhClose($C290,K$8,$K$3)</f>
        <v>#NAME?</v>
      </c>
      <c r="L290" s="7" t="e">
        <f ca="1">_xll.xlqhClose($C290,L$8,$K$3)</f>
        <v>#NAME?</v>
      </c>
      <c r="N290" s="9">
        <f t="shared" ca="1" si="47"/>
        <v>1</v>
      </c>
      <c r="O290" s="9">
        <f t="shared" ca="1" si="48"/>
        <v>1</v>
      </c>
      <c r="P290" s="9">
        <f t="shared" ca="1" si="49"/>
        <v>1</v>
      </c>
      <c r="Q290" s="9">
        <f t="shared" ca="1" si="50"/>
        <v>1</v>
      </c>
      <c r="R290" s="9">
        <f t="shared" ca="1" si="51"/>
        <v>0</v>
      </c>
    </row>
    <row r="291" spans="2:18" x14ac:dyDescent="0.25">
      <c r="B291" s="17" t="s">
        <v>1973</v>
      </c>
      <c r="C291" s="18" t="s">
        <v>1974</v>
      </c>
      <c r="D291" s="7" t="e">
        <f ca="1">_xll.xlqPrice(C291)</f>
        <v>#NAME?</v>
      </c>
      <c r="E291" s="9" t="e">
        <f t="shared" ca="1" si="42"/>
        <v>#NAME?</v>
      </c>
      <c r="F291" s="9">
        <f t="shared" ca="1" si="43"/>
        <v>1</v>
      </c>
      <c r="G291" s="8">
        <f t="shared" ca="1" si="44"/>
        <v>0</v>
      </c>
      <c r="H291" s="8">
        <f t="shared" ca="1" si="45"/>
        <v>0</v>
      </c>
      <c r="I291" s="8">
        <f t="shared" ca="1" si="46"/>
        <v>0</v>
      </c>
      <c r="J291" s="6" t="e">
        <f ca="1">_xll.xlqxhSMA($C291,$L$4,$J$7,$K$3)</f>
        <v>#NAME?</v>
      </c>
      <c r="K291" s="7" t="e">
        <f ca="1">_xll.xlqhClose($C291,K$8,$K$3)</f>
        <v>#NAME?</v>
      </c>
      <c r="L291" s="7" t="e">
        <f ca="1">_xll.xlqhClose($C291,L$8,$K$3)</f>
        <v>#NAME?</v>
      </c>
      <c r="N291" s="9">
        <f t="shared" ca="1" si="47"/>
        <v>1</v>
      </c>
      <c r="O291" s="9">
        <f t="shared" ca="1" si="48"/>
        <v>1</v>
      </c>
      <c r="P291" s="9">
        <f t="shared" ca="1" si="49"/>
        <v>1</v>
      </c>
      <c r="Q291" s="9">
        <f t="shared" ca="1" si="50"/>
        <v>1</v>
      </c>
      <c r="R291" s="9">
        <f t="shared" ca="1" si="51"/>
        <v>0</v>
      </c>
    </row>
    <row r="292" spans="2:18" x14ac:dyDescent="0.25">
      <c r="B292" t="s">
        <v>1185</v>
      </c>
      <c r="C292" s="39" t="s">
        <v>1186</v>
      </c>
      <c r="D292" s="7" t="e">
        <f ca="1">_xll.xlqPrice(C292)</f>
        <v>#NAME?</v>
      </c>
      <c r="E292" s="9" t="e">
        <f t="shared" ca="1" si="42"/>
        <v>#NAME?</v>
      </c>
      <c r="F292" s="9">
        <f t="shared" ca="1" si="43"/>
        <v>1</v>
      </c>
      <c r="G292" s="8">
        <f t="shared" ca="1" si="44"/>
        <v>0</v>
      </c>
      <c r="H292" s="8">
        <f t="shared" ca="1" si="45"/>
        <v>0</v>
      </c>
      <c r="I292" s="8">
        <f t="shared" ca="1" si="46"/>
        <v>0</v>
      </c>
      <c r="J292" s="6" t="e">
        <f ca="1">_xll.xlqxhSMA($C292,$L$4,$J$7,$K$3)</f>
        <v>#NAME?</v>
      </c>
      <c r="K292" s="7" t="e">
        <f ca="1">_xll.xlqhClose($C292,K$8,$K$3)</f>
        <v>#NAME?</v>
      </c>
      <c r="L292" s="7" t="e">
        <f ca="1">_xll.xlqhClose($C292,L$8,$K$3)</f>
        <v>#NAME?</v>
      </c>
      <c r="N292" s="9">
        <f t="shared" ca="1" si="47"/>
        <v>1</v>
      </c>
      <c r="O292" s="9">
        <f t="shared" ca="1" si="48"/>
        <v>1</v>
      </c>
      <c r="P292" s="9">
        <f t="shared" ca="1" si="49"/>
        <v>1</v>
      </c>
      <c r="Q292" s="9">
        <f t="shared" ca="1" si="50"/>
        <v>1</v>
      </c>
      <c r="R292" s="9">
        <f t="shared" ca="1" si="51"/>
        <v>0</v>
      </c>
    </row>
    <row r="293" spans="2:18" x14ac:dyDescent="0.25">
      <c r="B293" s="17" t="s">
        <v>2141</v>
      </c>
      <c r="C293" s="18" t="s">
        <v>2142</v>
      </c>
      <c r="D293" s="7" t="e">
        <f ca="1">_xll.xlqPrice(C293)</f>
        <v>#NAME?</v>
      </c>
      <c r="E293" s="9" t="e">
        <f t="shared" ca="1" si="42"/>
        <v>#NAME?</v>
      </c>
      <c r="F293" s="9">
        <f t="shared" ca="1" si="43"/>
        <v>1</v>
      </c>
      <c r="G293" s="8">
        <f t="shared" ca="1" si="44"/>
        <v>0</v>
      </c>
      <c r="H293" s="8">
        <f t="shared" ca="1" si="45"/>
        <v>0</v>
      </c>
      <c r="I293" s="8">
        <f t="shared" ca="1" si="46"/>
        <v>0</v>
      </c>
      <c r="J293" s="6" t="e">
        <f ca="1">_xll.xlqxhSMA($C293,$L$4,$J$7,$K$3)</f>
        <v>#NAME?</v>
      </c>
      <c r="K293" s="7" t="e">
        <f ca="1">_xll.xlqhClose($C293,K$8,$K$3)</f>
        <v>#NAME?</v>
      </c>
      <c r="L293" s="7" t="e">
        <f ca="1">_xll.xlqhClose($C293,L$8,$K$3)</f>
        <v>#NAME?</v>
      </c>
      <c r="N293" s="9">
        <f t="shared" ca="1" si="47"/>
        <v>1</v>
      </c>
      <c r="O293" s="9">
        <f t="shared" ca="1" si="48"/>
        <v>1</v>
      </c>
      <c r="P293" s="9">
        <f t="shared" ca="1" si="49"/>
        <v>1</v>
      </c>
      <c r="Q293" s="9">
        <f t="shared" ca="1" si="50"/>
        <v>1</v>
      </c>
      <c r="R293" s="9">
        <f t="shared" ca="1" si="51"/>
        <v>0</v>
      </c>
    </row>
    <row r="294" spans="2:18" x14ac:dyDescent="0.25">
      <c r="B294" s="17" t="s">
        <v>198</v>
      </c>
      <c r="C294" s="18" t="s">
        <v>199</v>
      </c>
      <c r="D294" s="7" t="e">
        <f ca="1">_xll.xlqPrice(C294)</f>
        <v>#NAME?</v>
      </c>
      <c r="E294" s="9" t="e">
        <f t="shared" ca="1" si="42"/>
        <v>#NAME?</v>
      </c>
      <c r="F294" s="9">
        <f t="shared" ca="1" si="43"/>
        <v>1</v>
      </c>
      <c r="G294" s="8">
        <f t="shared" ca="1" si="44"/>
        <v>0</v>
      </c>
      <c r="H294" s="8">
        <f t="shared" ca="1" si="45"/>
        <v>0</v>
      </c>
      <c r="I294" s="8">
        <f t="shared" ca="1" si="46"/>
        <v>0</v>
      </c>
      <c r="J294" s="6" t="e">
        <f ca="1">_xll.xlqxhSMA($C294,$L$4,$J$7,$K$3)</f>
        <v>#NAME?</v>
      </c>
      <c r="K294" s="7" t="e">
        <f ca="1">_xll.xlqhClose($C294,K$8,$K$3)</f>
        <v>#NAME?</v>
      </c>
      <c r="L294" s="7" t="e">
        <f ca="1">_xll.xlqhClose($C294,L$8,$K$3)</f>
        <v>#NAME?</v>
      </c>
      <c r="N294" s="9">
        <f t="shared" ca="1" si="47"/>
        <v>1</v>
      </c>
      <c r="O294" s="9">
        <f t="shared" ca="1" si="48"/>
        <v>1</v>
      </c>
      <c r="P294" s="9">
        <f t="shared" ca="1" si="49"/>
        <v>1</v>
      </c>
      <c r="Q294" s="9">
        <f t="shared" ca="1" si="50"/>
        <v>1</v>
      </c>
      <c r="R294" s="9">
        <f t="shared" ca="1" si="51"/>
        <v>0</v>
      </c>
    </row>
    <row r="295" spans="2:18" x14ac:dyDescent="0.25">
      <c r="B295" s="17" t="s">
        <v>1927</v>
      </c>
      <c r="C295" s="18" t="s">
        <v>1928</v>
      </c>
      <c r="D295" s="7" t="e">
        <f ca="1">_xll.xlqPrice(C295)</f>
        <v>#NAME?</v>
      </c>
      <c r="E295" s="9" t="e">
        <f t="shared" ca="1" si="42"/>
        <v>#NAME?</v>
      </c>
      <c r="F295" s="9">
        <f t="shared" ca="1" si="43"/>
        <v>1</v>
      </c>
      <c r="G295" s="8">
        <f t="shared" ca="1" si="44"/>
        <v>0</v>
      </c>
      <c r="H295" s="8">
        <f t="shared" ca="1" si="45"/>
        <v>0</v>
      </c>
      <c r="I295" s="8">
        <f t="shared" ca="1" si="46"/>
        <v>0</v>
      </c>
      <c r="J295" s="6" t="e">
        <f ca="1">_xll.xlqxhSMA($C295,$L$4,$J$7,$K$3)</f>
        <v>#NAME?</v>
      </c>
      <c r="K295" s="7" t="e">
        <f ca="1">_xll.xlqhClose($C295,K$8,$K$3)</f>
        <v>#NAME?</v>
      </c>
      <c r="L295" s="7" t="e">
        <f ca="1">_xll.xlqhClose($C295,L$8,$K$3)</f>
        <v>#NAME?</v>
      </c>
      <c r="N295" s="9">
        <f t="shared" ca="1" si="47"/>
        <v>1</v>
      </c>
      <c r="O295" s="9">
        <f t="shared" ca="1" si="48"/>
        <v>1</v>
      </c>
      <c r="P295" s="9">
        <f t="shared" ca="1" si="49"/>
        <v>1</v>
      </c>
      <c r="Q295" s="9">
        <f t="shared" ca="1" si="50"/>
        <v>1</v>
      </c>
      <c r="R295" s="9">
        <f t="shared" ca="1" si="51"/>
        <v>0</v>
      </c>
    </row>
    <row r="296" spans="2:18" x14ac:dyDescent="0.25">
      <c r="B296" s="17" t="s">
        <v>464</v>
      </c>
      <c r="C296" s="18" t="s">
        <v>465</v>
      </c>
      <c r="D296" s="7" t="e">
        <f ca="1">_xll.xlqPrice(C296)</f>
        <v>#NAME?</v>
      </c>
      <c r="E296" s="9" t="e">
        <f t="shared" ca="1" si="42"/>
        <v>#NAME?</v>
      </c>
      <c r="F296" s="9">
        <f t="shared" ca="1" si="43"/>
        <v>1</v>
      </c>
      <c r="G296" s="8">
        <f t="shared" ca="1" si="44"/>
        <v>0</v>
      </c>
      <c r="H296" s="8">
        <f t="shared" ca="1" si="45"/>
        <v>0</v>
      </c>
      <c r="I296" s="8">
        <f t="shared" ca="1" si="46"/>
        <v>0</v>
      </c>
      <c r="J296" s="6" t="e">
        <f ca="1">_xll.xlqxhSMA($C296,$L$4,$J$7,$K$3)</f>
        <v>#NAME?</v>
      </c>
      <c r="K296" s="7" t="e">
        <f ca="1">_xll.xlqhClose($C296,K$8,$K$3)</f>
        <v>#NAME?</v>
      </c>
      <c r="L296" s="7" t="e">
        <f ca="1">_xll.xlqhClose($C296,L$8,$K$3)</f>
        <v>#NAME?</v>
      </c>
      <c r="N296" s="9">
        <f t="shared" ca="1" si="47"/>
        <v>1</v>
      </c>
      <c r="O296" s="9">
        <f t="shared" ca="1" si="48"/>
        <v>1</v>
      </c>
      <c r="P296" s="9">
        <f t="shared" ca="1" si="49"/>
        <v>1</v>
      </c>
      <c r="Q296" s="9">
        <f t="shared" ca="1" si="50"/>
        <v>1</v>
      </c>
      <c r="R296" s="9">
        <f t="shared" ca="1" si="51"/>
        <v>0</v>
      </c>
    </row>
    <row r="297" spans="2:18" x14ac:dyDescent="0.25">
      <c r="B297" s="17" t="s">
        <v>2255</v>
      </c>
      <c r="C297" s="18" t="s">
        <v>2256</v>
      </c>
      <c r="D297" s="7" t="e">
        <f ca="1">_xll.xlqPrice(C297)</f>
        <v>#NAME?</v>
      </c>
      <c r="E297" s="9" t="e">
        <f t="shared" ca="1" si="42"/>
        <v>#NAME?</v>
      </c>
      <c r="F297" s="9">
        <f t="shared" ca="1" si="43"/>
        <v>1</v>
      </c>
      <c r="G297" s="8">
        <f t="shared" ca="1" si="44"/>
        <v>0</v>
      </c>
      <c r="H297" s="8">
        <f t="shared" ca="1" si="45"/>
        <v>0</v>
      </c>
      <c r="I297" s="8">
        <f t="shared" ca="1" si="46"/>
        <v>0</v>
      </c>
      <c r="J297" s="6" t="e">
        <f ca="1">_xll.xlqxhSMA($C297,$L$4,$J$7,$K$3)</f>
        <v>#NAME?</v>
      </c>
      <c r="K297" s="7" t="e">
        <f ca="1">_xll.xlqhClose($C297,K$8,$K$3)</f>
        <v>#NAME?</v>
      </c>
      <c r="L297" s="7" t="e">
        <f ca="1">_xll.xlqhClose($C297,L$8,$K$3)</f>
        <v>#NAME?</v>
      </c>
      <c r="N297" s="9">
        <f t="shared" ca="1" si="47"/>
        <v>1</v>
      </c>
      <c r="O297" s="9">
        <f t="shared" ca="1" si="48"/>
        <v>1</v>
      </c>
      <c r="P297" s="9">
        <f t="shared" ca="1" si="49"/>
        <v>1</v>
      </c>
      <c r="Q297" s="9">
        <f t="shared" ca="1" si="50"/>
        <v>1</v>
      </c>
      <c r="R297" s="9">
        <f t="shared" ca="1" si="51"/>
        <v>0</v>
      </c>
    </row>
    <row r="298" spans="2:18" x14ac:dyDescent="0.25">
      <c r="B298" s="17" t="s">
        <v>2041</v>
      </c>
      <c r="C298" s="18" t="s">
        <v>2042</v>
      </c>
      <c r="D298" s="7" t="e">
        <f ca="1">_xll.xlqPrice(C298)</f>
        <v>#NAME?</v>
      </c>
      <c r="E298" s="9" t="e">
        <f t="shared" ca="1" si="42"/>
        <v>#NAME?</v>
      </c>
      <c r="F298" s="9">
        <f t="shared" ca="1" si="43"/>
        <v>1</v>
      </c>
      <c r="G298" s="8">
        <f t="shared" ca="1" si="44"/>
        <v>0</v>
      </c>
      <c r="H298" s="8">
        <f t="shared" ca="1" si="45"/>
        <v>0</v>
      </c>
      <c r="I298" s="8">
        <f t="shared" ca="1" si="46"/>
        <v>0</v>
      </c>
      <c r="J298" s="6" t="e">
        <f ca="1">_xll.xlqxhSMA($C298,$L$4,$J$7,$K$3)</f>
        <v>#NAME?</v>
      </c>
      <c r="K298" s="7" t="e">
        <f ca="1">_xll.xlqhClose($C298,K$8,$K$3)</f>
        <v>#NAME?</v>
      </c>
      <c r="L298" s="7" t="e">
        <f ca="1">_xll.xlqhClose($C298,L$8,$K$3)</f>
        <v>#NAME?</v>
      </c>
      <c r="N298" s="9">
        <f t="shared" ca="1" si="47"/>
        <v>1</v>
      </c>
      <c r="O298" s="9">
        <f t="shared" ca="1" si="48"/>
        <v>1</v>
      </c>
      <c r="P298" s="9">
        <f t="shared" ca="1" si="49"/>
        <v>1</v>
      </c>
      <c r="Q298" s="9">
        <f t="shared" ca="1" si="50"/>
        <v>1</v>
      </c>
      <c r="R298" s="9">
        <f t="shared" ca="1" si="51"/>
        <v>0</v>
      </c>
    </row>
    <row r="299" spans="2:18" x14ac:dyDescent="0.25">
      <c r="B299" s="17" t="s">
        <v>1077</v>
      </c>
      <c r="C299" s="18" t="s">
        <v>1078</v>
      </c>
      <c r="D299" s="7" t="e">
        <f ca="1">_xll.xlqPrice(C299)</f>
        <v>#NAME?</v>
      </c>
      <c r="E299" s="9" t="e">
        <f t="shared" ca="1" si="42"/>
        <v>#NAME?</v>
      </c>
      <c r="F299" s="9">
        <f t="shared" ca="1" si="43"/>
        <v>1</v>
      </c>
      <c r="G299" s="8">
        <f t="shared" ca="1" si="44"/>
        <v>0</v>
      </c>
      <c r="H299" s="8">
        <f t="shared" ca="1" si="45"/>
        <v>0</v>
      </c>
      <c r="I299" s="8">
        <f t="shared" ca="1" si="46"/>
        <v>0</v>
      </c>
      <c r="J299" s="6" t="e">
        <f ca="1">_xll.xlqxhSMA($C299,$L$4,$J$7,$K$3)</f>
        <v>#NAME?</v>
      </c>
      <c r="K299" s="7" t="e">
        <f ca="1">_xll.xlqhClose($C299,K$8,$K$3)</f>
        <v>#NAME?</v>
      </c>
      <c r="L299" s="7" t="e">
        <f ca="1">_xll.xlqhClose($C299,L$8,$K$3)</f>
        <v>#NAME?</v>
      </c>
      <c r="N299" s="9">
        <f t="shared" ca="1" si="47"/>
        <v>1</v>
      </c>
      <c r="O299" s="9">
        <f t="shared" ca="1" si="48"/>
        <v>1</v>
      </c>
      <c r="P299" s="9">
        <f t="shared" ca="1" si="49"/>
        <v>1</v>
      </c>
      <c r="Q299" s="9">
        <f t="shared" ca="1" si="50"/>
        <v>1</v>
      </c>
      <c r="R299" s="9">
        <f t="shared" ca="1" si="51"/>
        <v>0</v>
      </c>
    </row>
    <row r="300" spans="2:18" x14ac:dyDescent="0.25">
      <c r="B300" s="17" t="s">
        <v>840</v>
      </c>
      <c r="C300" s="18" t="s">
        <v>841</v>
      </c>
      <c r="D300" s="7" t="e">
        <f ca="1">_xll.xlqPrice(C300)</f>
        <v>#NAME?</v>
      </c>
      <c r="E300" s="9" t="e">
        <f t="shared" ca="1" si="42"/>
        <v>#NAME?</v>
      </c>
      <c r="F300" s="9">
        <f t="shared" ca="1" si="43"/>
        <v>1</v>
      </c>
      <c r="G300" s="8">
        <f t="shared" ca="1" si="44"/>
        <v>0</v>
      </c>
      <c r="H300" s="8">
        <f t="shared" ca="1" si="45"/>
        <v>0</v>
      </c>
      <c r="I300" s="8">
        <f t="shared" ca="1" si="46"/>
        <v>0</v>
      </c>
      <c r="J300" s="6" t="e">
        <f ca="1">_xll.xlqxhSMA($C300,$L$4,$J$7,$K$3)</f>
        <v>#NAME?</v>
      </c>
      <c r="K300" s="7" t="e">
        <f ca="1">_xll.xlqhClose($C300,K$8,$K$3)</f>
        <v>#NAME?</v>
      </c>
      <c r="L300" s="7" t="e">
        <f ca="1">_xll.xlqhClose($C300,L$8,$K$3)</f>
        <v>#NAME?</v>
      </c>
      <c r="N300" s="9">
        <f t="shared" ca="1" si="47"/>
        <v>1</v>
      </c>
      <c r="O300" s="9">
        <f t="shared" ca="1" si="48"/>
        <v>1</v>
      </c>
      <c r="P300" s="9">
        <f t="shared" ca="1" si="49"/>
        <v>1</v>
      </c>
      <c r="Q300" s="9">
        <f t="shared" ca="1" si="50"/>
        <v>1</v>
      </c>
      <c r="R300" s="9">
        <f t="shared" ca="1" si="51"/>
        <v>0</v>
      </c>
    </row>
    <row r="301" spans="2:18" x14ac:dyDescent="0.25">
      <c r="B301" s="17" t="s">
        <v>1589</v>
      </c>
      <c r="C301" s="18" t="s">
        <v>1590</v>
      </c>
      <c r="D301" s="7" t="e">
        <f ca="1">_xll.xlqPrice(C301)</f>
        <v>#NAME?</v>
      </c>
      <c r="E301" s="9" t="e">
        <f t="shared" ca="1" si="42"/>
        <v>#NAME?</v>
      </c>
      <c r="F301" s="9">
        <f t="shared" ca="1" si="43"/>
        <v>1</v>
      </c>
      <c r="G301" s="8">
        <f t="shared" ca="1" si="44"/>
        <v>0</v>
      </c>
      <c r="H301" s="8">
        <f t="shared" ca="1" si="45"/>
        <v>0</v>
      </c>
      <c r="I301" s="8">
        <f t="shared" ca="1" si="46"/>
        <v>0</v>
      </c>
      <c r="J301" s="6" t="e">
        <f ca="1">_xll.xlqxhSMA($C301,$L$4,$J$7,$K$3)</f>
        <v>#NAME?</v>
      </c>
      <c r="K301" s="7" t="e">
        <f ca="1">_xll.xlqhClose($C301,K$8,$K$3)</f>
        <v>#NAME?</v>
      </c>
      <c r="L301" s="7" t="e">
        <f ca="1">_xll.xlqhClose($C301,L$8,$K$3)</f>
        <v>#NAME?</v>
      </c>
      <c r="N301" s="9">
        <f t="shared" ca="1" si="47"/>
        <v>1</v>
      </c>
      <c r="O301" s="9">
        <f t="shared" ca="1" si="48"/>
        <v>1</v>
      </c>
      <c r="P301" s="9">
        <f t="shared" ca="1" si="49"/>
        <v>1</v>
      </c>
      <c r="Q301" s="9">
        <f t="shared" ca="1" si="50"/>
        <v>1</v>
      </c>
      <c r="R301" s="9">
        <f t="shared" ca="1" si="51"/>
        <v>0</v>
      </c>
    </row>
    <row r="302" spans="2:18" x14ac:dyDescent="0.25">
      <c r="B302" s="17" t="s">
        <v>356</v>
      </c>
      <c r="C302" s="18" t="s">
        <v>357</v>
      </c>
      <c r="D302" s="7" t="e">
        <f ca="1">_xll.xlqPrice(C302)</f>
        <v>#NAME?</v>
      </c>
      <c r="E302" s="9" t="e">
        <f t="shared" ca="1" si="42"/>
        <v>#NAME?</v>
      </c>
      <c r="F302" s="9">
        <f t="shared" ca="1" si="43"/>
        <v>1</v>
      </c>
      <c r="G302" s="8">
        <f t="shared" ca="1" si="44"/>
        <v>0</v>
      </c>
      <c r="H302" s="8">
        <f t="shared" ca="1" si="45"/>
        <v>0</v>
      </c>
      <c r="I302" s="8">
        <f t="shared" ca="1" si="46"/>
        <v>0</v>
      </c>
      <c r="J302" s="6" t="e">
        <f ca="1">_xll.xlqxhSMA($C302,$L$4,$J$7,$K$3)</f>
        <v>#NAME?</v>
      </c>
      <c r="K302" s="7" t="e">
        <f ca="1">_xll.xlqhClose($C302,K$8,$K$3)</f>
        <v>#NAME?</v>
      </c>
      <c r="L302" s="7" t="e">
        <f ca="1">_xll.xlqhClose($C302,L$8,$K$3)</f>
        <v>#NAME?</v>
      </c>
      <c r="N302" s="9">
        <f t="shared" ca="1" si="47"/>
        <v>1</v>
      </c>
      <c r="O302" s="9">
        <f t="shared" ca="1" si="48"/>
        <v>1</v>
      </c>
      <c r="P302" s="9">
        <f t="shared" ca="1" si="49"/>
        <v>1</v>
      </c>
      <c r="Q302" s="9">
        <f t="shared" ca="1" si="50"/>
        <v>1</v>
      </c>
      <c r="R302" s="9">
        <f t="shared" ca="1" si="51"/>
        <v>0</v>
      </c>
    </row>
    <row r="303" spans="2:18" x14ac:dyDescent="0.25">
      <c r="B303" t="s">
        <v>1541</v>
      </c>
      <c r="C303" s="39" t="s">
        <v>1542</v>
      </c>
      <c r="D303" s="7" t="e">
        <f ca="1">_xll.xlqPrice(C303)</f>
        <v>#NAME?</v>
      </c>
      <c r="E303" s="9" t="e">
        <f t="shared" ca="1" si="42"/>
        <v>#NAME?</v>
      </c>
      <c r="F303" s="9">
        <f t="shared" ca="1" si="43"/>
        <v>1</v>
      </c>
      <c r="G303" s="8">
        <f t="shared" ca="1" si="44"/>
        <v>0</v>
      </c>
      <c r="H303" s="8">
        <f t="shared" ca="1" si="45"/>
        <v>0</v>
      </c>
      <c r="I303" s="8">
        <f t="shared" ca="1" si="46"/>
        <v>0</v>
      </c>
      <c r="J303" s="6" t="e">
        <f ca="1">_xll.xlqxhSMA($C303,$L$4,$J$7,$K$3)</f>
        <v>#NAME?</v>
      </c>
      <c r="K303" s="7" t="e">
        <f ca="1">_xll.xlqhClose($C303,K$8,$K$3)</f>
        <v>#NAME?</v>
      </c>
      <c r="L303" s="7" t="e">
        <f ca="1">_xll.xlqhClose($C303,L$8,$K$3)</f>
        <v>#NAME?</v>
      </c>
      <c r="N303" s="9">
        <f t="shared" ca="1" si="47"/>
        <v>1</v>
      </c>
      <c r="O303" s="9">
        <f t="shared" ca="1" si="48"/>
        <v>1</v>
      </c>
      <c r="P303" s="9">
        <f t="shared" ca="1" si="49"/>
        <v>1</v>
      </c>
      <c r="Q303" s="9">
        <f t="shared" ca="1" si="50"/>
        <v>1</v>
      </c>
      <c r="R303" s="9">
        <f t="shared" ca="1" si="51"/>
        <v>0</v>
      </c>
    </row>
    <row r="304" spans="2:18" x14ac:dyDescent="0.25">
      <c r="B304" s="17" t="s">
        <v>2285</v>
      </c>
      <c r="C304" s="18" t="s">
        <v>2286</v>
      </c>
      <c r="D304" s="7" t="e">
        <f ca="1">_xll.xlqPrice(C304)</f>
        <v>#NAME?</v>
      </c>
      <c r="E304" s="9" t="e">
        <f t="shared" ca="1" si="42"/>
        <v>#NAME?</v>
      </c>
      <c r="F304" s="9">
        <f t="shared" ca="1" si="43"/>
        <v>1</v>
      </c>
      <c r="G304" s="8">
        <f t="shared" ca="1" si="44"/>
        <v>0</v>
      </c>
      <c r="H304" s="8">
        <f t="shared" ca="1" si="45"/>
        <v>0</v>
      </c>
      <c r="I304" s="8">
        <f t="shared" ca="1" si="46"/>
        <v>0</v>
      </c>
      <c r="J304" s="6" t="e">
        <f ca="1">_xll.xlqxhSMA($C304,$L$4,$J$7,$K$3)</f>
        <v>#NAME?</v>
      </c>
      <c r="K304" s="7" t="e">
        <f ca="1">_xll.xlqhClose($C304,K$8,$K$3)</f>
        <v>#NAME?</v>
      </c>
      <c r="L304" s="7" t="e">
        <f ca="1">_xll.xlqhClose($C304,L$8,$K$3)</f>
        <v>#NAME?</v>
      </c>
      <c r="N304" s="9">
        <f t="shared" ca="1" si="47"/>
        <v>1</v>
      </c>
      <c r="O304" s="9">
        <f t="shared" ca="1" si="48"/>
        <v>1</v>
      </c>
      <c r="P304" s="9">
        <f t="shared" ca="1" si="49"/>
        <v>1</v>
      </c>
      <c r="Q304" s="9">
        <f t="shared" ca="1" si="50"/>
        <v>1</v>
      </c>
      <c r="R304" s="9">
        <f t="shared" ca="1" si="51"/>
        <v>0</v>
      </c>
    </row>
    <row r="305" spans="2:18" x14ac:dyDescent="0.25">
      <c r="B305" s="17" t="s">
        <v>2279</v>
      </c>
      <c r="C305" s="18" t="s">
        <v>2280</v>
      </c>
      <c r="D305" s="7" t="e">
        <f ca="1">_xll.xlqPrice(C305)</f>
        <v>#NAME?</v>
      </c>
      <c r="E305" s="9" t="e">
        <f t="shared" ca="1" si="42"/>
        <v>#NAME?</v>
      </c>
      <c r="F305" s="9">
        <f t="shared" ca="1" si="43"/>
        <v>1</v>
      </c>
      <c r="G305" s="8">
        <f t="shared" ca="1" si="44"/>
        <v>0</v>
      </c>
      <c r="H305" s="8">
        <f t="shared" ca="1" si="45"/>
        <v>0</v>
      </c>
      <c r="I305" s="8">
        <f t="shared" ca="1" si="46"/>
        <v>0</v>
      </c>
      <c r="J305" s="6" t="e">
        <f ca="1">_xll.xlqxhSMA($C305,$L$4,$J$7,$K$3)</f>
        <v>#NAME?</v>
      </c>
      <c r="K305" s="7" t="e">
        <f ca="1">_xll.xlqhClose($C305,K$8,$K$3)</f>
        <v>#NAME?</v>
      </c>
      <c r="L305" s="7" t="e">
        <f ca="1">_xll.xlqhClose($C305,L$8,$K$3)</f>
        <v>#NAME?</v>
      </c>
      <c r="N305" s="9">
        <f t="shared" ca="1" si="47"/>
        <v>1</v>
      </c>
      <c r="O305" s="9">
        <f t="shared" ca="1" si="48"/>
        <v>1</v>
      </c>
      <c r="P305" s="9">
        <f t="shared" ca="1" si="49"/>
        <v>1</v>
      </c>
      <c r="Q305" s="9">
        <f t="shared" ca="1" si="50"/>
        <v>1</v>
      </c>
      <c r="R305" s="9">
        <f t="shared" ca="1" si="51"/>
        <v>0</v>
      </c>
    </row>
    <row r="306" spans="2:18" x14ac:dyDescent="0.25">
      <c r="B306" s="17" t="s">
        <v>216</v>
      </c>
      <c r="C306" s="18" t="s">
        <v>217</v>
      </c>
      <c r="D306" s="7" t="e">
        <f ca="1">_xll.xlqPrice(C306)</f>
        <v>#NAME?</v>
      </c>
      <c r="E306" s="9" t="e">
        <f t="shared" ca="1" si="42"/>
        <v>#NAME?</v>
      </c>
      <c r="F306" s="9">
        <f t="shared" ca="1" si="43"/>
        <v>1</v>
      </c>
      <c r="G306" s="8">
        <f t="shared" ca="1" si="44"/>
        <v>0</v>
      </c>
      <c r="H306" s="8">
        <f t="shared" ca="1" si="45"/>
        <v>0</v>
      </c>
      <c r="I306" s="8">
        <f t="shared" ca="1" si="46"/>
        <v>0</v>
      </c>
      <c r="J306" s="6" t="e">
        <f ca="1">_xll.xlqxhSMA($C306,$L$4,$J$7,$K$3)</f>
        <v>#NAME?</v>
      </c>
      <c r="K306" s="7" t="e">
        <f ca="1">_xll.xlqhClose($C306,K$8,$K$3)</f>
        <v>#NAME?</v>
      </c>
      <c r="L306" s="7" t="e">
        <f ca="1">_xll.xlqhClose($C306,L$8,$K$3)</f>
        <v>#NAME?</v>
      </c>
      <c r="N306" s="9">
        <f t="shared" ca="1" si="47"/>
        <v>1</v>
      </c>
      <c r="O306" s="9">
        <f t="shared" ca="1" si="48"/>
        <v>1</v>
      </c>
      <c r="P306" s="9">
        <f t="shared" ca="1" si="49"/>
        <v>1</v>
      </c>
      <c r="Q306" s="9">
        <f t="shared" ca="1" si="50"/>
        <v>1</v>
      </c>
      <c r="R306" s="9">
        <f t="shared" ca="1" si="51"/>
        <v>0</v>
      </c>
    </row>
    <row r="307" spans="2:18" x14ac:dyDescent="0.25">
      <c r="B307" s="17" t="s">
        <v>2235</v>
      </c>
      <c r="C307" s="18" t="s">
        <v>2236</v>
      </c>
      <c r="D307" s="7" t="e">
        <f ca="1">_xll.xlqPrice(C307)</f>
        <v>#NAME?</v>
      </c>
      <c r="E307" s="9" t="e">
        <f t="shared" ca="1" si="42"/>
        <v>#NAME?</v>
      </c>
      <c r="F307" s="9">
        <f t="shared" ca="1" si="43"/>
        <v>1</v>
      </c>
      <c r="G307" s="8">
        <f t="shared" ca="1" si="44"/>
        <v>0</v>
      </c>
      <c r="H307" s="8">
        <f t="shared" ca="1" si="45"/>
        <v>0</v>
      </c>
      <c r="I307" s="8">
        <f t="shared" ca="1" si="46"/>
        <v>0</v>
      </c>
      <c r="J307" s="6" t="e">
        <f ca="1">_xll.xlqxhSMA($C307,$L$4,$J$7,$K$3)</f>
        <v>#NAME?</v>
      </c>
      <c r="K307" s="7" t="e">
        <f ca="1">_xll.xlqhClose($C307,K$8,$K$3)</f>
        <v>#NAME?</v>
      </c>
      <c r="L307" s="7" t="e">
        <f ca="1">_xll.xlqhClose($C307,L$8,$K$3)</f>
        <v>#NAME?</v>
      </c>
      <c r="N307" s="9">
        <f t="shared" ca="1" si="47"/>
        <v>1</v>
      </c>
      <c r="O307" s="9">
        <f t="shared" ca="1" si="48"/>
        <v>1</v>
      </c>
      <c r="P307" s="9">
        <f t="shared" ca="1" si="49"/>
        <v>1</v>
      </c>
      <c r="Q307" s="9">
        <f t="shared" ca="1" si="50"/>
        <v>1</v>
      </c>
      <c r="R307" s="9">
        <f t="shared" ca="1" si="51"/>
        <v>0</v>
      </c>
    </row>
    <row r="308" spans="2:18" x14ac:dyDescent="0.25">
      <c r="B308" t="s">
        <v>1843</v>
      </c>
      <c r="C308" s="39" t="s">
        <v>1844</v>
      </c>
      <c r="D308" s="7" t="e">
        <f ca="1">_xll.xlqPrice(C308)</f>
        <v>#NAME?</v>
      </c>
      <c r="E308" s="9" t="e">
        <f t="shared" ca="1" si="42"/>
        <v>#NAME?</v>
      </c>
      <c r="F308" s="9">
        <f t="shared" ca="1" si="43"/>
        <v>1</v>
      </c>
      <c r="G308" s="8">
        <f t="shared" ca="1" si="44"/>
        <v>0</v>
      </c>
      <c r="H308" s="8">
        <f t="shared" ca="1" si="45"/>
        <v>0</v>
      </c>
      <c r="I308" s="8">
        <f t="shared" ca="1" si="46"/>
        <v>0</v>
      </c>
      <c r="J308" s="6" t="e">
        <f ca="1">_xll.xlqxhSMA($C308,$L$4,$J$7,$K$3)</f>
        <v>#NAME?</v>
      </c>
      <c r="K308" s="7" t="e">
        <f ca="1">_xll.xlqhClose($C308,K$8,$K$3)</f>
        <v>#NAME?</v>
      </c>
      <c r="L308" s="7" t="e">
        <f ca="1">_xll.xlqhClose($C308,L$8,$K$3)</f>
        <v>#NAME?</v>
      </c>
      <c r="N308" s="9">
        <f t="shared" ca="1" si="47"/>
        <v>1</v>
      </c>
      <c r="O308" s="9">
        <f t="shared" ca="1" si="48"/>
        <v>1</v>
      </c>
      <c r="P308" s="9">
        <f t="shared" ca="1" si="49"/>
        <v>1</v>
      </c>
      <c r="Q308" s="9">
        <f t="shared" ca="1" si="50"/>
        <v>1</v>
      </c>
      <c r="R308" s="9">
        <f t="shared" ca="1" si="51"/>
        <v>0</v>
      </c>
    </row>
    <row r="309" spans="2:18" x14ac:dyDescent="0.25">
      <c r="B309" s="17" t="s">
        <v>1433</v>
      </c>
      <c r="C309" s="18" t="s">
        <v>1434</v>
      </c>
      <c r="D309" s="7" t="e">
        <f ca="1">_xll.xlqPrice(C309)</f>
        <v>#NAME?</v>
      </c>
      <c r="E309" s="9" t="e">
        <f t="shared" ca="1" si="42"/>
        <v>#NAME?</v>
      </c>
      <c r="F309" s="9">
        <f t="shared" ca="1" si="43"/>
        <v>1</v>
      </c>
      <c r="G309" s="8">
        <f t="shared" ca="1" si="44"/>
        <v>0</v>
      </c>
      <c r="H309" s="8">
        <f t="shared" ca="1" si="45"/>
        <v>0</v>
      </c>
      <c r="I309" s="8">
        <f t="shared" ca="1" si="46"/>
        <v>0</v>
      </c>
      <c r="J309" s="6" t="e">
        <f ca="1">_xll.xlqxhSMA($C309,$L$4,$J$7,$K$3)</f>
        <v>#NAME?</v>
      </c>
      <c r="K309" s="7" t="e">
        <f ca="1">_xll.xlqhClose($C309,K$8,$K$3)</f>
        <v>#NAME?</v>
      </c>
      <c r="L309" s="7" t="e">
        <f ca="1">_xll.xlqhClose($C309,L$8,$K$3)</f>
        <v>#NAME?</v>
      </c>
      <c r="N309" s="9">
        <f t="shared" ca="1" si="47"/>
        <v>1</v>
      </c>
      <c r="O309" s="9">
        <f t="shared" ca="1" si="48"/>
        <v>1</v>
      </c>
      <c r="P309" s="9">
        <f t="shared" ca="1" si="49"/>
        <v>1</v>
      </c>
      <c r="Q309" s="9">
        <f t="shared" ca="1" si="50"/>
        <v>1</v>
      </c>
      <c r="R309" s="9">
        <f t="shared" ca="1" si="51"/>
        <v>0</v>
      </c>
    </row>
    <row r="310" spans="2:18" x14ac:dyDescent="0.25">
      <c r="B310" s="17" t="s">
        <v>410</v>
      </c>
      <c r="C310" s="18" t="s">
        <v>411</v>
      </c>
      <c r="D310" s="7" t="e">
        <f ca="1">_xll.xlqPrice(C310)</f>
        <v>#NAME?</v>
      </c>
      <c r="E310" s="9" t="e">
        <f t="shared" ca="1" si="42"/>
        <v>#NAME?</v>
      </c>
      <c r="F310" s="9">
        <f t="shared" ca="1" si="43"/>
        <v>1</v>
      </c>
      <c r="G310" s="8">
        <f t="shared" ca="1" si="44"/>
        <v>0</v>
      </c>
      <c r="H310" s="8">
        <f t="shared" ca="1" si="45"/>
        <v>0</v>
      </c>
      <c r="I310" s="8">
        <f t="shared" ca="1" si="46"/>
        <v>0</v>
      </c>
      <c r="J310" s="6" t="e">
        <f ca="1">_xll.xlqxhSMA($C310,$L$4,$J$7,$K$3)</f>
        <v>#NAME?</v>
      </c>
      <c r="K310" s="7" t="e">
        <f ca="1">_xll.xlqhClose($C310,K$8,$K$3)</f>
        <v>#NAME?</v>
      </c>
      <c r="L310" s="7" t="e">
        <f ca="1">_xll.xlqhClose($C310,L$8,$K$3)</f>
        <v>#NAME?</v>
      </c>
      <c r="N310" s="9">
        <f t="shared" ca="1" si="47"/>
        <v>1</v>
      </c>
      <c r="O310" s="9">
        <f t="shared" ca="1" si="48"/>
        <v>1</v>
      </c>
      <c r="P310" s="9">
        <f t="shared" ca="1" si="49"/>
        <v>1</v>
      </c>
      <c r="Q310" s="9">
        <f t="shared" ca="1" si="50"/>
        <v>1</v>
      </c>
      <c r="R310" s="9">
        <f t="shared" ca="1" si="51"/>
        <v>0</v>
      </c>
    </row>
    <row r="311" spans="2:18" x14ac:dyDescent="0.25">
      <c r="B311" s="17" t="s">
        <v>2237</v>
      </c>
      <c r="C311" s="18" t="s">
        <v>2238</v>
      </c>
      <c r="D311" s="7" t="e">
        <f ca="1">_xll.xlqPrice(C311)</f>
        <v>#NAME?</v>
      </c>
      <c r="E311" s="9" t="e">
        <f t="shared" ca="1" si="42"/>
        <v>#NAME?</v>
      </c>
      <c r="F311" s="9">
        <f t="shared" ca="1" si="43"/>
        <v>1</v>
      </c>
      <c r="G311" s="8">
        <f t="shared" ca="1" si="44"/>
        <v>0</v>
      </c>
      <c r="H311" s="8">
        <f t="shared" ca="1" si="45"/>
        <v>0</v>
      </c>
      <c r="I311" s="8">
        <f t="shared" ca="1" si="46"/>
        <v>0</v>
      </c>
      <c r="J311" s="6" t="e">
        <f ca="1">_xll.xlqxhSMA($C311,$L$4,$J$7,$K$3)</f>
        <v>#NAME?</v>
      </c>
      <c r="K311" s="7" t="e">
        <f ca="1">_xll.xlqhClose($C311,K$8,$K$3)</f>
        <v>#NAME?</v>
      </c>
      <c r="L311" s="7" t="e">
        <f ca="1">_xll.xlqhClose($C311,L$8,$K$3)</f>
        <v>#NAME?</v>
      </c>
      <c r="N311" s="9">
        <f t="shared" ca="1" si="47"/>
        <v>1</v>
      </c>
      <c r="O311" s="9">
        <f t="shared" ca="1" si="48"/>
        <v>1</v>
      </c>
      <c r="P311" s="9">
        <f t="shared" ca="1" si="49"/>
        <v>1</v>
      </c>
      <c r="Q311" s="9">
        <f t="shared" ca="1" si="50"/>
        <v>1</v>
      </c>
      <c r="R311" s="9">
        <f t="shared" ca="1" si="51"/>
        <v>0</v>
      </c>
    </row>
    <row r="312" spans="2:18" x14ac:dyDescent="0.25">
      <c r="B312" s="17" t="s">
        <v>1465</v>
      </c>
      <c r="C312" s="18" t="s">
        <v>1466</v>
      </c>
      <c r="D312" s="7" t="e">
        <f ca="1">_xll.xlqPrice(C312)</f>
        <v>#NAME?</v>
      </c>
      <c r="E312" s="9" t="e">
        <f t="shared" ca="1" si="42"/>
        <v>#NAME?</v>
      </c>
      <c r="F312" s="9">
        <f t="shared" ca="1" si="43"/>
        <v>1</v>
      </c>
      <c r="G312" s="8">
        <f t="shared" ca="1" si="44"/>
        <v>0</v>
      </c>
      <c r="H312" s="8">
        <f t="shared" ca="1" si="45"/>
        <v>0</v>
      </c>
      <c r="I312" s="8">
        <f t="shared" ca="1" si="46"/>
        <v>0</v>
      </c>
      <c r="J312" s="6" t="e">
        <f ca="1">_xll.xlqxhSMA($C312,$L$4,$J$7,$K$3)</f>
        <v>#NAME?</v>
      </c>
      <c r="K312" s="7" t="e">
        <f ca="1">_xll.xlqhClose($C312,K$8,$K$3)</f>
        <v>#NAME?</v>
      </c>
      <c r="L312" s="7" t="e">
        <f ca="1">_xll.xlqhClose($C312,L$8,$K$3)</f>
        <v>#NAME?</v>
      </c>
      <c r="N312" s="9">
        <f t="shared" ca="1" si="47"/>
        <v>1</v>
      </c>
      <c r="O312" s="9">
        <f t="shared" ca="1" si="48"/>
        <v>1</v>
      </c>
      <c r="P312" s="9">
        <f t="shared" ca="1" si="49"/>
        <v>1</v>
      </c>
      <c r="Q312" s="9">
        <f t="shared" ca="1" si="50"/>
        <v>1</v>
      </c>
      <c r="R312" s="9">
        <f t="shared" ca="1" si="51"/>
        <v>0</v>
      </c>
    </row>
    <row r="313" spans="2:18" x14ac:dyDescent="0.25">
      <c r="B313" s="17" t="s">
        <v>190</v>
      </c>
      <c r="C313" s="18" t="s">
        <v>191</v>
      </c>
      <c r="D313" s="7" t="e">
        <f ca="1">_xll.xlqPrice(C313)</f>
        <v>#NAME?</v>
      </c>
      <c r="E313" s="9" t="e">
        <f t="shared" ca="1" si="42"/>
        <v>#NAME?</v>
      </c>
      <c r="F313" s="9">
        <f t="shared" ca="1" si="43"/>
        <v>1</v>
      </c>
      <c r="G313" s="8">
        <f t="shared" ca="1" si="44"/>
        <v>0</v>
      </c>
      <c r="H313" s="8">
        <f t="shared" ca="1" si="45"/>
        <v>0</v>
      </c>
      <c r="I313" s="8">
        <f t="shared" ca="1" si="46"/>
        <v>0</v>
      </c>
      <c r="J313" s="6" t="e">
        <f ca="1">_xll.xlqxhSMA($C313,$L$4,$J$7,$K$3)</f>
        <v>#NAME?</v>
      </c>
      <c r="K313" s="7" t="e">
        <f ca="1">_xll.xlqhClose($C313,K$8,$K$3)</f>
        <v>#NAME?</v>
      </c>
      <c r="L313" s="7" t="e">
        <f ca="1">_xll.xlqhClose($C313,L$8,$K$3)</f>
        <v>#NAME?</v>
      </c>
      <c r="N313" s="9">
        <f t="shared" ca="1" si="47"/>
        <v>1</v>
      </c>
      <c r="O313" s="9">
        <f t="shared" ca="1" si="48"/>
        <v>1</v>
      </c>
      <c r="P313" s="9">
        <f t="shared" ca="1" si="49"/>
        <v>1</v>
      </c>
      <c r="Q313" s="9">
        <f t="shared" ca="1" si="50"/>
        <v>1</v>
      </c>
      <c r="R313" s="9">
        <f t="shared" ca="1" si="51"/>
        <v>0</v>
      </c>
    </row>
    <row r="314" spans="2:18" x14ac:dyDescent="0.25">
      <c r="B314" s="17" t="s">
        <v>188</v>
      </c>
      <c r="C314" s="18" t="s">
        <v>189</v>
      </c>
      <c r="D314" s="7" t="e">
        <f ca="1">_xll.xlqPrice(C314)</f>
        <v>#NAME?</v>
      </c>
      <c r="E314" s="9" t="e">
        <f t="shared" ca="1" si="42"/>
        <v>#NAME?</v>
      </c>
      <c r="F314" s="9">
        <f t="shared" ca="1" si="43"/>
        <v>1</v>
      </c>
      <c r="G314" s="8">
        <f t="shared" ca="1" si="44"/>
        <v>0</v>
      </c>
      <c r="H314" s="8">
        <f t="shared" ca="1" si="45"/>
        <v>0</v>
      </c>
      <c r="I314" s="8">
        <f t="shared" ca="1" si="46"/>
        <v>0</v>
      </c>
      <c r="J314" s="6" t="e">
        <f ca="1">_xll.xlqxhSMA($C314,$L$4,$J$7,$K$3)</f>
        <v>#NAME?</v>
      </c>
      <c r="K314" s="7" t="e">
        <f ca="1">_xll.xlqhClose($C314,K$8,$K$3)</f>
        <v>#NAME?</v>
      </c>
      <c r="L314" s="7" t="e">
        <f ca="1">_xll.xlqhClose($C314,L$8,$K$3)</f>
        <v>#NAME?</v>
      </c>
      <c r="N314" s="9">
        <f t="shared" ca="1" si="47"/>
        <v>1</v>
      </c>
      <c r="O314" s="9">
        <f t="shared" ca="1" si="48"/>
        <v>1</v>
      </c>
      <c r="P314" s="9">
        <f t="shared" ca="1" si="49"/>
        <v>1</v>
      </c>
      <c r="Q314" s="9">
        <f t="shared" ca="1" si="50"/>
        <v>1</v>
      </c>
      <c r="R314" s="9">
        <f t="shared" ca="1" si="51"/>
        <v>0</v>
      </c>
    </row>
    <row r="315" spans="2:18" x14ac:dyDescent="0.25">
      <c r="B315" s="17" t="s">
        <v>192</v>
      </c>
      <c r="C315" s="18" t="s">
        <v>193</v>
      </c>
      <c r="D315" s="7" t="e">
        <f ca="1">_xll.xlqPrice(C315)</f>
        <v>#NAME?</v>
      </c>
      <c r="E315" s="9" t="e">
        <f t="shared" ca="1" si="42"/>
        <v>#NAME?</v>
      </c>
      <c r="F315" s="9">
        <f t="shared" ca="1" si="43"/>
        <v>1</v>
      </c>
      <c r="G315" s="8">
        <f t="shared" ca="1" si="44"/>
        <v>0</v>
      </c>
      <c r="H315" s="8">
        <f t="shared" ca="1" si="45"/>
        <v>0</v>
      </c>
      <c r="I315" s="8">
        <f t="shared" ca="1" si="46"/>
        <v>0</v>
      </c>
      <c r="J315" s="6" t="e">
        <f ca="1">_xll.xlqxhSMA($C315,$L$4,$J$7,$K$3)</f>
        <v>#NAME?</v>
      </c>
      <c r="K315" s="7" t="e">
        <f ca="1">_xll.xlqhClose($C315,K$8,$K$3)</f>
        <v>#NAME?</v>
      </c>
      <c r="L315" s="7" t="e">
        <f ca="1">_xll.xlqhClose($C315,L$8,$K$3)</f>
        <v>#NAME?</v>
      </c>
      <c r="N315" s="9">
        <f t="shared" ca="1" si="47"/>
        <v>1</v>
      </c>
      <c r="O315" s="9">
        <f t="shared" ca="1" si="48"/>
        <v>1</v>
      </c>
      <c r="P315" s="9">
        <f t="shared" ca="1" si="49"/>
        <v>1</v>
      </c>
      <c r="Q315" s="9">
        <f t="shared" ca="1" si="50"/>
        <v>1</v>
      </c>
      <c r="R315" s="9">
        <f t="shared" ca="1" si="51"/>
        <v>0</v>
      </c>
    </row>
    <row r="316" spans="2:18" x14ac:dyDescent="0.25">
      <c r="B316" s="17" t="s">
        <v>1745</v>
      </c>
      <c r="C316" s="18" t="s">
        <v>1746</v>
      </c>
      <c r="D316" s="7" t="e">
        <f ca="1">_xll.xlqPrice(C316)</f>
        <v>#NAME?</v>
      </c>
      <c r="E316" s="9" t="e">
        <f t="shared" ca="1" si="42"/>
        <v>#NAME?</v>
      </c>
      <c r="F316" s="9">
        <f t="shared" ca="1" si="43"/>
        <v>1</v>
      </c>
      <c r="G316" s="8">
        <f t="shared" ca="1" si="44"/>
        <v>0</v>
      </c>
      <c r="H316" s="8">
        <f t="shared" ca="1" si="45"/>
        <v>0</v>
      </c>
      <c r="I316" s="8">
        <f t="shared" ca="1" si="46"/>
        <v>0</v>
      </c>
      <c r="J316" s="6" t="e">
        <f ca="1">_xll.xlqxhSMA($C316,$L$4,$J$7,$K$3)</f>
        <v>#NAME?</v>
      </c>
      <c r="K316" s="7" t="e">
        <f ca="1">_xll.xlqhClose($C316,K$8,$K$3)</f>
        <v>#NAME?</v>
      </c>
      <c r="L316" s="7" t="e">
        <f ca="1">_xll.xlqhClose($C316,L$8,$K$3)</f>
        <v>#NAME?</v>
      </c>
      <c r="N316" s="9">
        <f t="shared" ca="1" si="47"/>
        <v>1</v>
      </c>
      <c r="O316" s="9">
        <f t="shared" ca="1" si="48"/>
        <v>1</v>
      </c>
      <c r="P316" s="9">
        <f t="shared" ca="1" si="49"/>
        <v>1</v>
      </c>
      <c r="Q316" s="9">
        <f t="shared" ca="1" si="50"/>
        <v>1</v>
      </c>
      <c r="R316" s="9">
        <f t="shared" ca="1" si="51"/>
        <v>0</v>
      </c>
    </row>
    <row r="317" spans="2:18" x14ac:dyDescent="0.25">
      <c r="B317" s="17" t="s">
        <v>230</v>
      </c>
      <c r="C317" s="18" t="s">
        <v>231</v>
      </c>
      <c r="D317" s="7" t="e">
        <f ca="1">_xll.xlqPrice(C317)</f>
        <v>#NAME?</v>
      </c>
      <c r="E317" s="9" t="e">
        <f t="shared" ca="1" si="42"/>
        <v>#NAME?</v>
      </c>
      <c r="F317" s="9">
        <f t="shared" ca="1" si="43"/>
        <v>1</v>
      </c>
      <c r="G317" s="8">
        <f t="shared" ca="1" si="44"/>
        <v>0</v>
      </c>
      <c r="H317" s="8">
        <f t="shared" ca="1" si="45"/>
        <v>0</v>
      </c>
      <c r="I317" s="8">
        <f t="shared" ca="1" si="46"/>
        <v>0</v>
      </c>
      <c r="J317" s="6" t="e">
        <f ca="1">_xll.xlqxhSMA($C317,$L$4,$J$7,$K$3)</f>
        <v>#NAME?</v>
      </c>
      <c r="K317" s="7" t="e">
        <f ca="1">_xll.xlqhClose($C317,K$8,$K$3)</f>
        <v>#NAME?</v>
      </c>
      <c r="L317" s="7" t="e">
        <f ca="1">_xll.xlqhClose($C317,L$8,$K$3)</f>
        <v>#NAME?</v>
      </c>
      <c r="N317" s="9">
        <f t="shared" ca="1" si="47"/>
        <v>1</v>
      </c>
      <c r="O317" s="9">
        <f t="shared" ca="1" si="48"/>
        <v>1</v>
      </c>
      <c r="P317" s="9">
        <f t="shared" ca="1" si="49"/>
        <v>1</v>
      </c>
      <c r="Q317" s="9">
        <f t="shared" ca="1" si="50"/>
        <v>1</v>
      </c>
      <c r="R317" s="9">
        <f t="shared" ca="1" si="51"/>
        <v>0</v>
      </c>
    </row>
    <row r="318" spans="2:18" x14ac:dyDescent="0.25">
      <c r="B318" s="17" t="s">
        <v>780</v>
      </c>
      <c r="C318" s="18" t="s">
        <v>781</v>
      </c>
      <c r="D318" s="7" t="e">
        <f ca="1">_xll.xlqPrice(C318)</f>
        <v>#NAME?</v>
      </c>
      <c r="E318" s="9" t="e">
        <f t="shared" ca="1" si="42"/>
        <v>#NAME?</v>
      </c>
      <c r="F318" s="9">
        <f t="shared" ca="1" si="43"/>
        <v>1</v>
      </c>
      <c r="G318" s="8">
        <f t="shared" ca="1" si="44"/>
        <v>0</v>
      </c>
      <c r="H318" s="8">
        <f t="shared" ca="1" si="45"/>
        <v>0</v>
      </c>
      <c r="I318" s="8">
        <f t="shared" ca="1" si="46"/>
        <v>0</v>
      </c>
      <c r="J318" s="6" t="e">
        <f ca="1">_xll.xlqxhSMA($C318,$L$4,$J$7,$K$3)</f>
        <v>#NAME?</v>
      </c>
      <c r="K318" s="7" t="e">
        <f ca="1">_xll.xlqhClose($C318,K$8,$K$3)</f>
        <v>#NAME?</v>
      </c>
      <c r="L318" s="7" t="e">
        <f ca="1">_xll.xlqhClose($C318,L$8,$K$3)</f>
        <v>#NAME?</v>
      </c>
      <c r="N318" s="9">
        <f t="shared" ca="1" si="47"/>
        <v>1</v>
      </c>
      <c r="O318" s="9">
        <f t="shared" ca="1" si="48"/>
        <v>1</v>
      </c>
      <c r="P318" s="9">
        <f t="shared" ca="1" si="49"/>
        <v>1</v>
      </c>
      <c r="Q318" s="9">
        <f t="shared" ca="1" si="50"/>
        <v>1</v>
      </c>
      <c r="R318" s="9">
        <f t="shared" ca="1" si="51"/>
        <v>0</v>
      </c>
    </row>
    <row r="319" spans="2:18" x14ac:dyDescent="0.25">
      <c r="B319" t="s">
        <v>2003</v>
      </c>
      <c r="C319" s="39" t="s">
        <v>2004</v>
      </c>
      <c r="D319" s="7" t="e">
        <f ca="1">_xll.xlqPrice(C319)</f>
        <v>#NAME?</v>
      </c>
      <c r="E319" s="9" t="e">
        <f t="shared" ca="1" si="42"/>
        <v>#NAME?</v>
      </c>
      <c r="F319" s="9">
        <f t="shared" ca="1" si="43"/>
        <v>1</v>
      </c>
      <c r="G319" s="8">
        <f t="shared" ca="1" si="44"/>
        <v>0</v>
      </c>
      <c r="H319" s="8">
        <f t="shared" ca="1" si="45"/>
        <v>0</v>
      </c>
      <c r="I319" s="8">
        <f t="shared" ca="1" si="46"/>
        <v>0</v>
      </c>
      <c r="J319" s="6" t="e">
        <f ca="1">_xll.xlqxhSMA($C319,$L$4,$J$7,$K$3)</f>
        <v>#NAME?</v>
      </c>
      <c r="K319" s="7" t="e">
        <f ca="1">_xll.xlqhClose($C319,K$8,$K$3)</f>
        <v>#NAME?</v>
      </c>
      <c r="L319" s="7" t="e">
        <f ca="1">_xll.xlqhClose($C319,L$8,$K$3)</f>
        <v>#NAME?</v>
      </c>
      <c r="N319" s="9">
        <f t="shared" ca="1" si="47"/>
        <v>1</v>
      </c>
      <c r="O319" s="9">
        <f t="shared" ca="1" si="48"/>
        <v>1</v>
      </c>
      <c r="P319" s="9">
        <f t="shared" ca="1" si="49"/>
        <v>1</v>
      </c>
      <c r="Q319" s="9">
        <f t="shared" ca="1" si="50"/>
        <v>1</v>
      </c>
      <c r="R319" s="9">
        <f t="shared" ca="1" si="51"/>
        <v>0</v>
      </c>
    </row>
    <row r="320" spans="2:18" x14ac:dyDescent="0.25">
      <c r="B320" s="17" t="s">
        <v>1501</v>
      </c>
      <c r="C320" s="18" t="s">
        <v>1502</v>
      </c>
      <c r="D320" s="7" t="e">
        <f ca="1">_xll.xlqPrice(C320)</f>
        <v>#NAME?</v>
      </c>
      <c r="E320" s="9" t="e">
        <f t="shared" ca="1" si="42"/>
        <v>#NAME?</v>
      </c>
      <c r="F320" s="9">
        <f t="shared" ca="1" si="43"/>
        <v>1</v>
      </c>
      <c r="G320" s="8">
        <f t="shared" ca="1" si="44"/>
        <v>0</v>
      </c>
      <c r="H320" s="8">
        <f t="shared" ca="1" si="45"/>
        <v>0</v>
      </c>
      <c r="I320" s="8">
        <f t="shared" ca="1" si="46"/>
        <v>0</v>
      </c>
      <c r="J320" s="6" t="e">
        <f ca="1">_xll.xlqxhSMA($C320,$L$4,$J$7,$K$3)</f>
        <v>#NAME?</v>
      </c>
      <c r="K320" s="7" t="e">
        <f ca="1">_xll.xlqhClose($C320,K$8,$K$3)</f>
        <v>#NAME?</v>
      </c>
      <c r="L320" s="7" t="e">
        <f ca="1">_xll.xlqhClose($C320,L$8,$K$3)</f>
        <v>#NAME?</v>
      </c>
      <c r="N320" s="9">
        <f t="shared" ca="1" si="47"/>
        <v>1</v>
      </c>
      <c r="O320" s="9">
        <f t="shared" ca="1" si="48"/>
        <v>1</v>
      </c>
      <c r="P320" s="9">
        <f t="shared" ca="1" si="49"/>
        <v>1</v>
      </c>
      <c r="Q320" s="9">
        <f t="shared" ca="1" si="50"/>
        <v>1</v>
      </c>
      <c r="R320" s="9">
        <f t="shared" ca="1" si="51"/>
        <v>0</v>
      </c>
    </row>
    <row r="321" spans="2:18" x14ac:dyDescent="0.25">
      <c r="B321" s="17" t="s">
        <v>2043</v>
      </c>
      <c r="C321" s="18" t="s">
        <v>2044</v>
      </c>
      <c r="D321" s="7" t="e">
        <f ca="1">_xll.xlqPrice(C321)</f>
        <v>#NAME?</v>
      </c>
      <c r="E321" s="9" t="e">
        <f t="shared" ca="1" si="42"/>
        <v>#NAME?</v>
      </c>
      <c r="F321" s="9">
        <f t="shared" ca="1" si="43"/>
        <v>1</v>
      </c>
      <c r="G321" s="8">
        <f t="shared" ca="1" si="44"/>
        <v>0</v>
      </c>
      <c r="H321" s="8">
        <f t="shared" ca="1" si="45"/>
        <v>0</v>
      </c>
      <c r="I321" s="8">
        <f t="shared" ca="1" si="46"/>
        <v>0</v>
      </c>
      <c r="J321" s="6" t="e">
        <f ca="1">_xll.xlqxhSMA($C321,$L$4,$J$7,$K$3)</f>
        <v>#NAME?</v>
      </c>
      <c r="K321" s="7" t="e">
        <f ca="1">_xll.xlqhClose($C321,K$8,$K$3)</f>
        <v>#NAME?</v>
      </c>
      <c r="L321" s="7" t="e">
        <f ca="1">_xll.xlqhClose($C321,L$8,$K$3)</f>
        <v>#NAME?</v>
      </c>
      <c r="N321" s="9">
        <f t="shared" ca="1" si="47"/>
        <v>1</v>
      </c>
      <c r="O321" s="9">
        <f t="shared" ca="1" si="48"/>
        <v>1</v>
      </c>
      <c r="P321" s="9">
        <f t="shared" ca="1" si="49"/>
        <v>1</v>
      </c>
      <c r="Q321" s="9">
        <f t="shared" ca="1" si="50"/>
        <v>1</v>
      </c>
      <c r="R321" s="9">
        <f t="shared" ca="1" si="51"/>
        <v>0</v>
      </c>
    </row>
    <row r="322" spans="2:18" x14ac:dyDescent="0.25">
      <c r="B322" s="17" t="s">
        <v>600</v>
      </c>
      <c r="C322" s="18" t="s">
        <v>601</v>
      </c>
      <c r="D322" s="7" t="e">
        <f ca="1">_xll.xlqPrice(C322)</f>
        <v>#NAME?</v>
      </c>
      <c r="E322" s="9" t="e">
        <f t="shared" ca="1" si="42"/>
        <v>#NAME?</v>
      </c>
      <c r="F322" s="9">
        <f t="shared" ca="1" si="43"/>
        <v>1</v>
      </c>
      <c r="G322" s="8">
        <f t="shared" ca="1" si="44"/>
        <v>0</v>
      </c>
      <c r="H322" s="8">
        <f t="shared" ca="1" si="45"/>
        <v>0</v>
      </c>
      <c r="I322" s="8">
        <f t="shared" ca="1" si="46"/>
        <v>0</v>
      </c>
      <c r="J322" s="6" t="e">
        <f ca="1">_xll.xlqxhSMA($C322,$L$4,$J$7,$K$3)</f>
        <v>#NAME?</v>
      </c>
      <c r="K322" s="7" t="e">
        <f ca="1">_xll.xlqhClose($C322,K$8,$K$3)</f>
        <v>#NAME?</v>
      </c>
      <c r="L322" s="7" t="e">
        <f ca="1">_xll.xlqhClose($C322,L$8,$K$3)</f>
        <v>#NAME?</v>
      </c>
      <c r="N322" s="9">
        <f t="shared" ca="1" si="47"/>
        <v>1</v>
      </c>
      <c r="O322" s="9">
        <f t="shared" ca="1" si="48"/>
        <v>1</v>
      </c>
      <c r="P322" s="9">
        <f t="shared" ca="1" si="49"/>
        <v>1</v>
      </c>
      <c r="Q322" s="9">
        <f t="shared" ca="1" si="50"/>
        <v>1</v>
      </c>
      <c r="R322" s="9">
        <f t="shared" ca="1" si="51"/>
        <v>0</v>
      </c>
    </row>
    <row r="323" spans="2:18" x14ac:dyDescent="0.25">
      <c r="B323" s="17" t="s">
        <v>2239</v>
      </c>
      <c r="C323" s="18" t="s">
        <v>2240</v>
      </c>
      <c r="D323" s="7" t="e">
        <f ca="1">_xll.xlqPrice(C323)</f>
        <v>#NAME?</v>
      </c>
      <c r="E323" s="9" t="e">
        <f t="shared" ca="1" si="42"/>
        <v>#NAME?</v>
      </c>
      <c r="F323" s="9">
        <f t="shared" ca="1" si="43"/>
        <v>1</v>
      </c>
      <c r="G323" s="8">
        <f t="shared" ca="1" si="44"/>
        <v>0</v>
      </c>
      <c r="H323" s="8">
        <f t="shared" ca="1" si="45"/>
        <v>0</v>
      </c>
      <c r="I323" s="8">
        <f t="shared" ca="1" si="46"/>
        <v>0</v>
      </c>
      <c r="J323" s="6" t="e">
        <f ca="1">_xll.xlqxhSMA($C323,$L$4,$J$7,$K$3)</f>
        <v>#NAME?</v>
      </c>
      <c r="K323" s="7" t="e">
        <f ca="1">_xll.xlqhClose($C323,K$8,$K$3)</f>
        <v>#NAME?</v>
      </c>
      <c r="L323" s="7" t="e">
        <f ca="1">_xll.xlqhClose($C323,L$8,$K$3)</f>
        <v>#NAME?</v>
      </c>
      <c r="N323" s="9">
        <f t="shared" ca="1" si="47"/>
        <v>1</v>
      </c>
      <c r="O323" s="9">
        <f t="shared" ca="1" si="48"/>
        <v>1</v>
      </c>
      <c r="P323" s="9">
        <f t="shared" ca="1" si="49"/>
        <v>1</v>
      </c>
      <c r="Q323" s="9">
        <f t="shared" ca="1" si="50"/>
        <v>1</v>
      </c>
      <c r="R323" s="9">
        <f t="shared" ca="1" si="51"/>
        <v>0</v>
      </c>
    </row>
    <row r="324" spans="2:18" x14ac:dyDescent="0.25">
      <c r="B324" s="17" t="s">
        <v>1173</v>
      </c>
      <c r="C324" s="18" t="s">
        <v>1174</v>
      </c>
      <c r="D324" s="7" t="e">
        <f ca="1">_xll.xlqPrice(C324)</f>
        <v>#NAME?</v>
      </c>
      <c r="E324" s="9" t="e">
        <f t="shared" ca="1" si="42"/>
        <v>#NAME?</v>
      </c>
      <c r="F324" s="9">
        <f t="shared" ca="1" si="43"/>
        <v>1</v>
      </c>
      <c r="G324" s="8">
        <f t="shared" ca="1" si="44"/>
        <v>0</v>
      </c>
      <c r="H324" s="8">
        <f t="shared" ca="1" si="45"/>
        <v>0</v>
      </c>
      <c r="I324" s="8">
        <f t="shared" ca="1" si="46"/>
        <v>0</v>
      </c>
      <c r="J324" s="6" t="e">
        <f ca="1">_xll.xlqxhSMA($C324,$L$4,$J$7,$K$3)</f>
        <v>#NAME?</v>
      </c>
      <c r="K324" s="7" t="e">
        <f ca="1">_xll.xlqhClose($C324,K$8,$K$3)</f>
        <v>#NAME?</v>
      </c>
      <c r="L324" s="7" t="e">
        <f ca="1">_xll.xlqhClose($C324,L$8,$K$3)</f>
        <v>#NAME?</v>
      </c>
      <c r="N324" s="9">
        <f t="shared" ca="1" si="47"/>
        <v>1</v>
      </c>
      <c r="O324" s="9">
        <f t="shared" ca="1" si="48"/>
        <v>1</v>
      </c>
      <c r="P324" s="9">
        <f t="shared" ca="1" si="49"/>
        <v>1</v>
      </c>
      <c r="Q324" s="9">
        <f t="shared" ca="1" si="50"/>
        <v>1</v>
      </c>
      <c r="R324" s="9">
        <f t="shared" ca="1" si="51"/>
        <v>0</v>
      </c>
    </row>
    <row r="325" spans="2:18" x14ac:dyDescent="0.25">
      <c r="B325" s="17" t="s">
        <v>1261</v>
      </c>
      <c r="C325" s="18" t="s">
        <v>1262</v>
      </c>
      <c r="D325" s="7" t="e">
        <f ca="1">_xll.xlqPrice(C325)</f>
        <v>#NAME?</v>
      </c>
      <c r="E325" s="9" t="e">
        <f t="shared" ca="1" si="42"/>
        <v>#NAME?</v>
      </c>
      <c r="F325" s="9">
        <f t="shared" ca="1" si="43"/>
        <v>1</v>
      </c>
      <c r="G325" s="8">
        <f t="shared" ca="1" si="44"/>
        <v>0</v>
      </c>
      <c r="H325" s="8">
        <f t="shared" ca="1" si="45"/>
        <v>0</v>
      </c>
      <c r="I325" s="8">
        <f t="shared" ca="1" si="46"/>
        <v>0</v>
      </c>
      <c r="J325" s="6" t="e">
        <f ca="1">_xll.xlqxhSMA($C325,$L$4,$J$7,$K$3)</f>
        <v>#NAME?</v>
      </c>
      <c r="K325" s="7" t="e">
        <f ca="1">_xll.xlqhClose($C325,K$8,$K$3)</f>
        <v>#NAME?</v>
      </c>
      <c r="L325" s="7" t="e">
        <f ca="1">_xll.xlqhClose($C325,L$8,$K$3)</f>
        <v>#NAME?</v>
      </c>
      <c r="N325" s="9">
        <f t="shared" ca="1" si="47"/>
        <v>1</v>
      </c>
      <c r="O325" s="9">
        <f t="shared" ca="1" si="48"/>
        <v>1</v>
      </c>
      <c r="P325" s="9">
        <f t="shared" ca="1" si="49"/>
        <v>1</v>
      </c>
      <c r="Q325" s="9">
        <f t="shared" ca="1" si="50"/>
        <v>1</v>
      </c>
      <c r="R325" s="9">
        <f t="shared" ca="1" si="51"/>
        <v>0</v>
      </c>
    </row>
    <row r="326" spans="2:18" x14ac:dyDescent="0.25">
      <c r="B326" s="17" t="s">
        <v>292</v>
      </c>
      <c r="C326" s="18" t="s">
        <v>293</v>
      </c>
      <c r="D326" s="7" t="e">
        <f ca="1">_xll.xlqPrice(C326)</f>
        <v>#NAME?</v>
      </c>
      <c r="E326" s="9" t="e">
        <f t="shared" ca="1" si="42"/>
        <v>#NAME?</v>
      </c>
      <c r="F326" s="9">
        <f t="shared" ca="1" si="43"/>
        <v>1</v>
      </c>
      <c r="G326" s="8">
        <f t="shared" ca="1" si="44"/>
        <v>0</v>
      </c>
      <c r="H326" s="8">
        <f t="shared" ca="1" si="45"/>
        <v>0</v>
      </c>
      <c r="I326" s="8">
        <f t="shared" ca="1" si="46"/>
        <v>0</v>
      </c>
      <c r="J326" s="6" t="e">
        <f ca="1">_xll.xlqxhSMA($C326,$L$4,$J$7,$K$3)</f>
        <v>#NAME?</v>
      </c>
      <c r="K326" s="7" t="e">
        <f ca="1">_xll.xlqhClose($C326,K$8,$K$3)</f>
        <v>#NAME?</v>
      </c>
      <c r="L326" s="7" t="e">
        <f ca="1">_xll.xlqhClose($C326,L$8,$K$3)</f>
        <v>#NAME?</v>
      </c>
      <c r="N326" s="9">
        <f t="shared" ca="1" si="47"/>
        <v>1</v>
      </c>
      <c r="O326" s="9">
        <f t="shared" ca="1" si="48"/>
        <v>1</v>
      </c>
      <c r="P326" s="9">
        <f t="shared" ca="1" si="49"/>
        <v>1</v>
      </c>
      <c r="Q326" s="9">
        <f t="shared" ca="1" si="50"/>
        <v>1</v>
      </c>
      <c r="R326" s="9">
        <f t="shared" ca="1" si="51"/>
        <v>0</v>
      </c>
    </row>
    <row r="327" spans="2:18" x14ac:dyDescent="0.25">
      <c r="B327" s="17" t="s">
        <v>872</v>
      </c>
      <c r="C327" s="18" t="s">
        <v>873</v>
      </c>
      <c r="D327" s="7" t="e">
        <f ca="1">_xll.xlqPrice(C327)</f>
        <v>#NAME?</v>
      </c>
      <c r="E327" s="9" t="e">
        <f t="shared" ca="1" si="42"/>
        <v>#NAME?</v>
      </c>
      <c r="F327" s="9">
        <f t="shared" ca="1" si="43"/>
        <v>1</v>
      </c>
      <c r="G327" s="8">
        <f t="shared" ca="1" si="44"/>
        <v>0</v>
      </c>
      <c r="H327" s="8">
        <f t="shared" ca="1" si="45"/>
        <v>0</v>
      </c>
      <c r="I327" s="8">
        <f t="shared" ca="1" si="46"/>
        <v>0</v>
      </c>
      <c r="J327" s="6" t="e">
        <f ca="1">_xll.xlqxhSMA($C327,$L$4,$J$7,$K$3)</f>
        <v>#NAME?</v>
      </c>
      <c r="K327" s="7" t="e">
        <f ca="1">_xll.xlqhClose($C327,K$8,$K$3)</f>
        <v>#NAME?</v>
      </c>
      <c r="L327" s="7" t="e">
        <f ca="1">_xll.xlqhClose($C327,L$8,$K$3)</f>
        <v>#NAME?</v>
      </c>
      <c r="N327" s="9">
        <f t="shared" ca="1" si="47"/>
        <v>1</v>
      </c>
      <c r="O327" s="9">
        <f t="shared" ca="1" si="48"/>
        <v>1</v>
      </c>
      <c r="P327" s="9">
        <f t="shared" ca="1" si="49"/>
        <v>1</v>
      </c>
      <c r="Q327" s="9">
        <f t="shared" ca="1" si="50"/>
        <v>1</v>
      </c>
      <c r="R327" s="9">
        <f t="shared" ca="1" si="51"/>
        <v>0</v>
      </c>
    </row>
    <row r="328" spans="2:18" x14ac:dyDescent="0.25">
      <c r="B328" t="s">
        <v>1839</v>
      </c>
      <c r="C328" s="39" t="s">
        <v>1840</v>
      </c>
      <c r="D328" s="7" t="e">
        <f ca="1">_xll.xlqPrice(C328)</f>
        <v>#NAME?</v>
      </c>
      <c r="E328" s="9" t="e">
        <f t="shared" ca="1" si="42"/>
        <v>#NAME?</v>
      </c>
      <c r="F328" s="9">
        <f t="shared" ca="1" si="43"/>
        <v>1</v>
      </c>
      <c r="G328" s="8">
        <f t="shared" ca="1" si="44"/>
        <v>0</v>
      </c>
      <c r="H328" s="8">
        <f t="shared" ca="1" si="45"/>
        <v>0</v>
      </c>
      <c r="I328" s="8">
        <f t="shared" ca="1" si="46"/>
        <v>0</v>
      </c>
      <c r="J328" s="6" t="e">
        <f ca="1">_xll.xlqxhSMA($C328,$L$4,$J$7,$K$3)</f>
        <v>#NAME?</v>
      </c>
      <c r="K328" s="7" t="e">
        <f ca="1">_xll.xlqhClose($C328,K$8,$K$3)</f>
        <v>#NAME?</v>
      </c>
      <c r="L328" s="7" t="e">
        <f ca="1">_xll.xlqhClose($C328,L$8,$K$3)</f>
        <v>#NAME?</v>
      </c>
      <c r="N328" s="9">
        <f t="shared" ca="1" si="47"/>
        <v>1</v>
      </c>
      <c r="O328" s="9">
        <f t="shared" ca="1" si="48"/>
        <v>1</v>
      </c>
      <c r="P328" s="9">
        <f t="shared" ca="1" si="49"/>
        <v>1</v>
      </c>
      <c r="Q328" s="9">
        <f t="shared" ca="1" si="50"/>
        <v>1</v>
      </c>
      <c r="R328" s="9">
        <f t="shared" ca="1" si="51"/>
        <v>0</v>
      </c>
    </row>
    <row r="329" spans="2:18" x14ac:dyDescent="0.25">
      <c r="B329" s="17" t="s">
        <v>264</v>
      </c>
      <c r="C329" s="18" t="s">
        <v>265</v>
      </c>
      <c r="D329" s="7" t="e">
        <f ca="1">_xll.xlqPrice(C329)</f>
        <v>#NAME?</v>
      </c>
      <c r="E329" s="9" t="e">
        <f t="shared" ca="1" si="42"/>
        <v>#NAME?</v>
      </c>
      <c r="F329" s="9">
        <f t="shared" ca="1" si="43"/>
        <v>1</v>
      </c>
      <c r="G329" s="8">
        <f t="shared" ca="1" si="44"/>
        <v>0</v>
      </c>
      <c r="H329" s="8">
        <f t="shared" ca="1" si="45"/>
        <v>0</v>
      </c>
      <c r="I329" s="8">
        <f t="shared" ca="1" si="46"/>
        <v>0</v>
      </c>
      <c r="J329" s="6" t="e">
        <f ca="1">_xll.xlqxhSMA($C329,$L$4,$J$7,$K$3)</f>
        <v>#NAME?</v>
      </c>
      <c r="K329" s="7" t="e">
        <f ca="1">_xll.xlqhClose($C329,K$8,$K$3)</f>
        <v>#NAME?</v>
      </c>
      <c r="L329" s="7" t="e">
        <f ca="1">_xll.xlqhClose($C329,L$8,$K$3)</f>
        <v>#NAME?</v>
      </c>
      <c r="N329" s="9">
        <f t="shared" ca="1" si="47"/>
        <v>1</v>
      </c>
      <c r="O329" s="9">
        <f t="shared" ca="1" si="48"/>
        <v>1</v>
      </c>
      <c r="P329" s="9">
        <f t="shared" ca="1" si="49"/>
        <v>1</v>
      </c>
      <c r="Q329" s="9">
        <f t="shared" ca="1" si="50"/>
        <v>1</v>
      </c>
      <c r="R329" s="9">
        <f t="shared" ca="1" si="51"/>
        <v>0</v>
      </c>
    </row>
    <row r="330" spans="2:18" x14ac:dyDescent="0.25">
      <c r="B330" s="17" t="s">
        <v>2173</v>
      </c>
      <c r="C330" s="18" t="s">
        <v>2174</v>
      </c>
      <c r="D330" s="7" t="e">
        <f ca="1">_xll.xlqPrice(C330)</f>
        <v>#NAME?</v>
      </c>
      <c r="E330" s="9" t="e">
        <f t="shared" ca="1" si="42"/>
        <v>#NAME?</v>
      </c>
      <c r="F330" s="9">
        <f t="shared" ca="1" si="43"/>
        <v>1</v>
      </c>
      <c r="G330" s="8">
        <f t="shared" ca="1" si="44"/>
        <v>0</v>
      </c>
      <c r="H330" s="8">
        <f t="shared" ca="1" si="45"/>
        <v>0</v>
      </c>
      <c r="I330" s="8">
        <f t="shared" ca="1" si="46"/>
        <v>0</v>
      </c>
      <c r="J330" s="6" t="e">
        <f ca="1">_xll.xlqxhSMA($C330,$L$4,$J$7,$K$3)</f>
        <v>#NAME?</v>
      </c>
      <c r="K330" s="7" t="e">
        <f ca="1">_xll.xlqhClose($C330,K$8,$K$3)</f>
        <v>#NAME?</v>
      </c>
      <c r="L330" s="7" t="e">
        <f ca="1">_xll.xlqhClose($C330,L$8,$K$3)</f>
        <v>#NAME?</v>
      </c>
      <c r="N330" s="9">
        <f t="shared" ca="1" si="47"/>
        <v>1</v>
      </c>
      <c r="O330" s="9">
        <f t="shared" ca="1" si="48"/>
        <v>1</v>
      </c>
      <c r="P330" s="9">
        <f t="shared" ca="1" si="49"/>
        <v>1</v>
      </c>
      <c r="Q330" s="9">
        <f t="shared" ca="1" si="50"/>
        <v>1</v>
      </c>
      <c r="R330" s="9">
        <f t="shared" ca="1" si="51"/>
        <v>0</v>
      </c>
    </row>
    <row r="331" spans="2:18" x14ac:dyDescent="0.25">
      <c r="B331" s="17" t="s">
        <v>2045</v>
      </c>
      <c r="C331" s="18" t="s">
        <v>2046</v>
      </c>
      <c r="D331" s="7" t="e">
        <f ca="1">_xll.xlqPrice(C331)</f>
        <v>#NAME?</v>
      </c>
      <c r="E331" s="9" t="e">
        <f t="shared" ref="E331:E394" ca="1" si="52">IF(D331&gt;J331, "Buy","Cash")</f>
        <v>#NAME?</v>
      </c>
      <c r="F331" s="9">
        <f t="shared" ref="F331:F394" ca="1" si="53">RANK(I331,$I$11:$I$1138,0)</f>
        <v>1</v>
      </c>
      <c r="G331" s="8">
        <f t="shared" ref="G331:G394" ca="1" si="54">IFERROR(($D331-K331)/K331,0)</f>
        <v>0</v>
      </c>
      <c r="H331" s="8">
        <f t="shared" ref="H331:H394" ca="1" si="55">IFERROR(($D331-L331)/L331,0)</f>
        <v>0</v>
      </c>
      <c r="I331" s="8">
        <f t="shared" ref="I331:I394" ca="1" si="56">IFERROR((G331*$G$8)+(H331*$H$8),0)</f>
        <v>0</v>
      </c>
      <c r="J331" s="6" t="e">
        <f ca="1">_xll.xlqxhSMA($C331,$L$4,$J$7,$K$3)</f>
        <v>#NAME?</v>
      </c>
      <c r="K331" s="7" t="e">
        <f ca="1">_xll.xlqhClose($C331,K$8,$K$3)</f>
        <v>#NAME?</v>
      </c>
      <c r="L331" s="7" t="e">
        <f ca="1">_xll.xlqhClose($C331,L$8,$K$3)</f>
        <v>#NAME?</v>
      </c>
      <c r="N331" s="9">
        <f t="shared" ref="N331:N394" ca="1" si="57">RANK($G331,G$11:G$1138,0)</f>
        <v>1</v>
      </c>
      <c r="O331" s="9">
        <f t="shared" ref="O331:O394" ca="1" si="58">RANK($H331,H$11:H$1138,0)</f>
        <v>1</v>
      </c>
      <c r="P331" s="9">
        <f t="shared" ref="P331:P394" ca="1" si="59">RANK($I331,I$11:I$1138,0)</f>
        <v>1</v>
      </c>
      <c r="Q331" s="9">
        <f t="shared" ref="Q331:Q394" ca="1" si="60">RANK($P331,P$11:P$1138,1)</f>
        <v>1</v>
      </c>
      <c r="R331" s="9">
        <f t="shared" ref="R331:R394" ca="1" si="61">F331-Q331</f>
        <v>0</v>
      </c>
    </row>
    <row r="332" spans="2:18" x14ac:dyDescent="0.25">
      <c r="B332" s="17" t="s">
        <v>762</v>
      </c>
      <c r="C332" s="18" t="s">
        <v>763</v>
      </c>
      <c r="D332" s="7" t="e">
        <f ca="1">_xll.xlqPrice(C332)</f>
        <v>#NAME?</v>
      </c>
      <c r="E332" s="9" t="e">
        <f t="shared" ca="1" si="52"/>
        <v>#NAME?</v>
      </c>
      <c r="F332" s="9">
        <f t="shared" ca="1" si="53"/>
        <v>1</v>
      </c>
      <c r="G332" s="8">
        <f t="shared" ca="1" si="54"/>
        <v>0</v>
      </c>
      <c r="H332" s="8">
        <f t="shared" ca="1" si="55"/>
        <v>0</v>
      </c>
      <c r="I332" s="8">
        <f t="shared" ca="1" si="56"/>
        <v>0</v>
      </c>
      <c r="J332" s="6" t="e">
        <f ca="1">_xll.xlqxhSMA($C332,$L$4,$J$7,$K$3)</f>
        <v>#NAME?</v>
      </c>
      <c r="K332" s="7" t="e">
        <f ca="1">_xll.xlqhClose($C332,K$8,$K$3)</f>
        <v>#NAME?</v>
      </c>
      <c r="L332" s="7" t="e">
        <f ca="1">_xll.xlqhClose($C332,L$8,$K$3)</f>
        <v>#NAME?</v>
      </c>
      <c r="N332" s="9">
        <f t="shared" ca="1" si="57"/>
        <v>1</v>
      </c>
      <c r="O332" s="9">
        <f t="shared" ca="1" si="58"/>
        <v>1</v>
      </c>
      <c r="P332" s="9">
        <f t="shared" ca="1" si="59"/>
        <v>1</v>
      </c>
      <c r="Q332" s="9">
        <f t="shared" ca="1" si="60"/>
        <v>1</v>
      </c>
      <c r="R332" s="9">
        <f t="shared" ca="1" si="61"/>
        <v>0</v>
      </c>
    </row>
    <row r="333" spans="2:18" x14ac:dyDescent="0.25">
      <c r="B333" s="17" t="s">
        <v>1169</v>
      </c>
      <c r="C333" s="18" t="s">
        <v>1170</v>
      </c>
      <c r="D333" s="7" t="e">
        <f ca="1">_xll.xlqPrice(C333)</f>
        <v>#NAME?</v>
      </c>
      <c r="E333" s="9" t="e">
        <f t="shared" ca="1" si="52"/>
        <v>#NAME?</v>
      </c>
      <c r="F333" s="9">
        <f t="shared" ca="1" si="53"/>
        <v>1</v>
      </c>
      <c r="G333" s="8">
        <f t="shared" ca="1" si="54"/>
        <v>0</v>
      </c>
      <c r="H333" s="8">
        <f t="shared" ca="1" si="55"/>
        <v>0</v>
      </c>
      <c r="I333" s="8">
        <f t="shared" ca="1" si="56"/>
        <v>0</v>
      </c>
      <c r="J333" s="6" t="e">
        <f ca="1">_xll.xlqxhSMA($C333,$L$4,$J$7,$K$3)</f>
        <v>#NAME?</v>
      </c>
      <c r="K333" s="7" t="e">
        <f ca="1">_xll.xlqhClose($C333,K$8,$K$3)</f>
        <v>#NAME?</v>
      </c>
      <c r="L333" s="7" t="e">
        <f ca="1">_xll.xlqhClose($C333,L$8,$K$3)</f>
        <v>#NAME?</v>
      </c>
      <c r="N333" s="9">
        <f t="shared" ca="1" si="57"/>
        <v>1</v>
      </c>
      <c r="O333" s="9">
        <f t="shared" ca="1" si="58"/>
        <v>1</v>
      </c>
      <c r="P333" s="9">
        <f t="shared" ca="1" si="59"/>
        <v>1</v>
      </c>
      <c r="Q333" s="9">
        <f t="shared" ca="1" si="60"/>
        <v>1</v>
      </c>
      <c r="R333" s="9">
        <f t="shared" ca="1" si="61"/>
        <v>0</v>
      </c>
    </row>
    <row r="334" spans="2:18" x14ac:dyDescent="0.25">
      <c r="B334" s="17" t="s">
        <v>2215</v>
      </c>
      <c r="C334" s="18" t="s">
        <v>2216</v>
      </c>
      <c r="D334" s="7" t="e">
        <f ca="1">_xll.xlqPrice(C334)</f>
        <v>#NAME?</v>
      </c>
      <c r="E334" s="9" t="e">
        <f t="shared" ca="1" si="52"/>
        <v>#NAME?</v>
      </c>
      <c r="F334" s="9">
        <f t="shared" ca="1" si="53"/>
        <v>1</v>
      </c>
      <c r="G334" s="8">
        <f t="shared" ca="1" si="54"/>
        <v>0</v>
      </c>
      <c r="H334" s="8">
        <f t="shared" ca="1" si="55"/>
        <v>0</v>
      </c>
      <c r="I334" s="8">
        <f t="shared" ca="1" si="56"/>
        <v>0</v>
      </c>
      <c r="J334" s="6" t="e">
        <f ca="1">_xll.xlqxhSMA($C334,$L$4,$J$7,$K$3)</f>
        <v>#NAME?</v>
      </c>
      <c r="K334" s="7" t="e">
        <f ca="1">_xll.xlqhClose($C334,K$8,$K$3)</f>
        <v>#NAME?</v>
      </c>
      <c r="L334" s="7" t="e">
        <f ca="1">_xll.xlqhClose($C334,L$8,$K$3)</f>
        <v>#NAME?</v>
      </c>
      <c r="N334" s="9">
        <f t="shared" ca="1" si="57"/>
        <v>1</v>
      </c>
      <c r="O334" s="9">
        <f t="shared" ca="1" si="58"/>
        <v>1</v>
      </c>
      <c r="P334" s="9">
        <f t="shared" ca="1" si="59"/>
        <v>1</v>
      </c>
      <c r="Q334" s="9">
        <f t="shared" ca="1" si="60"/>
        <v>1</v>
      </c>
      <c r="R334" s="9">
        <f t="shared" ca="1" si="61"/>
        <v>0</v>
      </c>
    </row>
    <row r="335" spans="2:18" x14ac:dyDescent="0.25">
      <c r="B335" s="17" t="s">
        <v>618</v>
      </c>
      <c r="C335" s="18" t="s">
        <v>619</v>
      </c>
      <c r="D335" s="7" t="e">
        <f ca="1">_xll.xlqPrice(C335)</f>
        <v>#NAME?</v>
      </c>
      <c r="E335" s="9" t="e">
        <f t="shared" ca="1" si="52"/>
        <v>#NAME?</v>
      </c>
      <c r="F335" s="9">
        <f t="shared" ca="1" si="53"/>
        <v>1</v>
      </c>
      <c r="G335" s="8">
        <f t="shared" ca="1" si="54"/>
        <v>0</v>
      </c>
      <c r="H335" s="8">
        <f t="shared" ca="1" si="55"/>
        <v>0</v>
      </c>
      <c r="I335" s="8">
        <f t="shared" ca="1" si="56"/>
        <v>0</v>
      </c>
      <c r="J335" s="6" t="e">
        <f ca="1">_xll.xlqxhSMA($C335,$L$4,$J$7,$K$3)</f>
        <v>#NAME?</v>
      </c>
      <c r="K335" s="7" t="e">
        <f ca="1">_xll.xlqhClose($C335,K$8,$K$3)</f>
        <v>#NAME?</v>
      </c>
      <c r="L335" s="7" t="e">
        <f ca="1">_xll.xlqhClose($C335,L$8,$K$3)</f>
        <v>#NAME?</v>
      </c>
      <c r="N335" s="9">
        <f t="shared" ca="1" si="57"/>
        <v>1</v>
      </c>
      <c r="O335" s="9">
        <f t="shared" ca="1" si="58"/>
        <v>1</v>
      </c>
      <c r="P335" s="9">
        <f t="shared" ca="1" si="59"/>
        <v>1</v>
      </c>
      <c r="Q335" s="9">
        <f t="shared" ca="1" si="60"/>
        <v>1</v>
      </c>
      <c r="R335" s="9">
        <f t="shared" ca="1" si="61"/>
        <v>0</v>
      </c>
    </row>
    <row r="336" spans="2:18" x14ac:dyDescent="0.25">
      <c r="B336" s="17" t="s">
        <v>860</v>
      </c>
      <c r="C336" s="18" t="s">
        <v>861</v>
      </c>
      <c r="D336" s="7" t="e">
        <f ca="1">_xll.xlqPrice(C336)</f>
        <v>#NAME?</v>
      </c>
      <c r="E336" s="9" t="e">
        <f t="shared" ca="1" si="52"/>
        <v>#NAME?</v>
      </c>
      <c r="F336" s="9">
        <f t="shared" ca="1" si="53"/>
        <v>1</v>
      </c>
      <c r="G336" s="8">
        <f t="shared" ca="1" si="54"/>
        <v>0</v>
      </c>
      <c r="H336" s="8">
        <f t="shared" ca="1" si="55"/>
        <v>0</v>
      </c>
      <c r="I336" s="8">
        <f t="shared" ca="1" si="56"/>
        <v>0</v>
      </c>
      <c r="J336" s="6" t="e">
        <f ca="1">_xll.xlqxhSMA($C336,$L$4,$J$7,$K$3)</f>
        <v>#NAME?</v>
      </c>
      <c r="K336" s="7" t="e">
        <f ca="1">_xll.xlqhClose($C336,K$8,$K$3)</f>
        <v>#NAME?</v>
      </c>
      <c r="L336" s="7" t="e">
        <f ca="1">_xll.xlqhClose($C336,L$8,$K$3)</f>
        <v>#NAME?</v>
      </c>
      <c r="N336" s="9">
        <f t="shared" ca="1" si="57"/>
        <v>1</v>
      </c>
      <c r="O336" s="9">
        <f t="shared" ca="1" si="58"/>
        <v>1</v>
      </c>
      <c r="P336" s="9">
        <f t="shared" ca="1" si="59"/>
        <v>1</v>
      </c>
      <c r="Q336" s="9">
        <f t="shared" ca="1" si="60"/>
        <v>1</v>
      </c>
      <c r="R336" s="9">
        <f t="shared" ca="1" si="61"/>
        <v>0</v>
      </c>
    </row>
    <row r="337" spans="2:18" x14ac:dyDescent="0.25">
      <c r="B337" s="17" t="s">
        <v>1899</v>
      </c>
      <c r="C337" s="18" t="s">
        <v>1900</v>
      </c>
      <c r="D337" s="7" t="e">
        <f ca="1">_xll.xlqPrice(C337)</f>
        <v>#NAME?</v>
      </c>
      <c r="E337" s="9" t="e">
        <f t="shared" ca="1" si="52"/>
        <v>#NAME?</v>
      </c>
      <c r="F337" s="9">
        <f t="shared" ca="1" si="53"/>
        <v>1</v>
      </c>
      <c r="G337" s="8">
        <f t="shared" ca="1" si="54"/>
        <v>0</v>
      </c>
      <c r="H337" s="8">
        <f t="shared" ca="1" si="55"/>
        <v>0</v>
      </c>
      <c r="I337" s="8">
        <f t="shared" ca="1" si="56"/>
        <v>0</v>
      </c>
      <c r="J337" s="6" t="e">
        <f ca="1">_xll.xlqxhSMA($C337,$L$4,$J$7,$K$3)</f>
        <v>#NAME?</v>
      </c>
      <c r="K337" s="7" t="e">
        <f ca="1">_xll.xlqhClose($C337,K$8,$K$3)</f>
        <v>#NAME?</v>
      </c>
      <c r="L337" s="7" t="e">
        <f ca="1">_xll.xlqhClose($C337,L$8,$K$3)</f>
        <v>#NAME?</v>
      </c>
      <c r="N337" s="9">
        <f t="shared" ca="1" si="57"/>
        <v>1</v>
      </c>
      <c r="O337" s="9">
        <f t="shared" ca="1" si="58"/>
        <v>1</v>
      </c>
      <c r="P337" s="9">
        <f t="shared" ca="1" si="59"/>
        <v>1</v>
      </c>
      <c r="Q337" s="9">
        <f t="shared" ca="1" si="60"/>
        <v>1</v>
      </c>
      <c r="R337" s="9">
        <f t="shared" ca="1" si="61"/>
        <v>0</v>
      </c>
    </row>
    <row r="338" spans="2:18" x14ac:dyDescent="0.25">
      <c r="B338" s="17" t="s">
        <v>1779</v>
      </c>
      <c r="C338" s="18" t="s">
        <v>1780</v>
      </c>
      <c r="D338" s="7" t="e">
        <f ca="1">_xll.xlqPrice(C338)</f>
        <v>#NAME?</v>
      </c>
      <c r="E338" s="9" t="e">
        <f t="shared" ca="1" si="52"/>
        <v>#NAME?</v>
      </c>
      <c r="F338" s="9">
        <f t="shared" ca="1" si="53"/>
        <v>1</v>
      </c>
      <c r="G338" s="8">
        <f t="shared" ca="1" si="54"/>
        <v>0</v>
      </c>
      <c r="H338" s="8">
        <f t="shared" ca="1" si="55"/>
        <v>0</v>
      </c>
      <c r="I338" s="8">
        <f t="shared" ca="1" si="56"/>
        <v>0</v>
      </c>
      <c r="J338" s="6" t="e">
        <f ca="1">_xll.xlqxhSMA($C338,$L$4,$J$7,$K$3)</f>
        <v>#NAME?</v>
      </c>
      <c r="K338" s="7" t="e">
        <f ca="1">_xll.xlqhClose($C338,K$8,$K$3)</f>
        <v>#NAME?</v>
      </c>
      <c r="L338" s="7" t="e">
        <f ca="1">_xll.xlqhClose($C338,L$8,$K$3)</f>
        <v>#NAME?</v>
      </c>
      <c r="N338" s="9">
        <f t="shared" ca="1" si="57"/>
        <v>1</v>
      </c>
      <c r="O338" s="9">
        <f t="shared" ca="1" si="58"/>
        <v>1</v>
      </c>
      <c r="P338" s="9">
        <f t="shared" ca="1" si="59"/>
        <v>1</v>
      </c>
      <c r="Q338" s="9">
        <f t="shared" ca="1" si="60"/>
        <v>1</v>
      </c>
      <c r="R338" s="9">
        <f t="shared" ca="1" si="61"/>
        <v>0</v>
      </c>
    </row>
    <row r="339" spans="2:18" x14ac:dyDescent="0.25">
      <c r="B339" s="17" t="s">
        <v>2349</v>
      </c>
      <c r="C339" s="18" t="s">
        <v>2350</v>
      </c>
      <c r="D339" s="7" t="e">
        <f ca="1">_xll.xlqPrice(C339)</f>
        <v>#NAME?</v>
      </c>
      <c r="E339" s="9" t="e">
        <f t="shared" ca="1" si="52"/>
        <v>#NAME?</v>
      </c>
      <c r="F339" s="9">
        <f t="shared" ca="1" si="53"/>
        <v>1</v>
      </c>
      <c r="G339" s="8">
        <f t="shared" ca="1" si="54"/>
        <v>0</v>
      </c>
      <c r="H339" s="8">
        <f t="shared" ca="1" si="55"/>
        <v>0</v>
      </c>
      <c r="I339" s="8">
        <f t="shared" ca="1" si="56"/>
        <v>0</v>
      </c>
      <c r="J339" s="6" t="e">
        <f ca="1">_xll.xlqxhSMA($C339,$L$4,$J$7,$K$3)</f>
        <v>#NAME?</v>
      </c>
      <c r="K339" s="7" t="e">
        <f ca="1">_xll.xlqhClose($C339,K$8,$K$3)</f>
        <v>#NAME?</v>
      </c>
      <c r="L339" s="7" t="e">
        <f ca="1">_xll.xlqhClose($C339,L$8,$K$3)</f>
        <v>#NAME?</v>
      </c>
      <c r="N339" s="9">
        <f t="shared" ca="1" si="57"/>
        <v>1</v>
      </c>
      <c r="O339" s="9">
        <f t="shared" ca="1" si="58"/>
        <v>1</v>
      </c>
      <c r="P339" s="9">
        <f t="shared" ca="1" si="59"/>
        <v>1</v>
      </c>
      <c r="Q339" s="9">
        <f t="shared" ca="1" si="60"/>
        <v>1</v>
      </c>
      <c r="R339" s="9">
        <f t="shared" ca="1" si="61"/>
        <v>0</v>
      </c>
    </row>
    <row r="340" spans="2:18" x14ac:dyDescent="0.25">
      <c r="B340" t="s">
        <v>1349</v>
      </c>
      <c r="C340" s="39" t="s">
        <v>1350</v>
      </c>
      <c r="D340" s="7" t="e">
        <f ca="1">_xll.xlqPrice(C340)</f>
        <v>#NAME?</v>
      </c>
      <c r="E340" s="9" t="e">
        <f t="shared" ca="1" si="52"/>
        <v>#NAME?</v>
      </c>
      <c r="F340" s="9">
        <f t="shared" ca="1" si="53"/>
        <v>1</v>
      </c>
      <c r="G340" s="8">
        <f t="shared" ca="1" si="54"/>
        <v>0</v>
      </c>
      <c r="H340" s="8">
        <f t="shared" ca="1" si="55"/>
        <v>0</v>
      </c>
      <c r="I340" s="8">
        <f t="shared" ca="1" si="56"/>
        <v>0</v>
      </c>
      <c r="J340" s="6" t="e">
        <f ca="1">_xll.xlqxhSMA($C340,$L$4,$J$7,$K$3)</f>
        <v>#NAME?</v>
      </c>
      <c r="K340" s="7" t="e">
        <f ca="1">_xll.xlqhClose($C340,K$8,$K$3)</f>
        <v>#NAME?</v>
      </c>
      <c r="L340" s="7" t="e">
        <f ca="1">_xll.xlqhClose($C340,L$8,$K$3)</f>
        <v>#NAME?</v>
      </c>
      <c r="N340" s="9">
        <f t="shared" ca="1" si="57"/>
        <v>1</v>
      </c>
      <c r="O340" s="9">
        <f t="shared" ca="1" si="58"/>
        <v>1</v>
      </c>
      <c r="P340" s="9">
        <f t="shared" ca="1" si="59"/>
        <v>1</v>
      </c>
      <c r="Q340" s="9">
        <f t="shared" ca="1" si="60"/>
        <v>1</v>
      </c>
      <c r="R340" s="9">
        <f t="shared" ca="1" si="61"/>
        <v>0</v>
      </c>
    </row>
    <row r="341" spans="2:18" x14ac:dyDescent="0.25">
      <c r="B341" t="s">
        <v>2065</v>
      </c>
      <c r="C341" s="39" t="s">
        <v>2066</v>
      </c>
      <c r="D341" s="7" t="e">
        <f ca="1">_xll.xlqPrice(C341)</f>
        <v>#NAME?</v>
      </c>
      <c r="E341" s="9" t="e">
        <f t="shared" ca="1" si="52"/>
        <v>#NAME?</v>
      </c>
      <c r="F341" s="9">
        <f t="shared" ca="1" si="53"/>
        <v>1</v>
      </c>
      <c r="G341" s="8">
        <f t="shared" ca="1" si="54"/>
        <v>0</v>
      </c>
      <c r="H341" s="8">
        <f t="shared" ca="1" si="55"/>
        <v>0</v>
      </c>
      <c r="I341" s="8">
        <f t="shared" ca="1" si="56"/>
        <v>0</v>
      </c>
      <c r="J341" s="6" t="e">
        <f ca="1">_xll.xlqxhSMA($C341,$L$4,$J$7,$K$3)</f>
        <v>#NAME?</v>
      </c>
      <c r="K341" s="7" t="e">
        <f ca="1">_xll.xlqhClose($C341,K$8,$K$3)</f>
        <v>#NAME?</v>
      </c>
      <c r="L341" s="7" t="e">
        <f ca="1">_xll.xlqhClose($C341,L$8,$K$3)</f>
        <v>#NAME?</v>
      </c>
      <c r="N341" s="9">
        <f t="shared" ca="1" si="57"/>
        <v>1</v>
      </c>
      <c r="O341" s="9">
        <f t="shared" ca="1" si="58"/>
        <v>1</v>
      </c>
      <c r="P341" s="9">
        <f t="shared" ca="1" si="59"/>
        <v>1</v>
      </c>
      <c r="Q341" s="9">
        <f t="shared" ca="1" si="60"/>
        <v>1</v>
      </c>
      <c r="R341" s="9">
        <f t="shared" ca="1" si="61"/>
        <v>0</v>
      </c>
    </row>
    <row r="342" spans="2:18" x14ac:dyDescent="0.25">
      <c r="B342" s="17" t="s">
        <v>1829</v>
      </c>
      <c r="C342" s="18" t="s">
        <v>1830</v>
      </c>
      <c r="D342" s="7" t="e">
        <f ca="1">_xll.xlqPrice(C342)</f>
        <v>#NAME?</v>
      </c>
      <c r="E342" s="9" t="e">
        <f t="shared" ca="1" si="52"/>
        <v>#NAME?</v>
      </c>
      <c r="F342" s="9">
        <f t="shared" ca="1" si="53"/>
        <v>1</v>
      </c>
      <c r="G342" s="8">
        <f t="shared" ca="1" si="54"/>
        <v>0</v>
      </c>
      <c r="H342" s="8">
        <f t="shared" ca="1" si="55"/>
        <v>0</v>
      </c>
      <c r="I342" s="8">
        <f t="shared" ca="1" si="56"/>
        <v>0</v>
      </c>
      <c r="J342" s="6" t="e">
        <f ca="1">_xll.xlqxhSMA($C342,$L$4,$J$7,$K$3)</f>
        <v>#NAME?</v>
      </c>
      <c r="K342" s="7" t="e">
        <f ca="1">_xll.xlqhClose($C342,K$8,$K$3)</f>
        <v>#NAME?</v>
      </c>
      <c r="L342" s="7" t="e">
        <f ca="1">_xll.xlqhClose($C342,L$8,$K$3)</f>
        <v>#NAME?</v>
      </c>
      <c r="N342" s="9">
        <f t="shared" ca="1" si="57"/>
        <v>1</v>
      </c>
      <c r="O342" s="9">
        <f t="shared" ca="1" si="58"/>
        <v>1</v>
      </c>
      <c r="P342" s="9">
        <f t="shared" ca="1" si="59"/>
        <v>1</v>
      </c>
      <c r="Q342" s="9">
        <f t="shared" ca="1" si="60"/>
        <v>1</v>
      </c>
      <c r="R342" s="9">
        <f t="shared" ca="1" si="61"/>
        <v>0</v>
      </c>
    </row>
    <row r="343" spans="2:18" x14ac:dyDescent="0.25">
      <c r="B343" t="s">
        <v>1309</v>
      </c>
      <c r="C343" s="39" t="s">
        <v>1310</v>
      </c>
      <c r="D343" s="7" t="e">
        <f ca="1">_xll.xlqPrice(C343)</f>
        <v>#NAME?</v>
      </c>
      <c r="E343" s="9" t="e">
        <f t="shared" ca="1" si="52"/>
        <v>#NAME?</v>
      </c>
      <c r="F343" s="9">
        <f t="shared" ca="1" si="53"/>
        <v>1</v>
      </c>
      <c r="G343" s="8">
        <f t="shared" ca="1" si="54"/>
        <v>0</v>
      </c>
      <c r="H343" s="8">
        <f t="shared" ca="1" si="55"/>
        <v>0</v>
      </c>
      <c r="I343" s="8">
        <f t="shared" ca="1" si="56"/>
        <v>0</v>
      </c>
      <c r="J343" s="6" t="e">
        <f ca="1">_xll.xlqxhSMA($C343,$L$4,$J$7,$K$3)</f>
        <v>#NAME?</v>
      </c>
      <c r="K343" s="7" t="e">
        <f ca="1">_xll.xlqhClose($C343,K$8,$K$3)</f>
        <v>#NAME?</v>
      </c>
      <c r="L343" s="7" t="e">
        <f ca="1">_xll.xlqhClose($C343,L$8,$K$3)</f>
        <v>#NAME?</v>
      </c>
      <c r="N343" s="9">
        <f t="shared" ca="1" si="57"/>
        <v>1</v>
      </c>
      <c r="O343" s="9">
        <f t="shared" ca="1" si="58"/>
        <v>1</v>
      </c>
      <c r="P343" s="9">
        <f t="shared" ca="1" si="59"/>
        <v>1</v>
      </c>
      <c r="Q343" s="9">
        <f t="shared" ca="1" si="60"/>
        <v>1</v>
      </c>
      <c r="R343" s="9">
        <f t="shared" ca="1" si="61"/>
        <v>0</v>
      </c>
    </row>
    <row r="344" spans="2:18" x14ac:dyDescent="0.25">
      <c r="B344" s="17" t="s">
        <v>856</v>
      </c>
      <c r="C344" s="18" t="s">
        <v>857</v>
      </c>
      <c r="D344" s="7" t="e">
        <f ca="1">_xll.xlqPrice(C344)</f>
        <v>#NAME?</v>
      </c>
      <c r="E344" s="9" t="e">
        <f t="shared" ca="1" si="52"/>
        <v>#NAME?</v>
      </c>
      <c r="F344" s="9">
        <f t="shared" ca="1" si="53"/>
        <v>1</v>
      </c>
      <c r="G344" s="8">
        <f t="shared" ca="1" si="54"/>
        <v>0</v>
      </c>
      <c r="H344" s="8">
        <f t="shared" ca="1" si="55"/>
        <v>0</v>
      </c>
      <c r="I344" s="8">
        <f t="shared" ca="1" si="56"/>
        <v>0</v>
      </c>
      <c r="J344" s="6" t="e">
        <f ca="1">_xll.xlqxhSMA($C344,$L$4,$J$7,$K$3)</f>
        <v>#NAME?</v>
      </c>
      <c r="K344" s="7" t="e">
        <f ca="1">_xll.xlqhClose($C344,K$8,$K$3)</f>
        <v>#NAME?</v>
      </c>
      <c r="L344" s="7" t="e">
        <f ca="1">_xll.xlqhClose($C344,L$8,$K$3)</f>
        <v>#NAME?</v>
      </c>
      <c r="N344" s="9">
        <f t="shared" ca="1" si="57"/>
        <v>1</v>
      </c>
      <c r="O344" s="9">
        <f t="shared" ca="1" si="58"/>
        <v>1</v>
      </c>
      <c r="P344" s="9">
        <f t="shared" ca="1" si="59"/>
        <v>1</v>
      </c>
      <c r="Q344" s="9">
        <f t="shared" ca="1" si="60"/>
        <v>1</v>
      </c>
      <c r="R344" s="9">
        <f t="shared" ca="1" si="61"/>
        <v>0</v>
      </c>
    </row>
    <row r="345" spans="2:18" x14ac:dyDescent="0.25">
      <c r="B345" s="17" t="s">
        <v>1615</v>
      </c>
      <c r="C345" s="18" t="s">
        <v>1616</v>
      </c>
      <c r="D345" s="7" t="e">
        <f ca="1">_xll.xlqPrice(C345)</f>
        <v>#NAME?</v>
      </c>
      <c r="E345" s="9" t="e">
        <f t="shared" ca="1" si="52"/>
        <v>#NAME?</v>
      </c>
      <c r="F345" s="9">
        <f t="shared" ca="1" si="53"/>
        <v>1</v>
      </c>
      <c r="G345" s="8">
        <f t="shared" ca="1" si="54"/>
        <v>0</v>
      </c>
      <c r="H345" s="8">
        <f t="shared" ca="1" si="55"/>
        <v>0</v>
      </c>
      <c r="I345" s="8">
        <f t="shared" ca="1" si="56"/>
        <v>0</v>
      </c>
      <c r="J345" s="6" t="e">
        <f ca="1">_xll.xlqxhSMA($C345,$L$4,$J$7,$K$3)</f>
        <v>#NAME?</v>
      </c>
      <c r="K345" s="7" t="e">
        <f ca="1">_xll.xlqhClose($C345,K$8,$K$3)</f>
        <v>#NAME?</v>
      </c>
      <c r="L345" s="7" t="e">
        <f ca="1">_xll.xlqhClose($C345,L$8,$K$3)</f>
        <v>#NAME?</v>
      </c>
      <c r="N345" s="9">
        <f t="shared" ca="1" si="57"/>
        <v>1</v>
      </c>
      <c r="O345" s="9">
        <f t="shared" ca="1" si="58"/>
        <v>1</v>
      </c>
      <c r="P345" s="9">
        <f t="shared" ca="1" si="59"/>
        <v>1</v>
      </c>
      <c r="Q345" s="9">
        <f t="shared" ca="1" si="60"/>
        <v>1</v>
      </c>
      <c r="R345" s="9">
        <f t="shared" ca="1" si="61"/>
        <v>0</v>
      </c>
    </row>
    <row r="346" spans="2:18" x14ac:dyDescent="0.25">
      <c r="B346" s="17" t="s">
        <v>1361</v>
      </c>
      <c r="C346" s="18" t="s">
        <v>1362</v>
      </c>
      <c r="D346" s="7" t="e">
        <f ca="1">_xll.xlqPrice(C346)</f>
        <v>#NAME?</v>
      </c>
      <c r="E346" s="9" t="e">
        <f t="shared" ca="1" si="52"/>
        <v>#NAME?</v>
      </c>
      <c r="F346" s="9">
        <f t="shared" ca="1" si="53"/>
        <v>1</v>
      </c>
      <c r="G346" s="8">
        <f t="shared" ca="1" si="54"/>
        <v>0</v>
      </c>
      <c r="H346" s="8">
        <f t="shared" ca="1" si="55"/>
        <v>0</v>
      </c>
      <c r="I346" s="8">
        <f t="shared" ca="1" si="56"/>
        <v>0</v>
      </c>
      <c r="J346" s="6" t="e">
        <f ca="1">_xll.xlqxhSMA($C346,$L$4,$J$7,$K$3)</f>
        <v>#NAME?</v>
      </c>
      <c r="K346" s="7" t="e">
        <f ca="1">_xll.xlqhClose($C346,K$8,$K$3)</f>
        <v>#NAME?</v>
      </c>
      <c r="L346" s="7" t="e">
        <f ca="1">_xll.xlqhClose($C346,L$8,$K$3)</f>
        <v>#NAME?</v>
      </c>
      <c r="N346" s="9">
        <f t="shared" ca="1" si="57"/>
        <v>1</v>
      </c>
      <c r="O346" s="9">
        <f t="shared" ca="1" si="58"/>
        <v>1</v>
      </c>
      <c r="P346" s="9">
        <f t="shared" ca="1" si="59"/>
        <v>1</v>
      </c>
      <c r="Q346" s="9">
        <f t="shared" ca="1" si="60"/>
        <v>1</v>
      </c>
      <c r="R346" s="9">
        <f t="shared" ca="1" si="61"/>
        <v>0</v>
      </c>
    </row>
    <row r="347" spans="2:18" x14ac:dyDescent="0.25">
      <c r="B347" s="17" t="s">
        <v>1425</v>
      </c>
      <c r="C347" s="18" t="s">
        <v>1426</v>
      </c>
      <c r="D347" s="7" t="e">
        <f ca="1">_xll.xlqPrice(C347)</f>
        <v>#NAME?</v>
      </c>
      <c r="E347" s="9" t="e">
        <f t="shared" ca="1" si="52"/>
        <v>#NAME?</v>
      </c>
      <c r="F347" s="9">
        <f t="shared" ca="1" si="53"/>
        <v>1</v>
      </c>
      <c r="G347" s="8">
        <f t="shared" ca="1" si="54"/>
        <v>0</v>
      </c>
      <c r="H347" s="8">
        <f t="shared" ca="1" si="55"/>
        <v>0</v>
      </c>
      <c r="I347" s="8">
        <f t="shared" ca="1" si="56"/>
        <v>0</v>
      </c>
      <c r="J347" s="6" t="e">
        <f ca="1">_xll.xlqxhSMA($C347,$L$4,$J$7,$K$3)</f>
        <v>#NAME?</v>
      </c>
      <c r="K347" s="7" t="e">
        <f ca="1">_xll.xlqhClose($C347,K$8,$K$3)</f>
        <v>#NAME?</v>
      </c>
      <c r="L347" s="7" t="e">
        <f ca="1">_xll.xlqhClose($C347,L$8,$K$3)</f>
        <v>#NAME?</v>
      </c>
      <c r="N347" s="9">
        <f t="shared" ca="1" si="57"/>
        <v>1</v>
      </c>
      <c r="O347" s="9">
        <f t="shared" ca="1" si="58"/>
        <v>1</v>
      </c>
      <c r="P347" s="9">
        <f t="shared" ca="1" si="59"/>
        <v>1</v>
      </c>
      <c r="Q347" s="9">
        <f t="shared" ca="1" si="60"/>
        <v>1</v>
      </c>
      <c r="R347" s="9">
        <f t="shared" ca="1" si="61"/>
        <v>0</v>
      </c>
    </row>
    <row r="348" spans="2:18" x14ac:dyDescent="0.25">
      <c r="B348" s="17" t="s">
        <v>892</v>
      </c>
      <c r="C348" s="18" t="s">
        <v>893</v>
      </c>
      <c r="D348" s="7" t="e">
        <f ca="1">_xll.xlqPrice(C348)</f>
        <v>#NAME?</v>
      </c>
      <c r="E348" s="9" t="e">
        <f t="shared" ca="1" si="52"/>
        <v>#NAME?</v>
      </c>
      <c r="F348" s="9">
        <f t="shared" ca="1" si="53"/>
        <v>1</v>
      </c>
      <c r="G348" s="8">
        <f t="shared" ca="1" si="54"/>
        <v>0</v>
      </c>
      <c r="H348" s="8">
        <f t="shared" ca="1" si="55"/>
        <v>0</v>
      </c>
      <c r="I348" s="8">
        <f t="shared" ca="1" si="56"/>
        <v>0</v>
      </c>
      <c r="J348" s="6" t="e">
        <f ca="1">_xll.xlqxhSMA($C348,$L$4,$J$7,$K$3)</f>
        <v>#NAME?</v>
      </c>
      <c r="K348" s="7" t="e">
        <f ca="1">_xll.xlqhClose($C348,K$8,$K$3)</f>
        <v>#NAME?</v>
      </c>
      <c r="L348" s="7" t="e">
        <f ca="1">_xll.xlqhClose($C348,L$8,$K$3)</f>
        <v>#NAME?</v>
      </c>
      <c r="N348" s="9">
        <f t="shared" ca="1" si="57"/>
        <v>1</v>
      </c>
      <c r="O348" s="9">
        <f t="shared" ca="1" si="58"/>
        <v>1</v>
      </c>
      <c r="P348" s="9">
        <f t="shared" ca="1" si="59"/>
        <v>1</v>
      </c>
      <c r="Q348" s="9">
        <f t="shared" ca="1" si="60"/>
        <v>1</v>
      </c>
      <c r="R348" s="9">
        <f t="shared" ca="1" si="61"/>
        <v>0</v>
      </c>
    </row>
    <row r="349" spans="2:18" x14ac:dyDescent="0.25">
      <c r="B349" s="17" t="s">
        <v>1971</v>
      </c>
      <c r="C349" s="18" t="s">
        <v>1972</v>
      </c>
      <c r="D349" s="7" t="e">
        <f ca="1">_xll.xlqPrice(C349)</f>
        <v>#NAME?</v>
      </c>
      <c r="E349" s="9" t="e">
        <f t="shared" ca="1" si="52"/>
        <v>#NAME?</v>
      </c>
      <c r="F349" s="9">
        <f t="shared" ca="1" si="53"/>
        <v>1</v>
      </c>
      <c r="G349" s="8">
        <f t="shared" ca="1" si="54"/>
        <v>0</v>
      </c>
      <c r="H349" s="8">
        <f t="shared" ca="1" si="55"/>
        <v>0</v>
      </c>
      <c r="I349" s="8">
        <f t="shared" ca="1" si="56"/>
        <v>0</v>
      </c>
      <c r="J349" s="6" t="e">
        <f ca="1">_xll.xlqxhSMA($C349,$L$4,$J$7,$K$3)</f>
        <v>#NAME?</v>
      </c>
      <c r="K349" s="7" t="e">
        <f ca="1">_xll.xlqhClose($C349,K$8,$K$3)</f>
        <v>#NAME?</v>
      </c>
      <c r="L349" s="7" t="e">
        <f ca="1">_xll.xlqhClose($C349,L$8,$K$3)</f>
        <v>#NAME?</v>
      </c>
      <c r="N349" s="9">
        <f t="shared" ca="1" si="57"/>
        <v>1</v>
      </c>
      <c r="O349" s="9">
        <f t="shared" ca="1" si="58"/>
        <v>1</v>
      </c>
      <c r="P349" s="9">
        <f t="shared" ca="1" si="59"/>
        <v>1</v>
      </c>
      <c r="Q349" s="9">
        <f t="shared" ca="1" si="60"/>
        <v>1</v>
      </c>
      <c r="R349" s="9">
        <f t="shared" ca="1" si="61"/>
        <v>0</v>
      </c>
    </row>
    <row r="350" spans="2:18" x14ac:dyDescent="0.25">
      <c r="B350" t="s">
        <v>460</v>
      </c>
      <c r="C350" s="39" t="s">
        <v>461</v>
      </c>
      <c r="D350" s="7" t="e">
        <f ca="1">_xll.xlqPrice(C350)</f>
        <v>#NAME?</v>
      </c>
      <c r="E350" s="9" t="e">
        <f t="shared" ca="1" si="52"/>
        <v>#NAME?</v>
      </c>
      <c r="F350" s="9">
        <f t="shared" ca="1" si="53"/>
        <v>1</v>
      </c>
      <c r="G350" s="8">
        <f t="shared" ca="1" si="54"/>
        <v>0</v>
      </c>
      <c r="H350" s="8">
        <f t="shared" ca="1" si="55"/>
        <v>0</v>
      </c>
      <c r="I350" s="8">
        <f t="shared" ca="1" si="56"/>
        <v>0</v>
      </c>
      <c r="J350" s="6" t="e">
        <f ca="1">_xll.xlqxhSMA($C350,$L$4,$J$7,$K$3)</f>
        <v>#NAME?</v>
      </c>
      <c r="K350" s="7" t="e">
        <f ca="1">_xll.xlqhClose($C350,K$8,$K$3)</f>
        <v>#NAME?</v>
      </c>
      <c r="L350" s="7" t="e">
        <f ca="1">_xll.xlqhClose($C350,L$8,$K$3)</f>
        <v>#NAME?</v>
      </c>
      <c r="N350" s="9">
        <f t="shared" ca="1" si="57"/>
        <v>1</v>
      </c>
      <c r="O350" s="9">
        <f t="shared" ca="1" si="58"/>
        <v>1</v>
      </c>
      <c r="P350" s="9">
        <f t="shared" ca="1" si="59"/>
        <v>1</v>
      </c>
      <c r="Q350" s="9">
        <f t="shared" ca="1" si="60"/>
        <v>1</v>
      </c>
      <c r="R350" s="9">
        <f t="shared" ca="1" si="61"/>
        <v>0</v>
      </c>
    </row>
    <row r="351" spans="2:18" x14ac:dyDescent="0.25">
      <c r="B351" s="17" t="s">
        <v>993</v>
      </c>
      <c r="C351" s="18" t="s">
        <v>994</v>
      </c>
      <c r="D351" s="7" t="e">
        <f ca="1">_xll.xlqPrice(C351)</f>
        <v>#NAME?</v>
      </c>
      <c r="E351" s="9" t="e">
        <f t="shared" ca="1" si="52"/>
        <v>#NAME?</v>
      </c>
      <c r="F351" s="9">
        <f t="shared" ca="1" si="53"/>
        <v>1</v>
      </c>
      <c r="G351" s="8">
        <f t="shared" ca="1" si="54"/>
        <v>0</v>
      </c>
      <c r="H351" s="8">
        <f t="shared" ca="1" si="55"/>
        <v>0</v>
      </c>
      <c r="I351" s="8">
        <f t="shared" ca="1" si="56"/>
        <v>0</v>
      </c>
      <c r="J351" s="6" t="e">
        <f ca="1">_xll.xlqxhSMA($C351,$L$4,$J$7,$K$3)</f>
        <v>#NAME?</v>
      </c>
      <c r="K351" s="7" t="e">
        <f ca="1">_xll.xlqhClose($C351,K$8,$K$3)</f>
        <v>#NAME?</v>
      </c>
      <c r="L351" s="7" t="e">
        <f ca="1">_xll.xlqhClose($C351,L$8,$K$3)</f>
        <v>#NAME?</v>
      </c>
      <c r="N351" s="9">
        <f t="shared" ca="1" si="57"/>
        <v>1</v>
      </c>
      <c r="O351" s="9">
        <f t="shared" ca="1" si="58"/>
        <v>1</v>
      </c>
      <c r="P351" s="9">
        <f t="shared" ca="1" si="59"/>
        <v>1</v>
      </c>
      <c r="Q351" s="9">
        <f t="shared" ca="1" si="60"/>
        <v>1</v>
      </c>
      <c r="R351" s="9">
        <f t="shared" ca="1" si="61"/>
        <v>0</v>
      </c>
    </row>
    <row r="352" spans="2:18" x14ac:dyDescent="0.25">
      <c r="B352" s="17" t="s">
        <v>1065</v>
      </c>
      <c r="C352" s="18" t="s">
        <v>1066</v>
      </c>
      <c r="D352" s="7" t="e">
        <f ca="1">_xll.xlqPrice(C352)</f>
        <v>#NAME?</v>
      </c>
      <c r="E352" s="9" t="e">
        <f t="shared" ca="1" si="52"/>
        <v>#NAME?</v>
      </c>
      <c r="F352" s="9">
        <f t="shared" ca="1" si="53"/>
        <v>1</v>
      </c>
      <c r="G352" s="8">
        <f t="shared" ca="1" si="54"/>
        <v>0</v>
      </c>
      <c r="H352" s="8">
        <f t="shared" ca="1" si="55"/>
        <v>0</v>
      </c>
      <c r="I352" s="8">
        <f t="shared" ca="1" si="56"/>
        <v>0</v>
      </c>
      <c r="J352" s="6" t="e">
        <f ca="1">_xll.xlqxhSMA($C352,$L$4,$J$7,$K$3)</f>
        <v>#NAME?</v>
      </c>
      <c r="K352" s="7" t="e">
        <f ca="1">_xll.xlqhClose($C352,K$8,$K$3)</f>
        <v>#NAME?</v>
      </c>
      <c r="L352" s="7" t="e">
        <f ca="1">_xll.xlqhClose($C352,L$8,$K$3)</f>
        <v>#NAME?</v>
      </c>
      <c r="N352" s="9">
        <f t="shared" ca="1" si="57"/>
        <v>1</v>
      </c>
      <c r="O352" s="9">
        <f t="shared" ca="1" si="58"/>
        <v>1</v>
      </c>
      <c r="P352" s="9">
        <f t="shared" ca="1" si="59"/>
        <v>1</v>
      </c>
      <c r="Q352" s="9">
        <f t="shared" ca="1" si="60"/>
        <v>1</v>
      </c>
      <c r="R352" s="9">
        <f t="shared" ca="1" si="61"/>
        <v>0</v>
      </c>
    </row>
    <row r="353" spans="2:18" x14ac:dyDescent="0.25">
      <c r="B353" s="17" t="s">
        <v>1913</v>
      </c>
      <c r="C353" s="18" t="s">
        <v>1914</v>
      </c>
      <c r="D353" s="7" t="e">
        <f ca="1">_xll.xlqPrice(C353)</f>
        <v>#NAME?</v>
      </c>
      <c r="E353" s="9" t="e">
        <f t="shared" ca="1" si="52"/>
        <v>#NAME?</v>
      </c>
      <c r="F353" s="9">
        <f t="shared" ca="1" si="53"/>
        <v>1</v>
      </c>
      <c r="G353" s="8">
        <f t="shared" ca="1" si="54"/>
        <v>0</v>
      </c>
      <c r="H353" s="8">
        <f t="shared" ca="1" si="55"/>
        <v>0</v>
      </c>
      <c r="I353" s="8">
        <f t="shared" ca="1" si="56"/>
        <v>0</v>
      </c>
      <c r="J353" s="6" t="e">
        <f ca="1">_xll.xlqxhSMA($C353,$L$4,$J$7,$K$3)</f>
        <v>#NAME?</v>
      </c>
      <c r="K353" s="7" t="e">
        <f ca="1">_xll.xlqhClose($C353,K$8,$K$3)</f>
        <v>#NAME?</v>
      </c>
      <c r="L353" s="7" t="e">
        <f ca="1">_xll.xlqhClose($C353,L$8,$K$3)</f>
        <v>#NAME?</v>
      </c>
      <c r="N353" s="9">
        <f t="shared" ca="1" si="57"/>
        <v>1</v>
      </c>
      <c r="O353" s="9">
        <f t="shared" ca="1" si="58"/>
        <v>1</v>
      </c>
      <c r="P353" s="9">
        <f t="shared" ca="1" si="59"/>
        <v>1</v>
      </c>
      <c r="Q353" s="9">
        <f t="shared" ca="1" si="60"/>
        <v>1</v>
      </c>
      <c r="R353" s="9">
        <f t="shared" ca="1" si="61"/>
        <v>0</v>
      </c>
    </row>
    <row r="354" spans="2:18" x14ac:dyDescent="0.25">
      <c r="B354" s="17" t="s">
        <v>2009</v>
      </c>
      <c r="C354" s="18" t="s">
        <v>2010</v>
      </c>
      <c r="D354" s="7" t="e">
        <f ca="1">_xll.xlqPrice(C354)</f>
        <v>#NAME?</v>
      </c>
      <c r="E354" s="9" t="e">
        <f t="shared" ca="1" si="52"/>
        <v>#NAME?</v>
      </c>
      <c r="F354" s="9">
        <f t="shared" ca="1" si="53"/>
        <v>1</v>
      </c>
      <c r="G354" s="8">
        <f t="shared" ca="1" si="54"/>
        <v>0</v>
      </c>
      <c r="H354" s="8">
        <f t="shared" ca="1" si="55"/>
        <v>0</v>
      </c>
      <c r="I354" s="8">
        <f t="shared" ca="1" si="56"/>
        <v>0</v>
      </c>
      <c r="J354" s="6" t="e">
        <f ca="1">_xll.xlqxhSMA($C354,$L$4,$J$7,$K$3)</f>
        <v>#NAME?</v>
      </c>
      <c r="K354" s="7" t="e">
        <f ca="1">_xll.xlqhClose($C354,K$8,$K$3)</f>
        <v>#NAME?</v>
      </c>
      <c r="L354" s="7" t="e">
        <f ca="1">_xll.xlqhClose($C354,L$8,$K$3)</f>
        <v>#NAME?</v>
      </c>
      <c r="N354" s="9">
        <f t="shared" ca="1" si="57"/>
        <v>1</v>
      </c>
      <c r="O354" s="9">
        <f t="shared" ca="1" si="58"/>
        <v>1</v>
      </c>
      <c r="P354" s="9">
        <f t="shared" ca="1" si="59"/>
        <v>1</v>
      </c>
      <c r="Q354" s="9">
        <f t="shared" ca="1" si="60"/>
        <v>1</v>
      </c>
      <c r="R354" s="9">
        <f t="shared" ca="1" si="61"/>
        <v>0</v>
      </c>
    </row>
    <row r="355" spans="2:18" x14ac:dyDescent="0.25">
      <c r="B355" s="17" t="s">
        <v>1269</v>
      </c>
      <c r="C355" s="18" t="s">
        <v>1270</v>
      </c>
      <c r="D355" s="7" t="e">
        <f ca="1">_xll.xlqPrice(C355)</f>
        <v>#NAME?</v>
      </c>
      <c r="E355" s="9" t="e">
        <f t="shared" ca="1" si="52"/>
        <v>#NAME?</v>
      </c>
      <c r="F355" s="9">
        <f t="shared" ca="1" si="53"/>
        <v>1</v>
      </c>
      <c r="G355" s="8">
        <f t="shared" ca="1" si="54"/>
        <v>0</v>
      </c>
      <c r="H355" s="8">
        <f t="shared" ca="1" si="55"/>
        <v>0</v>
      </c>
      <c r="I355" s="8">
        <f t="shared" ca="1" si="56"/>
        <v>0</v>
      </c>
      <c r="J355" s="6" t="e">
        <f ca="1">_xll.xlqxhSMA($C355,$L$4,$J$7,$K$3)</f>
        <v>#NAME?</v>
      </c>
      <c r="K355" s="7" t="e">
        <f ca="1">_xll.xlqhClose($C355,K$8,$K$3)</f>
        <v>#NAME?</v>
      </c>
      <c r="L355" s="7" t="e">
        <f ca="1">_xll.xlqhClose($C355,L$8,$K$3)</f>
        <v>#NAME?</v>
      </c>
      <c r="N355" s="9">
        <f t="shared" ca="1" si="57"/>
        <v>1</v>
      </c>
      <c r="O355" s="9">
        <f t="shared" ca="1" si="58"/>
        <v>1</v>
      </c>
      <c r="P355" s="9">
        <f t="shared" ca="1" si="59"/>
        <v>1</v>
      </c>
      <c r="Q355" s="9">
        <f t="shared" ca="1" si="60"/>
        <v>1</v>
      </c>
      <c r="R355" s="9">
        <f t="shared" ca="1" si="61"/>
        <v>0</v>
      </c>
    </row>
    <row r="356" spans="2:18" x14ac:dyDescent="0.25">
      <c r="B356" s="17" t="s">
        <v>534</v>
      </c>
      <c r="C356" s="18" t="s">
        <v>535</v>
      </c>
      <c r="D356" s="7" t="e">
        <f ca="1">_xll.xlqPrice(C356)</f>
        <v>#NAME?</v>
      </c>
      <c r="E356" s="9" t="e">
        <f t="shared" ca="1" si="52"/>
        <v>#NAME?</v>
      </c>
      <c r="F356" s="9">
        <f t="shared" ca="1" si="53"/>
        <v>1</v>
      </c>
      <c r="G356" s="8">
        <f t="shared" ca="1" si="54"/>
        <v>0</v>
      </c>
      <c r="H356" s="8">
        <f t="shared" ca="1" si="55"/>
        <v>0</v>
      </c>
      <c r="I356" s="8">
        <f t="shared" ca="1" si="56"/>
        <v>0</v>
      </c>
      <c r="J356" s="6" t="e">
        <f ca="1">_xll.xlqxhSMA($C356,$L$4,$J$7,$K$3)</f>
        <v>#NAME?</v>
      </c>
      <c r="K356" s="7" t="e">
        <f ca="1">_xll.xlqhClose($C356,K$8,$K$3)</f>
        <v>#NAME?</v>
      </c>
      <c r="L356" s="7" t="e">
        <f ca="1">_xll.xlqhClose($C356,L$8,$K$3)</f>
        <v>#NAME?</v>
      </c>
      <c r="N356" s="9">
        <f t="shared" ca="1" si="57"/>
        <v>1</v>
      </c>
      <c r="O356" s="9">
        <f t="shared" ca="1" si="58"/>
        <v>1</v>
      </c>
      <c r="P356" s="9">
        <f t="shared" ca="1" si="59"/>
        <v>1</v>
      </c>
      <c r="Q356" s="9">
        <f t="shared" ca="1" si="60"/>
        <v>1</v>
      </c>
      <c r="R356" s="9">
        <f t="shared" ca="1" si="61"/>
        <v>0</v>
      </c>
    </row>
    <row r="357" spans="2:18" x14ac:dyDescent="0.25">
      <c r="B357" s="17" t="s">
        <v>38</v>
      </c>
      <c r="C357" s="18" t="s">
        <v>9</v>
      </c>
      <c r="D357" s="7" t="e">
        <f ca="1">_xll.xlqPrice(C357)</f>
        <v>#NAME?</v>
      </c>
      <c r="E357" s="9" t="e">
        <f t="shared" ca="1" si="52"/>
        <v>#NAME?</v>
      </c>
      <c r="F357" s="9">
        <f t="shared" ca="1" si="53"/>
        <v>1</v>
      </c>
      <c r="G357" s="8">
        <f t="shared" ca="1" si="54"/>
        <v>0</v>
      </c>
      <c r="H357" s="8">
        <f t="shared" ca="1" si="55"/>
        <v>0</v>
      </c>
      <c r="I357" s="8">
        <f t="shared" ca="1" si="56"/>
        <v>0</v>
      </c>
      <c r="J357" s="6" t="e">
        <f ca="1">_xll.xlqxhSMA($C357,$L$4,$J$7,$K$3)</f>
        <v>#NAME?</v>
      </c>
      <c r="K357" s="7" t="e">
        <f ca="1">_xll.xlqhClose($C357,K$8,$K$3)</f>
        <v>#NAME?</v>
      </c>
      <c r="L357" s="7" t="e">
        <f ca="1">_xll.xlqhClose($C357,L$8,$K$3)</f>
        <v>#NAME?</v>
      </c>
      <c r="N357" s="9">
        <f t="shared" ca="1" si="57"/>
        <v>1</v>
      </c>
      <c r="O357" s="9">
        <f t="shared" ca="1" si="58"/>
        <v>1</v>
      </c>
      <c r="P357" s="9">
        <f t="shared" ca="1" si="59"/>
        <v>1</v>
      </c>
      <c r="Q357" s="9">
        <f t="shared" ca="1" si="60"/>
        <v>1</v>
      </c>
      <c r="R357" s="9">
        <f t="shared" ca="1" si="61"/>
        <v>0</v>
      </c>
    </row>
    <row r="358" spans="2:18" x14ac:dyDescent="0.25">
      <c r="B358" s="17" t="s">
        <v>196</v>
      </c>
      <c r="C358" s="18" t="s">
        <v>197</v>
      </c>
      <c r="D358" s="7" t="e">
        <f ca="1">_xll.xlqPrice(C358)</f>
        <v>#NAME?</v>
      </c>
      <c r="E358" s="9" t="e">
        <f t="shared" ca="1" si="52"/>
        <v>#NAME?</v>
      </c>
      <c r="F358" s="9">
        <f t="shared" ca="1" si="53"/>
        <v>1</v>
      </c>
      <c r="G358" s="8">
        <f t="shared" ca="1" si="54"/>
        <v>0</v>
      </c>
      <c r="H358" s="8">
        <f t="shared" ca="1" si="55"/>
        <v>0</v>
      </c>
      <c r="I358" s="8">
        <f t="shared" ca="1" si="56"/>
        <v>0</v>
      </c>
      <c r="J358" s="6" t="e">
        <f ca="1">_xll.xlqxhSMA($C358,$L$4,$J$7,$K$3)</f>
        <v>#NAME?</v>
      </c>
      <c r="K358" s="7" t="e">
        <f ca="1">_xll.xlqhClose($C358,K$8,$K$3)</f>
        <v>#NAME?</v>
      </c>
      <c r="L358" s="7" t="e">
        <f ca="1">_xll.xlqhClose($C358,L$8,$K$3)</f>
        <v>#NAME?</v>
      </c>
      <c r="N358" s="9">
        <f t="shared" ca="1" si="57"/>
        <v>1</v>
      </c>
      <c r="O358" s="9">
        <f t="shared" ca="1" si="58"/>
        <v>1</v>
      </c>
      <c r="P358" s="9">
        <f t="shared" ca="1" si="59"/>
        <v>1</v>
      </c>
      <c r="Q358" s="9">
        <f t="shared" ca="1" si="60"/>
        <v>1</v>
      </c>
      <c r="R358" s="9">
        <f t="shared" ca="1" si="61"/>
        <v>0</v>
      </c>
    </row>
    <row r="359" spans="2:18" x14ac:dyDescent="0.25">
      <c r="B359" s="17" t="s">
        <v>442</v>
      </c>
      <c r="C359" s="18" t="s">
        <v>443</v>
      </c>
      <c r="D359" s="7" t="e">
        <f ca="1">_xll.xlqPrice(C359)</f>
        <v>#NAME?</v>
      </c>
      <c r="E359" s="9" t="e">
        <f t="shared" ca="1" si="52"/>
        <v>#NAME?</v>
      </c>
      <c r="F359" s="9">
        <f t="shared" ca="1" si="53"/>
        <v>1</v>
      </c>
      <c r="G359" s="8">
        <f t="shared" ca="1" si="54"/>
        <v>0</v>
      </c>
      <c r="H359" s="8">
        <f t="shared" ca="1" si="55"/>
        <v>0</v>
      </c>
      <c r="I359" s="8">
        <f t="shared" ca="1" si="56"/>
        <v>0</v>
      </c>
      <c r="J359" s="6" t="e">
        <f ca="1">_xll.xlqxhSMA($C359,$L$4,$J$7,$K$3)</f>
        <v>#NAME?</v>
      </c>
      <c r="K359" s="7" t="e">
        <f ca="1">_xll.xlqhClose($C359,K$8,$K$3)</f>
        <v>#NAME?</v>
      </c>
      <c r="L359" s="7" t="e">
        <f ca="1">_xll.xlqhClose($C359,L$8,$K$3)</f>
        <v>#NAME?</v>
      </c>
      <c r="N359" s="9">
        <f t="shared" ca="1" si="57"/>
        <v>1</v>
      </c>
      <c r="O359" s="9">
        <f t="shared" ca="1" si="58"/>
        <v>1</v>
      </c>
      <c r="P359" s="9">
        <f t="shared" ca="1" si="59"/>
        <v>1</v>
      </c>
      <c r="Q359" s="9">
        <f t="shared" ca="1" si="60"/>
        <v>1</v>
      </c>
      <c r="R359" s="9">
        <f t="shared" ca="1" si="61"/>
        <v>0</v>
      </c>
    </row>
    <row r="360" spans="2:18" x14ac:dyDescent="0.25">
      <c r="B360" s="17" t="s">
        <v>2213</v>
      </c>
      <c r="C360" s="18" t="s">
        <v>2214</v>
      </c>
      <c r="D360" s="7" t="e">
        <f ca="1">_xll.xlqPrice(C360)</f>
        <v>#NAME?</v>
      </c>
      <c r="E360" s="9" t="e">
        <f t="shared" ca="1" si="52"/>
        <v>#NAME?</v>
      </c>
      <c r="F360" s="9">
        <f t="shared" ca="1" si="53"/>
        <v>1</v>
      </c>
      <c r="G360" s="8">
        <f t="shared" ca="1" si="54"/>
        <v>0</v>
      </c>
      <c r="H360" s="8">
        <f t="shared" ca="1" si="55"/>
        <v>0</v>
      </c>
      <c r="I360" s="8">
        <f t="shared" ca="1" si="56"/>
        <v>0</v>
      </c>
      <c r="J360" s="6" t="e">
        <f ca="1">_xll.xlqxhSMA($C360,$L$4,$J$7,$K$3)</f>
        <v>#NAME?</v>
      </c>
      <c r="K360" s="7" t="e">
        <f ca="1">_xll.xlqhClose($C360,K$8,$K$3)</f>
        <v>#NAME?</v>
      </c>
      <c r="L360" s="7" t="e">
        <f ca="1">_xll.xlqhClose($C360,L$8,$K$3)</f>
        <v>#NAME?</v>
      </c>
      <c r="N360" s="9">
        <f t="shared" ca="1" si="57"/>
        <v>1</v>
      </c>
      <c r="O360" s="9">
        <f t="shared" ca="1" si="58"/>
        <v>1</v>
      </c>
      <c r="P360" s="9">
        <f t="shared" ca="1" si="59"/>
        <v>1</v>
      </c>
      <c r="Q360" s="9">
        <f t="shared" ca="1" si="60"/>
        <v>1</v>
      </c>
      <c r="R360" s="9">
        <f t="shared" ca="1" si="61"/>
        <v>0</v>
      </c>
    </row>
    <row r="361" spans="2:18" x14ac:dyDescent="0.25">
      <c r="B361" t="s">
        <v>1203</v>
      </c>
      <c r="C361" s="39" t="s">
        <v>1204</v>
      </c>
      <c r="D361" s="7" t="e">
        <f ca="1">_xll.xlqPrice(C361)</f>
        <v>#NAME?</v>
      </c>
      <c r="E361" s="9" t="e">
        <f t="shared" ca="1" si="52"/>
        <v>#NAME?</v>
      </c>
      <c r="F361" s="9">
        <f t="shared" ca="1" si="53"/>
        <v>1</v>
      </c>
      <c r="G361" s="8">
        <f t="shared" ca="1" si="54"/>
        <v>0</v>
      </c>
      <c r="H361" s="8">
        <f t="shared" ca="1" si="55"/>
        <v>0</v>
      </c>
      <c r="I361" s="8">
        <f t="shared" ca="1" si="56"/>
        <v>0</v>
      </c>
      <c r="J361" s="6" t="e">
        <f ca="1">_xll.xlqxhSMA($C361,$L$4,$J$7,$K$3)</f>
        <v>#NAME?</v>
      </c>
      <c r="K361" s="7" t="e">
        <f ca="1">_xll.xlqhClose($C361,K$8,$K$3)</f>
        <v>#NAME?</v>
      </c>
      <c r="L361" s="7" t="e">
        <f ca="1">_xll.xlqhClose($C361,L$8,$K$3)</f>
        <v>#NAME?</v>
      </c>
      <c r="N361" s="9">
        <f t="shared" ca="1" si="57"/>
        <v>1</v>
      </c>
      <c r="O361" s="9">
        <f t="shared" ca="1" si="58"/>
        <v>1</v>
      </c>
      <c r="P361" s="9">
        <f t="shared" ca="1" si="59"/>
        <v>1</v>
      </c>
      <c r="Q361" s="9">
        <f t="shared" ca="1" si="60"/>
        <v>1</v>
      </c>
      <c r="R361" s="9">
        <f t="shared" ca="1" si="61"/>
        <v>0</v>
      </c>
    </row>
    <row r="362" spans="2:18" x14ac:dyDescent="0.25">
      <c r="B362" s="17" t="s">
        <v>620</v>
      </c>
      <c r="C362" s="18" t="s">
        <v>621</v>
      </c>
      <c r="D362" s="7" t="e">
        <f ca="1">_xll.xlqPrice(C362)</f>
        <v>#NAME?</v>
      </c>
      <c r="E362" s="9" t="e">
        <f t="shared" ca="1" si="52"/>
        <v>#NAME?</v>
      </c>
      <c r="F362" s="9">
        <f t="shared" ca="1" si="53"/>
        <v>1</v>
      </c>
      <c r="G362" s="8">
        <f t="shared" ca="1" si="54"/>
        <v>0</v>
      </c>
      <c r="H362" s="8">
        <f t="shared" ca="1" si="55"/>
        <v>0</v>
      </c>
      <c r="I362" s="8">
        <f t="shared" ca="1" si="56"/>
        <v>0</v>
      </c>
      <c r="J362" s="6" t="e">
        <f ca="1">_xll.xlqxhSMA($C362,$L$4,$J$7,$K$3)</f>
        <v>#NAME?</v>
      </c>
      <c r="K362" s="7" t="e">
        <f ca="1">_xll.xlqhClose($C362,K$8,$K$3)</f>
        <v>#NAME?</v>
      </c>
      <c r="L362" s="7" t="e">
        <f ca="1">_xll.xlqhClose($C362,L$8,$K$3)</f>
        <v>#NAME?</v>
      </c>
      <c r="N362" s="9">
        <f t="shared" ca="1" si="57"/>
        <v>1</v>
      </c>
      <c r="O362" s="9">
        <f t="shared" ca="1" si="58"/>
        <v>1</v>
      </c>
      <c r="P362" s="9">
        <f t="shared" ca="1" si="59"/>
        <v>1</v>
      </c>
      <c r="Q362" s="9">
        <f t="shared" ca="1" si="60"/>
        <v>1</v>
      </c>
      <c r="R362" s="9">
        <f t="shared" ca="1" si="61"/>
        <v>0</v>
      </c>
    </row>
    <row r="363" spans="2:18" x14ac:dyDescent="0.25">
      <c r="B363" s="17" t="s">
        <v>1455</v>
      </c>
      <c r="C363" s="18" t="s">
        <v>1456</v>
      </c>
      <c r="D363" s="7" t="e">
        <f ca="1">_xll.xlqPrice(C363)</f>
        <v>#NAME?</v>
      </c>
      <c r="E363" s="9" t="e">
        <f t="shared" ca="1" si="52"/>
        <v>#NAME?</v>
      </c>
      <c r="F363" s="9">
        <f t="shared" ca="1" si="53"/>
        <v>1</v>
      </c>
      <c r="G363" s="8">
        <f t="shared" ca="1" si="54"/>
        <v>0</v>
      </c>
      <c r="H363" s="8">
        <f t="shared" ca="1" si="55"/>
        <v>0</v>
      </c>
      <c r="I363" s="8">
        <f t="shared" ca="1" si="56"/>
        <v>0</v>
      </c>
      <c r="J363" s="6" t="e">
        <f ca="1">_xll.xlqxhSMA($C363,$L$4,$J$7,$K$3)</f>
        <v>#NAME?</v>
      </c>
      <c r="K363" s="7" t="e">
        <f ca="1">_xll.xlqhClose($C363,K$8,$K$3)</f>
        <v>#NAME?</v>
      </c>
      <c r="L363" s="7" t="e">
        <f ca="1">_xll.xlqhClose($C363,L$8,$K$3)</f>
        <v>#NAME?</v>
      </c>
      <c r="N363" s="9">
        <f t="shared" ca="1" si="57"/>
        <v>1</v>
      </c>
      <c r="O363" s="9">
        <f t="shared" ca="1" si="58"/>
        <v>1</v>
      </c>
      <c r="P363" s="9">
        <f t="shared" ca="1" si="59"/>
        <v>1</v>
      </c>
      <c r="Q363" s="9">
        <f t="shared" ca="1" si="60"/>
        <v>1</v>
      </c>
      <c r="R363" s="9">
        <f t="shared" ca="1" si="61"/>
        <v>0</v>
      </c>
    </row>
    <row r="364" spans="2:18" x14ac:dyDescent="0.25">
      <c r="B364" s="17" t="s">
        <v>1403</v>
      </c>
      <c r="C364" s="18" t="s">
        <v>1404</v>
      </c>
      <c r="D364" s="7" t="e">
        <f ca="1">_xll.xlqPrice(C364)</f>
        <v>#NAME?</v>
      </c>
      <c r="E364" s="9" t="e">
        <f t="shared" ca="1" si="52"/>
        <v>#NAME?</v>
      </c>
      <c r="F364" s="9">
        <f t="shared" ca="1" si="53"/>
        <v>1</v>
      </c>
      <c r="G364" s="8">
        <f t="shared" ca="1" si="54"/>
        <v>0</v>
      </c>
      <c r="H364" s="8">
        <f t="shared" ca="1" si="55"/>
        <v>0</v>
      </c>
      <c r="I364" s="8">
        <f t="shared" ca="1" si="56"/>
        <v>0</v>
      </c>
      <c r="J364" s="6" t="e">
        <f ca="1">_xll.xlqxhSMA($C364,$L$4,$J$7,$K$3)</f>
        <v>#NAME?</v>
      </c>
      <c r="K364" s="7" t="e">
        <f ca="1">_xll.xlqhClose($C364,K$8,$K$3)</f>
        <v>#NAME?</v>
      </c>
      <c r="L364" s="7" t="e">
        <f ca="1">_xll.xlqhClose($C364,L$8,$K$3)</f>
        <v>#NAME?</v>
      </c>
      <c r="N364" s="9">
        <f t="shared" ca="1" si="57"/>
        <v>1</v>
      </c>
      <c r="O364" s="9">
        <f t="shared" ca="1" si="58"/>
        <v>1</v>
      </c>
      <c r="P364" s="9">
        <f t="shared" ca="1" si="59"/>
        <v>1</v>
      </c>
      <c r="Q364" s="9">
        <f t="shared" ca="1" si="60"/>
        <v>1</v>
      </c>
      <c r="R364" s="9">
        <f t="shared" ca="1" si="61"/>
        <v>0</v>
      </c>
    </row>
    <row r="365" spans="2:18" x14ac:dyDescent="0.25">
      <c r="B365" s="17" t="s">
        <v>1895</v>
      </c>
      <c r="C365" s="18" t="s">
        <v>1896</v>
      </c>
      <c r="D365" s="7" t="e">
        <f ca="1">_xll.xlqPrice(C365)</f>
        <v>#NAME?</v>
      </c>
      <c r="E365" s="9" t="e">
        <f t="shared" ca="1" si="52"/>
        <v>#NAME?</v>
      </c>
      <c r="F365" s="9">
        <f t="shared" ca="1" si="53"/>
        <v>1</v>
      </c>
      <c r="G365" s="8">
        <f t="shared" ca="1" si="54"/>
        <v>0</v>
      </c>
      <c r="H365" s="8">
        <f t="shared" ca="1" si="55"/>
        <v>0</v>
      </c>
      <c r="I365" s="8">
        <f t="shared" ca="1" si="56"/>
        <v>0</v>
      </c>
      <c r="J365" s="6" t="e">
        <f ca="1">_xll.xlqxhSMA($C365,$L$4,$J$7,$K$3)</f>
        <v>#NAME?</v>
      </c>
      <c r="K365" s="7" t="e">
        <f ca="1">_xll.xlqhClose($C365,K$8,$K$3)</f>
        <v>#NAME?</v>
      </c>
      <c r="L365" s="7" t="e">
        <f ca="1">_xll.xlqhClose($C365,L$8,$K$3)</f>
        <v>#NAME?</v>
      </c>
      <c r="N365" s="9">
        <f t="shared" ca="1" si="57"/>
        <v>1</v>
      </c>
      <c r="O365" s="9">
        <f t="shared" ca="1" si="58"/>
        <v>1</v>
      </c>
      <c r="P365" s="9">
        <f t="shared" ca="1" si="59"/>
        <v>1</v>
      </c>
      <c r="Q365" s="9">
        <f t="shared" ca="1" si="60"/>
        <v>1</v>
      </c>
      <c r="R365" s="9">
        <f t="shared" ca="1" si="61"/>
        <v>0</v>
      </c>
    </row>
    <row r="366" spans="2:18" x14ac:dyDescent="0.25">
      <c r="B366" s="17" t="s">
        <v>340</v>
      </c>
      <c r="C366" s="18" t="s">
        <v>341</v>
      </c>
      <c r="D366" s="7" t="e">
        <f ca="1">_xll.xlqPrice(C366)</f>
        <v>#NAME?</v>
      </c>
      <c r="E366" s="9" t="e">
        <f t="shared" ca="1" si="52"/>
        <v>#NAME?</v>
      </c>
      <c r="F366" s="9">
        <f t="shared" ca="1" si="53"/>
        <v>1</v>
      </c>
      <c r="G366" s="8">
        <f t="shared" ca="1" si="54"/>
        <v>0</v>
      </c>
      <c r="H366" s="8">
        <f t="shared" ca="1" si="55"/>
        <v>0</v>
      </c>
      <c r="I366" s="8">
        <f t="shared" ca="1" si="56"/>
        <v>0</v>
      </c>
      <c r="J366" s="6" t="e">
        <f ca="1">_xll.xlqxhSMA($C366,$L$4,$J$7,$K$3)</f>
        <v>#NAME?</v>
      </c>
      <c r="K366" s="7" t="e">
        <f ca="1">_xll.xlqhClose($C366,K$8,$K$3)</f>
        <v>#NAME?</v>
      </c>
      <c r="L366" s="7" t="e">
        <f ca="1">_xll.xlqhClose($C366,L$8,$K$3)</f>
        <v>#NAME?</v>
      </c>
      <c r="N366" s="9">
        <f t="shared" ca="1" si="57"/>
        <v>1</v>
      </c>
      <c r="O366" s="9">
        <f t="shared" ca="1" si="58"/>
        <v>1</v>
      </c>
      <c r="P366" s="9">
        <f t="shared" ca="1" si="59"/>
        <v>1</v>
      </c>
      <c r="Q366" s="9">
        <f t="shared" ca="1" si="60"/>
        <v>1</v>
      </c>
      <c r="R366" s="9">
        <f t="shared" ca="1" si="61"/>
        <v>0</v>
      </c>
    </row>
    <row r="367" spans="2:18" x14ac:dyDescent="0.25">
      <c r="B367" s="17" t="s">
        <v>1143</v>
      </c>
      <c r="C367" s="18" t="s">
        <v>1144</v>
      </c>
      <c r="D367" s="7" t="e">
        <f ca="1">_xll.xlqPrice(C367)</f>
        <v>#NAME?</v>
      </c>
      <c r="E367" s="9" t="e">
        <f t="shared" ca="1" si="52"/>
        <v>#NAME?</v>
      </c>
      <c r="F367" s="9">
        <f t="shared" ca="1" si="53"/>
        <v>1</v>
      </c>
      <c r="G367" s="8">
        <f t="shared" ca="1" si="54"/>
        <v>0</v>
      </c>
      <c r="H367" s="8">
        <f t="shared" ca="1" si="55"/>
        <v>0</v>
      </c>
      <c r="I367" s="8">
        <f t="shared" ca="1" si="56"/>
        <v>0</v>
      </c>
      <c r="J367" s="6" t="e">
        <f ca="1">_xll.xlqxhSMA($C367,$L$4,$J$7,$K$3)</f>
        <v>#NAME?</v>
      </c>
      <c r="K367" s="7" t="e">
        <f ca="1">_xll.xlqhClose($C367,K$8,$K$3)</f>
        <v>#NAME?</v>
      </c>
      <c r="L367" s="7" t="e">
        <f ca="1">_xll.xlqhClose($C367,L$8,$K$3)</f>
        <v>#NAME?</v>
      </c>
      <c r="N367" s="9">
        <f t="shared" ca="1" si="57"/>
        <v>1</v>
      </c>
      <c r="O367" s="9">
        <f t="shared" ca="1" si="58"/>
        <v>1</v>
      </c>
      <c r="P367" s="9">
        <f t="shared" ca="1" si="59"/>
        <v>1</v>
      </c>
      <c r="Q367" s="9">
        <f t="shared" ca="1" si="60"/>
        <v>1</v>
      </c>
      <c r="R367" s="9">
        <f t="shared" ca="1" si="61"/>
        <v>0</v>
      </c>
    </row>
    <row r="368" spans="2:18" x14ac:dyDescent="0.25">
      <c r="B368" t="s">
        <v>488</v>
      </c>
      <c r="C368" s="39" t="s">
        <v>489</v>
      </c>
      <c r="D368" s="7" t="e">
        <f ca="1">_xll.xlqPrice(C368)</f>
        <v>#NAME?</v>
      </c>
      <c r="E368" s="9" t="e">
        <f t="shared" ca="1" si="52"/>
        <v>#NAME?</v>
      </c>
      <c r="F368" s="9">
        <f t="shared" ca="1" si="53"/>
        <v>1</v>
      </c>
      <c r="G368" s="8">
        <f t="shared" ca="1" si="54"/>
        <v>0</v>
      </c>
      <c r="H368" s="8">
        <f t="shared" ca="1" si="55"/>
        <v>0</v>
      </c>
      <c r="I368" s="8">
        <f t="shared" ca="1" si="56"/>
        <v>0</v>
      </c>
      <c r="J368" s="6" t="e">
        <f ca="1">_xll.xlqxhSMA($C368,$L$4,$J$7,$K$3)</f>
        <v>#NAME?</v>
      </c>
      <c r="K368" s="7" t="e">
        <f ca="1">_xll.xlqhClose($C368,K$8,$K$3)</f>
        <v>#NAME?</v>
      </c>
      <c r="L368" s="7" t="e">
        <f ca="1">_xll.xlqhClose($C368,L$8,$K$3)</f>
        <v>#NAME?</v>
      </c>
      <c r="N368" s="9">
        <f t="shared" ca="1" si="57"/>
        <v>1</v>
      </c>
      <c r="O368" s="9">
        <f t="shared" ca="1" si="58"/>
        <v>1</v>
      </c>
      <c r="P368" s="9">
        <f t="shared" ca="1" si="59"/>
        <v>1</v>
      </c>
      <c r="Q368" s="9">
        <f t="shared" ca="1" si="60"/>
        <v>1</v>
      </c>
      <c r="R368" s="9">
        <f t="shared" ca="1" si="61"/>
        <v>0</v>
      </c>
    </row>
    <row r="369" spans="2:18" x14ac:dyDescent="0.25">
      <c r="B369" t="s">
        <v>1405</v>
      </c>
      <c r="C369" s="39" t="s">
        <v>1406</v>
      </c>
      <c r="D369" s="7" t="e">
        <f ca="1">_xll.xlqPrice(C369)</f>
        <v>#NAME?</v>
      </c>
      <c r="E369" s="9" t="e">
        <f t="shared" ca="1" si="52"/>
        <v>#NAME?</v>
      </c>
      <c r="F369" s="9">
        <f t="shared" ca="1" si="53"/>
        <v>1</v>
      </c>
      <c r="G369" s="8">
        <f t="shared" ca="1" si="54"/>
        <v>0</v>
      </c>
      <c r="H369" s="8">
        <f t="shared" ca="1" si="55"/>
        <v>0</v>
      </c>
      <c r="I369" s="8">
        <f t="shared" ca="1" si="56"/>
        <v>0</v>
      </c>
      <c r="J369" s="6" t="e">
        <f ca="1">_xll.xlqxhSMA($C369,$L$4,$J$7,$K$3)</f>
        <v>#NAME?</v>
      </c>
      <c r="K369" s="7" t="e">
        <f ca="1">_xll.xlqhClose($C369,K$8,$K$3)</f>
        <v>#NAME?</v>
      </c>
      <c r="L369" s="7" t="e">
        <f ca="1">_xll.xlqhClose($C369,L$8,$K$3)</f>
        <v>#NAME?</v>
      </c>
      <c r="N369" s="9">
        <f t="shared" ca="1" si="57"/>
        <v>1</v>
      </c>
      <c r="O369" s="9">
        <f t="shared" ca="1" si="58"/>
        <v>1</v>
      </c>
      <c r="P369" s="9">
        <f t="shared" ca="1" si="59"/>
        <v>1</v>
      </c>
      <c r="Q369" s="9">
        <f t="shared" ca="1" si="60"/>
        <v>1</v>
      </c>
      <c r="R369" s="9">
        <f t="shared" ca="1" si="61"/>
        <v>0</v>
      </c>
    </row>
    <row r="370" spans="2:18" x14ac:dyDescent="0.25">
      <c r="B370" s="17" t="s">
        <v>1831</v>
      </c>
      <c r="C370" s="18" t="s">
        <v>1832</v>
      </c>
      <c r="D370" s="7" t="e">
        <f ca="1">_xll.xlqPrice(C370)</f>
        <v>#NAME?</v>
      </c>
      <c r="E370" s="9" t="e">
        <f t="shared" ca="1" si="52"/>
        <v>#NAME?</v>
      </c>
      <c r="F370" s="9">
        <f t="shared" ca="1" si="53"/>
        <v>1</v>
      </c>
      <c r="G370" s="8">
        <f t="shared" ca="1" si="54"/>
        <v>0</v>
      </c>
      <c r="H370" s="8">
        <f t="shared" ca="1" si="55"/>
        <v>0</v>
      </c>
      <c r="I370" s="8">
        <f t="shared" ca="1" si="56"/>
        <v>0</v>
      </c>
      <c r="J370" s="6" t="e">
        <f ca="1">_xll.xlqxhSMA($C370,$L$4,$J$7,$K$3)</f>
        <v>#NAME?</v>
      </c>
      <c r="K370" s="7" t="e">
        <f ca="1">_xll.xlqhClose($C370,K$8,$K$3)</f>
        <v>#NAME?</v>
      </c>
      <c r="L370" s="7" t="e">
        <f ca="1">_xll.xlqhClose($C370,L$8,$K$3)</f>
        <v>#NAME?</v>
      </c>
      <c r="N370" s="9">
        <f t="shared" ca="1" si="57"/>
        <v>1</v>
      </c>
      <c r="O370" s="9">
        <f t="shared" ca="1" si="58"/>
        <v>1</v>
      </c>
      <c r="P370" s="9">
        <f t="shared" ca="1" si="59"/>
        <v>1</v>
      </c>
      <c r="Q370" s="9">
        <f t="shared" ca="1" si="60"/>
        <v>1</v>
      </c>
      <c r="R370" s="9">
        <f t="shared" ca="1" si="61"/>
        <v>0</v>
      </c>
    </row>
    <row r="371" spans="2:18" x14ac:dyDescent="0.25">
      <c r="B371" t="s">
        <v>1039</v>
      </c>
      <c r="C371" s="39" t="s">
        <v>1040</v>
      </c>
      <c r="D371" s="7" t="e">
        <f ca="1">_xll.xlqPrice(C371)</f>
        <v>#NAME?</v>
      </c>
      <c r="E371" s="9" t="e">
        <f t="shared" ca="1" si="52"/>
        <v>#NAME?</v>
      </c>
      <c r="F371" s="9">
        <f t="shared" ca="1" si="53"/>
        <v>1</v>
      </c>
      <c r="G371" s="8">
        <f t="shared" ca="1" si="54"/>
        <v>0</v>
      </c>
      <c r="H371" s="8">
        <f t="shared" ca="1" si="55"/>
        <v>0</v>
      </c>
      <c r="I371" s="8">
        <f t="shared" ca="1" si="56"/>
        <v>0</v>
      </c>
      <c r="J371" s="6" t="e">
        <f ca="1">_xll.xlqxhSMA($C371,$L$4,$J$7,$K$3)</f>
        <v>#NAME?</v>
      </c>
      <c r="K371" s="7" t="e">
        <f ca="1">_xll.xlqhClose($C371,K$8,$K$3)</f>
        <v>#NAME?</v>
      </c>
      <c r="L371" s="7" t="e">
        <f ca="1">_xll.xlqhClose($C371,L$8,$K$3)</f>
        <v>#NAME?</v>
      </c>
      <c r="N371" s="9">
        <f t="shared" ca="1" si="57"/>
        <v>1</v>
      </c>
      <c r="O371" s="9">
        <f t="shared" ca="1" si="58"/>
        <v>1</v>
      </c>
      <c r="P371" s="9">
        <f t="shared" ca="1" si="59"/>
        <v>1</v>
      </c>
      <c r="Q371" s="9">
        <f t="shared" ca="1" si="60"/>
        <v>1</v>
      </c>
      <c r="R371" s="9">
        <f t="shared" ca="1" si="61"/>
        <v>0</v>
      </c>
    </row>
    <row r="372" spans="2:18" x14ac:dyDescent="0.25">
      <c r="B372" s="17" t="s">
        <v>981</v>
      </c>
      <c r="C372" s="18" t="s">
        <v>982</v>
      </c>
      <c r="D372" s="7" t="e">
        <f ca="1">_xll.xlqPrice(C372)</f>
        <v>#NAME?</v>
      </c>
      <c r="E372" s="9" t="e">
        <f t="shared" ca="1" si="52"/>
        <v>#NAME?</v>
      </c>
      <c r="F372" s="9">
        <f t="shared" ca="1" si="53"/>
        <v>1</v>
      </c>
      <c r="G372" s="8">
        <f t="shared" ca="1" si="54"/>
        <v>0</v>
      </c>
      <c r="H372" s="8">
        <f t="shared" ca="1" si="55"/>
        <v>0</v>
      </c>
      <c r="I372" s="8">
        <f t="shared" ca="1" si="56"/>
        <v>0</v>
      </c>
      <c r="J372" s="6" t="e">
        <f ca="1">_xll.xlqxhSMA($C372,$L$4,$J$7,$K$3)</f>
        <v>#NAME?</v>
      </c>
      <c r="K372" s="7" t="e">
        <f ca="1">_xll.xlqhClose($C372,K$8,$K$3)</f>
        <v>#NAME?</v>
      </c>
      <c r="L372" s="7" t="e">
        <f ca="1">_xll.xlqhClose($C372,L$8,$K$3)</f>
        <v>#NAME?</v>
      </c>
      <c r="N372" s="9">
        <f t="shared" ca="1" si="57"/>
        <v>1</v>
      </c>
      <c r="O372" s="9">
        <f t="shared" ca="1" si="58"/>
        <v>1</v>
      </c>
      <c r="P372" s="9">
        <f t="shared" ca="1" si="59"/>
        <v>1</v>
      </c>
      <c r="Q372" s="9">
        <f t="shared" ca="1" si="60"/>
        <v>1</v>
      </c>
      <c r="R372" s="9">
        <f t="shared" ca="1" si="61"/>
        <v>0</v>
      </c>
    </row>
    <row r="373" spans="2:18" x14ac:dyDescent="0.25">
      <c r="B373" s="17" t="s">
        <v>2179</v>
      </c>
      <c r="C373" s="18" t="s">
        <v>2180</v>
      </c>
      <c r="D373" s="7" t="e">
        <f ca="1">_xll.xlqPrice(C373)</f>
        <v>#NAME?</v>
      </c>
      <c r="E373" s="9" t="e">
        <f t="shared" ca="1" si="52"/>
        <v>#NAME?</v>
      </c>
      <c r="F373" s="9">
        <f t="shared" ca="1" si="53"/>
        <v>1</v>
      </c>
      <c r="G373" s="8">
        <f t="shared" ca="1" si="54"/>
        <v>0</v>
      </c>
      <c r="H373" s="8">
        <f t="shared" ca="1" si="55"/>
        <v>0</v>
      </c>
      <c r="I373" s="8">
        <f t="shared" ca="1" si="56"/>
        <v>0</v>
      </c>
      <c r="J373" s="6" t="e">
        <f ca="1">_xll.xlqxhSMA($C373,$L$4,$J$7,$K$3)</f>
        <v>#NAME?</v>
      </c>
      <c r="K373" s="7" t="e">
        <f ca="1">_xll.xlqhClose($C373,K$8,$K$3)</f>
        <v>#NAME?</v>
      </c>
      <c r="L373" s="7" t="e">
        <f ca="1">_xll.xlqhClose($C373,L$8,$K$3)</f>
        <v>#NAME?</v>
      </c>
      <c r="N373" s="9">
        <f t="shared" ca="1" si="57"/>
        <v>1</v>
      </c>
      <c r="O373" s="9">
        <f t="shared" ca="1" si="58"/>
        <v>1</v>
      </c>
      <c r="P373" s="9">
        <f t="shared" ca="1" si="59"/>
        <v>1</v>
      </c>
      <c r="Q373" s="9">
        <f t="shared" ca="1" si="60"/>
        <v>1</v>
      </c>
      <c r="R373" s="9">
        <f t="shared" ca="1" si="61"/>
        <v>0</v>
      </c>
    </row>
    <row r="374" spans="2:18" x14ac:dyDescent="0.25">
      <c r="B374" t="s">
        <v>1593</v>
      </c>
      <c r="C374" s="39" t="s">
        <v>1594</v>
      </c>
      <c r="D374" s="7" t="e">
        <f ca="1">_xll.xlqPrice(C374)</f>
        <v>#NAME?</v>
      </c>
      <c r="E374" s="9" t="e">
        <f t="shared" ca="1" si="52"/>
        <v>#NAME?</v>
      </c>
      <c r="F374" s="9">
        <f t="shared" ca="1" si="53"/>
        <v>1</v>
      </c>
      <c r="G374" s="8">
        <f t="shared" ca="1" si="54"/>
        <v>0</v>
      </c>
      <c r="H374" s="8">
        <f t="shared" ca="1" si="55"/>
        <v>0</v>
      </c>
      <c r="I374" s="8">
        <f t="shared" ca="1" si="56"/>
        <v>0</v>
      </c>
      <c r="J374" s="6" t="e">
        <f ca="1">_xll.xlqxhSMA($C374,$L$4,$J$7,$K$3)</f>
        <v>#NAME?</v>
      </c>
      <c r="K374" s="7" t="e">
        <f ca="1">_xll.xlqhClose($C374,K$8,$K$3)</f>
        <v>#NAME?</v>
      </c>
      <c r="L374" s="7" t="e">
        <f ca="1">_xll.xlqhClose($C374,L$8,$K$3)</f>
        <v>#NAME?</v>
      </c>
      <c r="N374" s="9">
        <f t="shared" ca="1" si="57"/>
        <v>1</v>
      </c>
      <c r="O374" s="9">
        <f t="shared" ca="1" si="58"/>
        <v>1</v>
      </c>
      <c r="P374" s="9">
        <f t="shared" ca="1" si="59"/>
        <v>1</v>
      </c>
      <c r="Q374" s="9">
        <f t="shared" ca="1" si="60"/>
        <v>1</v>
      </c>
      <c r="R374" s="9">
        <f t="shared" ca="1" si="61"/>
        <v>0</v>
      </c>
    </row>
    <row r="375" spans="2:18" x14ac:dyDescent="0.25">
      <c r="B375" s="17" t="s">
        <v>1117</v>
      </c>
      <c r="C375" s="18" t="s">
        <v>1118</v>
      </c>
      <c r="D375" s="7" t="e">
        <f ca="1">_xll.xlqPrice(C375)</f>
        <v>#NAME?</v>
      </c>
      <c r="E375" s="9" t="e">
        <f t="shared" ca="1" si="52"/>
        <v>#NAME?</v>
      </c>
      <c r="F375" s="9">
        <f t="shared" ca="1" si="53"/>
        <v>1</v>
      </c>
      <c r="G375" s="8">
        <f t="shared" ca="1" si="54"/>
        <v>0</v>
      </c>
      <c r="H375" s="8">
        <f t="shared" ca="1" si="55"/>
        <v>0</v>
      </c>
      <c r="I375" s="8">
        <f t="shared" ca="1" si="56"/>
        <v>0</v>
      </c>
      <c r="J375" s="6" t="e">
        <f ca="1">_xll.xlqxhSMA($C375,$L$4,$J$7,$K$3)</f>
        <v>#NAME?</v>
      </c>
      <c r="K375" s="7" t="e">
        <f ca="1">_xll.xlqhClose($C375,K$8,$K$3)</f>
        <v>#NAME?</v>
      </c>
      <c r="L375" s="7" t="e">
        <f ca="1">_xll.xlqhClose($C375,L$8,$K$3)</f>
        <v>#NAME?</v>
      </c>
      <c r="N375" s="9">
        <f t="shared" ca="1" si="57"/>
        <v>1</v>
      </c>
      <c r="O375" s="9">
        <f t="shared" ca="1" si="58"/>
        <v>1</v>
      </c>
      <c r="P375" s="9">
        <f t="shared" ca="1" si="59"/>
        <v>1</v>
      </c>
      <c r="Q375" s="9">
        <f t="shared" ca="1" si="60"/>
        <v>1</v>
      </c>
      <c r="R375" s="9">
        <f t="shared" ca="1" si="61"/>
        <v>0</v>
      </c>
    </row>
    <row r="376" spans="2:18" x14ac:dyDescent="0.25">
      <c r="B376" s="17" t="s">
        <v>1265</v>
      </c>
      <c r="C376" s="18" t="s">
        <v>1266</v>
      </c>
      <c r="D376" s="7" t="e">
        <f ca="1">_xll.xlqPrice(C376)</f>
        <v>#NAME?</v>
      </c>
      <c r="E376" s="9" t="e">
        <f t="shared" ca="1" si="52"/>
        <v>#NAME?</v>
      </c>
      <c r="F376" s="9">
        <f t="shared" ca="1" si="53"/>
        <v>1</v>
      </c>
      <c r="G376" s="8">
        <f t="shared" ca="1" si="54"/>
        <v>0</v>
      </c>
      <c r="H376" s="8">
        <f t="shared" ca="1" si="55"/>
        <v>0</v>
      </c>
      <c r="I376" s="8">
        <f t="shared" ca="1" si="56"/>
        <v>0</v>
      </c>
      <c r="J376" s="6" t="e">
        <f ca="1">_xll.xlqxhSMA($C376,$L$4,$J$7,$K$3)</f>
        <v>#NAME?</v>
      </c>
      <c r="K376" s="7" t="e">
        <f ca="1">_xll.xlqhClose($C376,K$8,$K$3)</f>
        <v>#NAME?</v>
      </c>
      <c r="L376" s="7" t="e">
        <f ca="1">_xll.xlqhClose($C376,L$8,$K$3)</f>
        <v>#NAME?</v>
      </c>
      <c r="N376" s="9">
        <f t="shared" ca="1" si="57"/>
        <v>1</v>
      </c>
      <c r="O376" s="9">
        <f t="shared" ca="1" si="58"/>
        <v>1</v>
      </c>
      <c r="P376" s="9">
        <f t="shared" ca="1" si="59"/>
        <v>1</v>
      </c>
      <c r="Q376" s="9">
        <f t="shared" ca="1" si="60"/>
        <v>1</v>
      </c>
      <c r="R376" s="9">
        <f t="shared" ca="1" si="61"/>
        <v>0</v>
      </c>
    </row>
    <row r="377" spans="2:18" x14ac:dyDescent="0.25">
      <c r="B377" s="17" t="s">
        <v>1187</v>
      </c>
      <c r="C377" s="18" t="s">
        <v>1188</v>
      </c>
      <c r="D377" s="7" t="e">
        <f ca="1">_xll.xlqPrice(C377)</f>
        <v>#NAME?</v>
      </c>
      <c r="E377" s="9" t="e">
        <f t="shared" ca="1" si="52"/>
        <v>#NAME?</v>
      </c>
      <c r="F377" s="9">
        <f t="shared" ca="1" si="53"/>
        <v>1</v>
      </c>
      <c r="G377" s="8">
        <f t="shared" ca="1" si="54"/>
        <v>0</v>
      </c>
      <c r="H377" s="8">
        <f t="shared" ca="1" si="55"/>
        <v>0</v>
      </c>
      <c r="I377" s="8">
        <f t="shared" ca="1" si="56"/>
        <v>0</v>
      </c>
      <c r="J377" s="6" t="e">
        <f ca="1">_xll.xlqxhSMA($C377,$L$4,$J$7,$K$3)</f>
        <v>#NAME?</v>
      </c>
      <c r="K377" s="7" t="e">
        <f ca="1">_xll.xlqhClose($C377,K$8,$K$3)</f>
        <v>#NAME?</v>
      </c>
      <c r="L377" s="7" t="e">
        <f ca="1">_xll.xlqhClose($C377,L$8,$K$3)</f>
        <v>#NAME?</v>
      </c>
      <c r="N377" s="9">
        <f t="shared" ca="1" si="57"/>
        <v>1</v>
      </c>
      <c r="O377" s="9">
        <f t="shared" ca="1" si="58"/>
        <v>1</v>
      </c>
      <c r="P377" s="9">
        <f t="shared" ca="1" si="59"/>
        <v>1</v>
      </c>
      <c r="Q377" s="9">
        <f t="shared" ca="1" si="60"/>
        <v>1</v>
      </c>
      <c r="R377" s="9">
        <f t="shared" ca="1" si="61"/>
        <v>0</v>
      </c>
    </row>
    <row r="378" spans="2:18" x14ac:dyDescent="0.25">
      <c r="B378" s="17" t="s">
        <v>1101</v>
      </c>
      <c r="C378" s="18" t="s">
        <v>1102</v>
      </c>
      <c r="D378" s="7" t="e">
        <f ca="1">_xll.xlqPrice(C378)</f>
        <v>#NAME?</v>
      </c>
      <c r="E378" s="9" t="e">
        <f t="shared" ca="1" si="52"/>
        <v>#NAME?</v>
      </c>
      <c r="F378" s="9">
        <f t="shared" ca="1" si="53"/>
        <v>1</v>
      </c>
      <c r="G378" s="8">
        <f t="shared" ca="1" si="54"/>
        <v>0</v>
      </c>
      <c r="H378" s="8">
        <f t="shared" ca="1" si="55"/>
        <v>0</v>
      </c>
      <c r="I378" s="8">
        <f t="shared" ca="1" si="56"/>
        <v>0</v>
      </c>
      <c r="J378" s="6" t="e">
        <f ca="1">_xll.xlqxhSMA($C378,$L$4,$J$7,$K$3)</f>
        <v>#NAME?</v>
      </c>
      <c r="K378" s="7" t="e">
        <f ca="1">_xll.xlqhClose($C378,K$8,$K$3)</f>
        <v>#NAME?</v>
      </c>
      <c r="L378" s="7" t="e">
        <f ca="1">_xll.xlqhClose($C378,L$8,$K$3)</f>
        <v>#NAME?</v>
      </c>
      <c r="N378" s="9">
        <f t="shared" ca="1" si="57"/>
        <v>1</v>
      </c>
      <c r="O378" s="9">
        <f t="shared" ca="1" si="58"/>
        <v>1</v>
      </c>
      <c r="P378" s="9">
        <f t="shared" ca="1" si="59"/>
        <v>1</v>
      </c>
      <c r="Q378" s="9">
        <f t="shared" ca="1" si="60"/>
        <v>1</v>
      </c>
      <c r="R378" s="9">
        <f t="shared" ca="1" si="61"/>
        <v>0</v>
      </c>
    </row>
    <row r="379" spans="2:18" x14ac:dyDescent="0.25">
      <c r="B379" s="17" t="s">
        <v>1947</v>
      </c>
      <c r="C379" s="18" t="s">
        <v>1948</v>
      </c>
      <c r="D379" s="7" t="e">
        <f ca="1">_xll.xlqPrice(C379)</f>
        <v>#NAME?</v>
      </c>
      <c r="E379" s="9" t="e">
        <f t="shared" ca="1" si="52"/>
        <v>#NAME?</v>
      </c>
      <c r="F379" s="9">
        <f t="shared" ca="1" si="53"/>
        <v>1</v>
      </c>
      <c r="G379" s="8">
        <f t="shared" ca="1" si="54"/>
        <v>0</v>
      </c>
      <c r="H379" s="8">
        <f t="shared" ca="1" si="55"/>
        <v>0</v>
      </c>
      <c r="I379" s="8">
        <f t="shared" ca="1" si="56"/>
        <v>0</v>
      </c>
      <c r="J379" s="6" t="e">
        <f ca="1">_xll.xlqxhSMA($C379,$L$4,$J$7,$K$3)</f>
        <v>#NAME?</v>
      </c>
      <c r="K379" s="7" t="e">
        <f ca="1">_xll.xlqhClose($C379,K$8,$K$3)</f>
        <v>#NAME?</v>
      </c>
      <c r="L379" s="7" t="e">
        <f ca="1">_xll.xlqhClose($C379,L$8,$K$3)</f>
        <v>#NAME?</v>
      </c>
      <c r="N379" s="9">
        <f t="shared" ca="1" si="57"/>
        <v>1</v>
      </c>
      <c r="O379" s="9">
        <f t="shared" ca="1" si="58"/>
        <v>1</v>
      </c>
      <c r="P379" s="9">
        <f t="shared" ca="1" si="59"/>
        <v>1</v>
      </c>
      <c r="Q379" s="9">
        <f t="shared" ca="1" si="60"/>
        <v>1</v>
      </c>
      <c r="R379" s="9">
        <f t="shared" ca="1" si="61"/>
        <v>0</v>
      </c>
    </row>
    <row r="380" spans="2:18" x14ac:dyDescent="0.25">
      <c r="B380" s="17" t="s">
        <v>802</v>
      </c>
      <c r="C380" s="18" t="s">
        <v>803</v>
      </c>
      <c r="D380" s="7" t="e">
        <f ca="1">_xll.xlqPrice(C380)</f>
        <v>#NAME?</v>
      </c>
      <c r="E380" s="9" t="e">
        <f t="shared" ca="1" si="52"/>
        <v>#NAME?</v>
      </c>
      <c r="F380" s="9">
        <f t="shared" ca="1" si="53"/>
        <v>1</v>
      </c>
      <c r="G380" s="8">
        <f t="shared" ca="1" si="54"/>
        <v>0</v>
      </c>
      <c r="H380" s="8">
        <f t="shared" ca="1" si="55"/>
        <v>0</v>
      </c>
      <c r="I380" s="8">
        <f t="shared" ca="1" si="56"/>
        <v>0</v>
      </c>
      <c r="J380" s="6" t="e">
        <f ca="1">_xll.xlqxhSMA($C380,$L$4,$J$7,$K$3)</f>
        <v>#NAME?</v>
      </c>
      <c r="K380" s="7" t="e">
        <f ca="1">_xll.xlqhClose($C380,K$8,$K$3)</f>
        <v>#NAME?</v>
      </c>
      <c r="L380" s="7" t="e">
        <f ca="1">_xll.xlqhClose($C380,L$8,$K$3)</f>
        <v>#NAME?</v>
      </c>
      <c r="N380" s="9">
        <f t="shared" ca="1" si="57"/>
        <v>1</v>
      </c>
      <c r="O380" s="9">
        <f t="shared" ca="1" si="58"/>
        <v>1</v>
      </c>
      <c r="P380" s="9">
        <f t="shared" ca="1" si="59"/>
        <v>1</v>
      </c>
      <c r="Q380" s="9">
        <f t="shared" ca="1" si="60"/>
        <v>1</v>
      </c>
      <c r="R380" s="9">
        <f t="shared" ca="1" si="61"/>
        <v>0</v>
      </c>
    </row>
    <row r="381" spans="2:18" x14ac:dyDescent="0.25">
      <c r="B381" s="17" t="s">
        <v>1343</v>
      </c>
      <c r="C381" s="18" t="s">
        <v>1344</v>
      </c>
      <c r="D381" s="7" t="e">
        <f ca="1">_xll.xlqPrice(C381)</f>
        <v>#NAME?</v>
      </c>
      <c r="E381" s="9" t="e">
        <f t="shared" ca="1" si="52"/>
        <v>#NAME?</v>
      </c>
      <c r="F381" s="9">
        <f t="shared" ca="1" si="53"/>
        <v>1</v>
      </c>
      <c r="G381" s="8">
        <f t="shared" ca="1" si="54"/>
        <v>0</v>
      </c>
      <c r="H381" s="8">
        <f t="shared" ca="1" si="55"/>
        <v>0</v>
      </c>
      <c r="I381" s="8">
        <f t="shared" ca="1" si="56"/>
        <v>0</v>
      </c>
      <c r="J381" s="6" t="e">
        <f ca="1">_xll.xlqxhSMA($C381,$L$4,$J$7,$K$3)</f>
        <v>#NAME?</v>
      </c>
      <c r="K381" s="7" t="e">
        <f ca="1">_xll.xlqhClose($C381,K$8,$K$3)</f>
        <v>#NAME?</v>
      </c>
      <c r="L381" s="7" t="e">
        <f ca="1">_xll.xlqhClose($C381,L$8,$K$3)</f>
        <v>#NAME?</v>
      </c>
      <c r="N381" s="9">
        <f t="shared" ca="1" si="57"/>
        <v>1</v>
      </c>
      <c r="O381" s="9">
        <f t="shared" ca="1" si="58"/>
        <v>1</v>
      </c>
      <c r="P381" s="9">
        <f t="shared" ca="1" si="59"/>
        <v>1</v>
      </c>
      <c r="Q381" s="9">
        <f t="shared" ca="1" si="60"/>
        <v>1</v>
      </c>
      <c r="R381" s="9">
        <f t="shared" ca="1" si="61"/>
        <v>0</v>
      </c>
    </row>
    <row r="382" spans="2:18" x14ac:dyDescent="0.25">
      <c r="B382" s="17" t="s">
        <v>696</v>
      </c>
      <c r="C382" s="18" t="s">
        <v>697</v>
      </c>
      <c r="D382" s="7" t="e">
        <f ca="1">_xll.xlqPrice(C382)</f>
        <v>#NAME?</v>
      </c>
      <c r="E382" s="9" t="e">
        <f t="shared" ca="1" si="52"/>
        <v>#NAME?</v>
      </c>
      <c r="F382" s="9">
        <f t="shared" ca="1" si="53"/>
        <v>1</v>
      </c>
      <c r="G382" s="8">
        <f t="shared" ca="1" si="54"/>
        <v>0</v>
      </c>
      <c r="H382" s="8">
        <f t="shared" ca="1" si="55"/>
        <v>0</v>
      </c>
      <c r="I382" s="8">
        <f t="shared" ca="1" si="56"/>
        <v>0</v>
      </c>
      <c r="J382" s="6" t="e">
        <f ca="1">_xll.xlqxhSMA($C382,$L$4,$J$7,$K$3)</f>
        <v>#NAME?</v>
      </c>
      <c r="K382" s="7" t="e">
        <f ca="1">_xll.xlqhClose($C382,K$8,$K$3)</f>
        <v>#NAME?</v>
      </c>
      <c r="L382" s="7" t="e">
        <f ca="1">_xll.xlqhClose($C382,L$8,$K$3)</f>
        <v>#NAME?</v>
      </c>
      <c r="N382" s="9">
        <f t="shared" ca="1" si="57"/>
        <v>1</v>
      </c>
      <c r="O382" s="9">
        <f t="shared" ca="1" si="58"/>
        <v>1</v>
      </c>
      <c r="P382" s="9">
        <f t="shared" ca="1" si="59"/>
        <v>1</v>
      </c>
      <c r="Q382" s="9">
        <f t="shared" ca="1" si="60"/>
        <v>1</v>
      </c>
      <c r="R382" s="9">
        <f t="shared" ca="1" si="61"/>
        <v>0</v>
      </c>
    </row>
    <row r="383" spans="2:18" x14ac:dyDescent="0.25">
      <c r="B383" t="s">
        <v>2135</v>
      </c>
      <c r="C383" s="39" t="s">
        <v>2136</v>
      </c>
      <c r="D383" s="7" t="e">
        <f ca="1">_xll.xlqPrice(C383)</f>
        <v>#NAME?</v>
      </c>
      <c r="E383" s="9" t="e">
        <f t="shared" ca="1" si="52"/>
        <v>#NAME?</v>
      </c>
      <c r="F383" s="9">
        <f t="shared" ca="1" si="53"/>
        <v>1</v>
      </c>
      <c r="G383" s="8">
        <f t="shared" ca="1" si="54"/>
        <v>0</v>
      </c>
      <c r="H383" s="8">
        <f t="shared" ca="1" si="55"/>
        <v>0</v>
      </c>
      <c r="I383" s="8">
        <f t="shared" ca="1" si="56"/>
        <v>0</v>
      </c>
      <c r="J383" s="6" t="e">
        <f ca="1">_xll.xlqxhSMA($C383,$L$4,$J$7,$K$3)</f>
        <v>#NAME?</v>
      </c>
      <c r="K383" s="7" t="e">
        <f ca="1">_xll.xlqhClose($C383,K$8,$K$3)</f>
        <v>#NAME?</v>
      </c>
      <c r="L383" s="7" t="e">
        <f ca="1">_xll.xlqhClose($C383,L$8,$K$3)</f>
        <v>#NAME?</v>
      </c>
      <c r="N383" s="9">
        <f t="shared" ca="1" si="57"/>
        <v>1</v>
      </c>
      <c r="O383" s="9">
        <f t="shared" ca="1" si="58"/>
        <v>1</v>
      </c>
      <c r="P383" s="9">
        <f t="shared" ca="1" si="59"/>
        <v>1</v>
      </c>
      <c r="Q383" s="9">
        <f t="shared" ca="1" si="60"/>
        <v>1</v>
      </c>
      <c r="R383" s="9">
        <f t="shared" ca="1" si="61"/>
        <v>0</v>
      </c>
    </row>
    <row r="384" spans="2:18" x14ac:dyDescent="0.25">
      <c r="B384" s="17" t="s">
        <v>884</v>
      </c>
      <c r="C384" s="18" t="s">
        <v>885</v>
      </c>
      <c r="D384" s="7" t="e">
        <f ca="1">_xll.xlqPrice(C384)</f>
        <v>#NAME?</v>
      </c>
      <c r="E384" s="9" t="e">
        <f t="shared" ca="1" si="52"/>
        <v>#NAME?</v>
      </c>
      <c r="F384" s="9">
        <f t="shared" ca="1" si="53"/>
        <v>1</v>
      </c>
      <c r="G384" s="8">
        <f t="shared" ca="1" si="54"/>
        <v>0</v>
      </c>
      <c r="H384" s="8">
        <f t="shared" ca="1" si="55"/>
        <v>0</v>
      </c>
      <c r="I384" s="8">
        <f t="shared" ca="1" si="56"/>
        <v>0</v>
      </c>
      <c r="J384" s="6" t="e">
        <f ca="1">_xll.xlqxhSMA($C384,$L$4,$J$7,$K$3)</f>
        <v>#NAME?</v>
      </c>
      <c r="K384" s="7" t="e">
        <f ca="1">_xll.xlqhClose($C384,K$8,$K$3)</f>
        <v>#NAME?</v>
      </c>
      <c r="L384" s="7" t="e">
        <f ca="1">_xll.xlqhClose($C384,L$8,$K$3)</f>
        <v>#NAME?</v>
      </c>
      <c r="N384" s="9">
        <f t="shared" ca="1" si="57"/>
        <v>1</v>
      </c>
      <c r="O384" s="9">
        <f t="shared" ca="1" si="58"/>
        <v>1</v>
      </c>
      <c r="P384" s="9">
        <f t="shared" ca="1" si="59"/>
        <v>1</v>
      </c>
      <c r="Q384" s="9">
        <f t="shared" ca="1" si="60"/>
        <v>1</v>
      </c>
      <c r="R384" s="9">
        <f t="shared" ca="1" si="61"/>
        <v>0</v>
      </c>
    </row>
    <row r="385" spans="2:18" x14ac:dyDescent="0.25">
      <c r="B385" s="17" t="s">
        <v>1853</v>
      </c>
      <c r="C385" s="18" t="s">
        <v>1854</v>
      </c>
      <c r="D385" s="7" t="e">
        <f ca="1">_xll.xlqPrice(C385)</f>
        <v>#NAME?</v>
      </c>
      <c r="E385" s="9" t="e">
        <f t="shared" ca="1" si="52"/>
        <v>#NAME?</v>
      </c>
      <c r="F385" s="9">
        <f t="shared" ca="1" si="53"/>
        <v>1</v>
      </c>
      <c r="G385" s="8">
        <f t="shared" ca="1" si="54"/>
        <v>0</v>
      </c>
      <c r="H385" s="8">
        <f t="shared" ca="1" si="55"/>
        <v>0</v>
      </c>
      <c r="I385" s="8">
        <f t="shared" ca="1" si="56"/>
        <v>0</v>
      </c>
      <c r="J385" s="6" t="e">
        <f ca="1">_xll.xlqxhSMA($C385,$L$4,$J$7,$K$3)</f>
        <v>#NAME?</v>
      </c>
      <c r="K385" s="7" t="e">
        <f ca="1">_xll.xlqhClose($C385,K$8,$K$3)</f>
        <v>#NAME?</v>
      </c>
      <c r="L385" s="7" t="e">
        <f ca="1">_xll.xlqhClose($C385,L$8,$K$3)</f>
        <v>#NAME?</v>
      </c>
      <c r="N385" s="9">
        <f t="shared" ca="1" si="57"/>
        <v>1</v>
      </c>
      <c r="O385" s="9">
        <f t="shared" ca="1" si="58"/>
        <v>1</v>
      </c>
      <c r="P385" s="9">
        <f t="shared" ca="1" si="59"/>
        <v>1</v>
      </c>
      <c r="Q385" s="9">
        <f t="shared" ca="1" si="60"/>
        <v>1</v>
      </c>
      <c r="R385" s="9">
        <f t="shared" ca="1" si="61"/>
        <v>0</v>
      </c>
    </row>
    <row r="386" spans="2:18" x14ac:dyDescent="0.25">
      <c r="B386" s="17" t="s">
        <v>1061</v>
      </c>
      <c r="C386" s="18" t="s">
        <v>1062</v>
      </c>
      <c r="D386" s="7" t="e">
        <f ca="1">_xll.xlqPrice(C386)</f>
        <v>#NAME?</v>
      </c>
      <c r="E386" s="9" t="e">
        <f t="shared" ca="1" si="52"/>
        <v>#NAME?</v>
      </c>
      <c r="F386" s="9">
        <f t="shared" ca="1" si="53"/>
        <v>1</v>
      </c>
      <c r="G386" s="8">
        <f t="shared" ca="1" si="54"/>
        <v>0</v>
      </c>
      <c r="H386" s="8">
        <f t="shared" ca="1" si="55"/>
        <v>0</v>
      </c>
      <c r="I386" s="8">
        <f t="shared" ca="1" si="56"/>
        <v>0</v>
      </c>
      <c r="J386" s="6" t="e">
        <f ca="1">_xll.xlqxhSMA($C386,$L$4,$J$7,$K$3)</f>
        <v>#NAME?</v>
      </c>
      <c r="K386" s="7" t="e">
        <f ca="1">_xll.xlqhClose($C386,K$8,$K$3)</f>
        <v>#NAME?</v>
      </c>
      <c r="L386" s="7" t="e">
        <f ca="1">_xll.xlqhClose($C386,L$8,$K$3)</f>
        <v>#NAME?</v>
      </c>
      <c r="N386" s="9">
        <f t="shared" ca="1" si="57"/>
        <v>1</v>
      </c>
      <c r="O386" s="9">
        <f t="shared" ca="1" si="58"/>
        <v>1</v>
      </c>
      <c r="P386" s="9">
        <f t="shared" ca="1" si="59"/>
        <v>1</v>
      </c>
      <c r="Q386" s="9">
        <f t="shared" ca="1" si="60"/>
        <v>1</v>
      </c>
      <c r="R386" s="9">
        <f t="shared" ca="1" si="61"/>
        <v>0</v>
      </c>
    </row>
    <row r="387" spans="2:18" x14ac:dyDescent="0.25">
      <c r="B387" s="17" t="s">
        <v>2189</v>
      </c>
      <c r="C387" s="18" t="s">
        <v>2190</v>
      </c>
      <c r="D387" s="7" t="e">
        <f ca="1">_xll.xlqPrice(C387)</f>
        <v>#NAME?</v>
      </c>
      <c r="E387" s="9" t="e">
        <f t="shared" ca="1" si="52"/>
        <v>#NAME?</v>
      </c>
      <c r="F387" s="9">
        <f t="shared" ca="1" si="53"/>
        <v>1</v>
      </c>
      <c r="G387" s="8">
        <f t="shared" ca="1" si="54"/>
        <v>0</v>
      </c>
      <c r="H387" s="8">
        <f t="shared" ca="1" si="55"/>
        <v>0</v>
      </c>
      <c r="I387" s="8">
        <f t="shared" ca="1" si="56"/>
        <v>0</v>
      </c>
      <c r="J387" s="6" t="e">
        <f ca="1">_xll.xlqxhSMA($C387,$L$4,$J$7,$K$3)</f>
        <v>#NAME?</v>
      </c>
      <c r="K387" s="7" t="e">
        <f ca="1">_xll.xlqhClose($C387,K$8,$K$3)</f>
        <v>#NAME?</v>
      </c>
      <c r="L387" s="7" t="e">
        <f ca="1">_xll.xlqhClose($C387,L$8,$K$3)</f>
        <v>#NAME?</v>
      </c>
      <c r="N387" s="9">
        <f t="shared" ca="1" si="57"/>
        <v>1</v>
      </c>
      <c r="O387" s="9">
        <f t="shared" ca="1" si="58"/>
        <v>1</v>
      </c>
      <c r="P387" s="9">
        <f t="shared" ca="1" si="59"/>
        <v>1</v>
      </c>
      <c r="Q387" s="9">
        <f t="shared" ca="1" si="60"/>
        <v>1</v>
      </c>
      <c r="R387" s="9">
        <f t="shared" ca="1" si="61"/>
        <v>0</v>
      </c>
    </row>
    <row r="388" spans="2:18" x14ac:dyDescent="0.25">
      <c r="B388" s="17" t="s">
        <v>1939</v>
      </c>
      <c r="C388" s="18" t="s">
        <v>1940</v>
      </c>
      <c r="D388" s="7" t="e">
        <f ca="1">_xll.xlqPrice(C388)</f>
        <v>#NAME?</v>
      </c>
      <c r="E388" s="9" t="e">
        <f t="shared" ca="1" si="52"/>
        <v>#NAME?</v>
      </c>
      <c r="F388" s="9">
        <f t="shared" ca="1" si="53"/>
        <v>1</v>
      </c>
      <c r="G388" s="8">
        <f t="shared" ca="1" si="54"/>
        <v>0</v>
      </c>
      <c r="H388" s="8">
        <f t="shared" ca="1" si="55"/>
        <v>0</v>
      </c>
      <c r="I388" s="8">
        <f t="shared" ca="1" si="56"/>
        <v>0</v>
      </c>
      <c r="J388" s="6" t="e">
        <f ca="1">_xll.xlqxhSMA($C388,$L$4,$J$7,$K$3)</f>
        <v>#NAME?</v>
      </c>
      <c r="K388" s="7" t="e">
        <f ca="1">_xll.xlqhClose($C388,K$8,$K$3)</f>
        <v>#NAME?</v>
      </c>
      <c r="L388" s="7" t="e">
        <f ca="1">_xll.xlqhClose($C388,L$8,$K$3)</f>
        <v>#NAME?</v>
      </c>
      <c r="N388" s="9">
        <f t="shared" ca="1" si="57"/>
        <v>1</v>
      </c>
      <c r="O388" s="9">
        <f t="shared" ca="1" si="58"/>
        <v>1</v>
      </c>
      <c r="P388" s="9">
        <f t="shared" ca="1" si="59"/>
        <v>1</v>
      </c>
      <c r="Q388" s="9">
        <f t="shared" ca="1" si="60"/>
        <v>1</v>
      </c>
      <c r="R388" s="9">
        <f t="shared" ca="1" si="61"/>
        <v>0</v>
      </c>
    </row>
    <row r="389" spans="2:18" x14ac:dyDescent="0.25">
      <c r="B389" t="s">
        <v>1697</v>
      </c>
      <c r="C389" s="39" t="s">
        <v>1698</v>
      </c>
      <c r="D389" s="7" t="e">
        <f ca="1">_xll.xlqPrice(C389)</f>
        <v>#NAME?</v>
      </c>
      <c r="E389" s="9" t="e">
        <f t="shared" ca="1" si="52"/>
        <v>#NAME?</v>
      </c>
      <c r="F389" s="9">
        <f t="shared" ca="1" si="53"/>
        <v>1</v>
      </c>
      <c r="G389" s="8">
        <f t="shared" ca="1" si="54"/>
        <v>0</v>
      </c>
      <c r="H389" s="8">
        <f t="shared" ca="1" si="55"/>
        <v>0</v>
      </c>
      <c r="I389" s="8">
        <f t="shared" ca="1" si="56"/>
        <v>0</v>
      </c>
      <c r="J389" s="6" t="e">
        <f ca="1">_xll.xlqxhSMA($C389,$L$4,$J$7,$K$3)</f>
        <v>#NAME?</v>
      </c>
      <c r="K389" s="7" t="e">
        <f ca="1">_xll.xlqhClose($C389,K$8,$K$3)</f>
        <v>#NAME?</v>
      </c>
      <c r="L389" s="7" t="e">
        <f ca="1">_xll.xlqhClose($C389,L$8,$K$3)</f>
        <v>#NAME?</v>
      </c>
      <c r="N389" s="9">
        <f t="shared" ca="1" si="57"/>
        <v>1</v>
      </c>
      <c r="O389" s="9">
        <f t="shared" ca="1" si="58"/>
        <v>1</v>
      </c>
      <c r="P389" s="9">
        <f t="shared" ca="1" si="59"/>
        <v>1</v>
      </c>
      <c r="Q389" s="9">
        <f t="shared" ca="1" si="60"/>
        <v>1</v>
      </c>
      <c r="R389" s="9">
        <f t="shared" ca="1" si="61"/>
        <v>0</v>
      </c>
    </row>
    <row r="390" spans="2:18" x14ac:dyDescent="0.25">
      <c r="B390" t="s">
        <v>1517</v>
      </c>
      <c r="C390" s="39" t="s">
        <v>1518</v>
      </c>
      <c r="D390" s="7" t="e">
        <f ca="1">_xll.xlqPrice(C390)</f>
        <v>#NAME?</v>
      </c>
      <c r="E390" s="9" t="e">
        <f t="shared" ca="1" si="52"/>
        <v>#NAME?</v>
      </c>
      <c r="F390" s="9">
        <f t="shared" ca="1" si="53"/>
        <v>1</v>
      </c>
      <c r="G390" s="8">
        <f t="shared" ca="1" si="54"/>
        <v>0</v>
      </c>
      <c r="H390" s="8">
        <f t="shared" ca="1" si="55"/>
        <v>0</v>
      </c>
      <c r="I390" s="8">
        <f t="shared" ca="1" si="56"/>
        <v>0</v>
      </c>
      <c r="J390" s="6" t="e">
        <f ca="1">_xll.xlqxhSMA($C390,$L$4,$J$7,$K$3)</f>
        <v>#NAME?</v>
      </c>
      <c r="K390" s="7" t="e">
        <f ca="1">_xll.xlqhClose($C390,K$8,$K$3)</f>
        <v>#NAME?</v>
      </c>
      <c r="L390" s="7" t="e">
        <f ca="1">_xll.xlqhClose($C390,L$8,$K$3)</f>
        <v>#NAME?</v>
      </c>
      <c r="N390" s="9">
        <f t="shared" ca="1" si="57"/>
        <v>1</v>
      </c>
      <c r="O390" s="9">
        <f t="shared" ca="1" si="58"/>
        <v>1</v>
      </c>
      <c r="P390" s="9">
        <f t="shared" ca="1" si="59"/>
        <v>1</v>
      </c>
      <c r="Q390" s="9">
        <f t="shared" ca="1" si="60"/>
        <v>1</v>
      </c>
      <c r="R390" s="9">
        <f t="shared" ca="1" si="61"/>
        <v>0</v>
      </c>
    </row>
    <row r="391" spans="2:18" x14ac:dyDescent="0.25">
      <c r="B391" s="17" t="s">
        <v>842</v>
      </c>
      <c r="C391" s="18" t="s">
        <v>843</v>
      </c>
      <c r="D391" s="7" t="e">
        <f ca="1">_xll.xlqPrice(C391)</f>
        <v>#NAME?</v>
      </c>
      <c r="E391" s="9" t="e">
        <f t="shared" ca="1" si="52"/>
        <v>#NAME?</v>
      </c>
      <c r="F391" s="9">
        <f t="shared" ca="1" si="53"/>
        <v>1</v>
      </c>
      <c r="G391" s="8">
        <f t="shared" ca="1" si="54"/>
        <v>0</v>
      </c>
      <c r="H391" s="8">
        <f t="shared" ca="1" si="55"/>
        <v>0</v>
      </c>
      <c r="I391" s="8">
        <f t="shared" ca="1" si="56"/>
        <v>0</v>
      </c>
      <c r="J391" s="6" t="e">
        <f ca="1">_xll.xlqxhSMA($C391,$L$4,$J$7,$K$3)</f>
        <v>#NAME?</v>
      </c>
      <c r="K391" s="7" t="e">
        <f ca="1">_xll.xlqhClose($C391,K$8,$K$3)</f>
        <v>#NAME?</v>
      </c>
      <c r="L391" s="7" t="e">
        <f ca="1">_xll.xlqhClose($C391,L$8,$K$3)</f>
        <v>#NAME?</v>
      </c>
      <c r="N391" s="9">
        <f t="shared" ca="1" si="57"/>
        <v>1</v>
      </c>
      <c r="O391" s="9">
        <f t="shared" ca="1" si="58"/>
        <v>1</v>
      </c>
      <c r="P391" s="9">
        <f t="shared" ca="1" si="59"/>
        <v>1</v>
      </c>
      <c r="Q391" s="9">
        <f t="shared" ca="1" si="60"/>
        <v>1</v>
      </c>
      <c r="R391" s="9">
        <f t="shared" ca="1" si="61"/>
        <v>0</v>
      </c>
    </row>
    <row r="392" spans="2:18" x14ac:dyDescent="0.25">
      <c r="B392" s="17" t="s">
        <v>496</v>
      </c>
      <c r="C392" s="18" t="s">
        <v>497</v>
      </c>
      <c r="D392" s="7" t="e">
        <f ca="1">_xll.xlqPrice(C392)</f>
        <v>#NAME?</v>
      </c>
      <c r="E392" s="9" t="e">
        <f t="shared" ca="1" si="52"/>
        <v>#NAME?</v>
      </c>
      <c r="F392" s="9">
        <f t="shared" ca="1" si="53"/>
        <v>1</v>
      </c>
      <c r="G392" s="8">
        <f t="shared" ca="1" si="54"/>
        <v>0</v>
      </c>
      <c r="H392" s="8">
        <f t="shared" ca="1" si="55"/>
        <v>0</v>
      </c>
      <c r="I392" s="8">
        <f t="shared" ca="1" si="56"/>
        <v>0</v>
      </c>
      <c r="J392" s="6" t="e">
        <f ca="1">_xll.xlqxhSMA($C392,$L$4,$J$7,$K$3)</f>
        <v>#NAME?</v>
      </c>
      <c r="K392" s="7" t="e">
        <f ca="1">_xll.xlqhClose($C392,K$8,$K$3)</f>
        <v>#NAME?</v>
      </c>
      <c r="L392" s="7" t="e">
        <f ca="1">_xll.xlqhClose($C392,L$8,$K$3)</f>
        <v>#NAME?</v>
      </c>
      <c r="N392" s="9">
        <f t="shared" ca="1" si="57"/>
        <v>1</v>
      </c>
      <c r="O392" s="9">
        <f t="shared" ca="1" si="58"/>
        <v>1</v>
      </c>
      <c r="P392" s="9">
        <f t="shared" ca="1" si="59"/>
        <v>1</v>
      </c>
      <c r="Q392" s="9">
        <f t="shared" ca="1" si="60"/>
        <v>1</v>
      </c>
      <c r="R392" s="9">
        <f t="shared" ca="1" si="61"/>
        <v>0</v>
      </c>
    </row>
    <row r="393" spans="2:18" x14ac:dyDescent="0.25">
      <c r="B393" s="17" t="s">
        <v>1083</v>
      </c>
      <c r="C393" s="18" t="s">
        <v>1084</v>
      </c>
      <c r="D393" s="7" t="e">
        <f ca="1">_xll.xlqPrice(C393)</f>
        <v>#NAME?</v>
      </c>
      <c r="E393" s="9" t="e">
        <f t="shared" ca="1" si="52"/>
        <v>#NAME?</v>
      </c>
      <c r="F393" s="9">
        <f t="shared" ca="1" si="53"/>
        <v>1</v>
      </c>
      <c r="G393" s="8">
        <f t="shared" ca="1" si="54"/>
        <v>0</v>
      </c>
      <c r="H393" s="8">
        <f t="shared" ca="1" si="55"/>
        <v>0</v>
      </c>
      <c r="I393" s="8">
        <f t="shared" ca="1" si="56"/>
        <v>0</v>
      </c>
      <c r="J393" s="6" t="e">
        <f ca="1">_xll.xlqxhSMA($C393,$L$4,$J$7,$K$3)</f>
        <v>#NAME?</v>
      </c>
      <c r="K393" s="7" t="e">
        <f ca="1">_xll.xlqhClose($C393,K$8,$K$3)</f>
        <v>#NAME?</v>
      </c>
      <c r="L393" s="7" t="e">
        <f ca="1">_xll.xlqhClose($C393,L$8,$K$3)</f>
        <v>#NAME?</v>
      </c>
      <c r="N393" s="9">
        <f t="shared" ca="1" si="57"/>
        <v>1</v>
      </c>
      <c r="O393" s="9">
        <f t="shared" ca="1" si="58"/>
        <v>1</v>
      </c>
      <c r="P393" s="9">
        <f t="shared" ca="1" si="59"/>
        <v>1</v>
      </c>
      <c r="Q393" s="9">
        <f t="shared" ca="1" si="60"/>
        <v>1</v>
      </c>
      <c r="R393" s="9">
        <f t="shared" ca="1" si="61"/>
        <v>0</v>
      </c>
    </row>
    <row r="394" spans="2:18" x14ac:dyDescent="0.25">
      <c r="B394" s="17" t="s">
        <v>2313</v>
      </c>
      <c r="C394" s="18" t="s">
        <v>2314</v>
      </c>
      <c r="D394" s="7" t="e">
        <f ca="1">_xll.xlqPrice(C394)</f>
        <v>#NAME?</v>
      </c>
      <c r="E394" s="9" t="e">
        <f t="shared" ca="1" si="52"/>
        <v>#NAME?</v>
      </c>
      <c r="F394" s="9">
        <f t="shared" ca="1" si="53"/>
        <v>1</v>
      </c>
      <c r="G394" s="8">
        <f t="shared" ca="1" si="54"/>
        <v>0</v>
      </c>
      <c r="H394" s="8">
        <f t="shared" ca="1" si="55"/>
        <v>0</v>
      </c>
      <c r="I394" s="8">
        <f t="shared" ca="1" si="56"/>
        <v>0</v>
      </c>
      <c r="J394" s="6" t="e">
        <f ca="1">_xll.xlqxhSMA($C394,$L$4,$J$7,$K$3)</f>
        <v>#NAME?</v>
      </c>
      <c r="K394" s="7" t="e">
        <f ca="1">_xll.xlqhClose($C394,K$8,$K$3)</f>
        <v>#NAME?</v>
      </c>
      <c r="L394" s="7" t="e">
        <f ca="1">_xll.xlqhClose($C394,L$8,$K$3)</f>
        <v>#NAME?</v>
      </c>
      <c r="N394" s="9">
        <f t="shared" ca="1" si="57"/>
        <v>1</v>
      </c>
      <c r="O394" s="9">
        <f t="shared" ca="1" si="58"/>
        <v>1</v>
      </c>
      <c r="P394" s="9">
        <f t="shared" ca="1" si="59"/>
        <v>1</v>
      </c>
      <c r="Q394" s="9">
        <f t="shared" ca="1" si="60"/>
        <v>1</v>
      </c>
      <c r="R394" s="9">
        <f t="shared" ca="1" si="61"/>
        <v>0</v>
      </c>
    </row>
    <row r="395" spans="2:18" x14ac:dyDescent="0.25">
      <c r="B395" s="17" t="s">
        <v>158</v>
      </c>
      <c r="C395" s="18" t="s">
        <v>159</v>
      </c>
      <c r="D395" s="7" t="e">
        <f ca="1">_xll.xlqPrice(C395)</f>
        <v>#NAME?</v>
      </c>
      <c r="E395" s="9" t="e">
        <f t="shared" ref="E395:E458" ca="1" si="62">IF(D395&gt;J395, "Buy","Cash")</f>
        <v>#NAME?</v>
      </c>
      <c r="F395" s="9">
        <f t="shared" ref="F395:F458" ca="1" si="63">RANK(I395,$I$11:$I$1138,0)</f>
        <v>1</v>
      </c>
      <c r="G395" s="8">
        <f t="shared" ref="G395:G458" ca="1" si="64">IFERROR(($D395-K395)/K395,0)</f>
        <v>0</v>
      </c>
      <c r="H395" s="8">
        <f t="shared" ref="H395:H458" ca="1" si="65">IFERROR(($D395-L395)/L395,0)</f>
        <v>0</v>
      </c>
      <c r="I395" s="8">
        <f t="shared" ref="I395:I458" ca="1" si="66">IFERROR((G395*$G$8)+(H395*$H$8),0)</f>
        <v>0</v>
      </c>
      <c r="J395" s="6" t="e">
        <f ca="1">_xll.xlqxhSMA($C395,$L$4,$J$7,$K$3)</f>
        <v>#NAME?</v>
      </c>
      <c r="K395" s="7" t="e">
        <f ca="1">_xll.xlqhClose($C395,K$8,$K$3)</f>
        <v>#NAME?</v>
      </c>
      <c r="L395" s="7" t="e">
        <f ca="1">_xll.xlqhClose($C395,L$8,$K$3)</f>
        <v>#NAME?</v>
      </c>
      <c r="N395" s="9">
        <f t="shared" ref="N395:N458" ca="1" si="67">RANK($G395,G$11:G$1138,0)</f>
        <v>1</v>
      </c>
      <c r="O395" s="9">
        <f t="shared" ref="O395:O458" ca="1" si="68">RANK($H395,H$11:H$1138,0)</f>
        <v>1</v>
      </c>
      <c r="P395" s="9">
        <f t="shared" ref="P395:P458" ca="1" si="69">RANK($I395,I$11:I$1138,0)</f>
        <v>1</v>
      </c>
      <c r="Q395" s="9">
        <f t="shared" ref="Q395:Q458" ca="1" si="70">RANK($P395,P$11:P$1138,1)</f>
        <v>1</v>
      </c>
      <c r="R395" s="9">
        <f t="shared" ref="R395:R458" ca="1" si="71">F395-Q395</f>
        <v>0</v>
      </c>
    </row>
    <row r="396" spans="2:18" x14ac:dyDescent="0.25">
      <c r="B396" t="s">
        <v>1367</v>
      </c>
      <c r="C396" s="39" t="s">
        <v>1368</v>
      </c>
      <c r="D396" s="7" t="e">
        <f ca="1">_xll.xlqPrice(C396)</f>
        <v>#NAME?</v>
      </c>
      <c r="E396" s="9" t="e">
        <f t="shared" ca="1" si="62"/>
        <v>#NAME?</v>
      </c>
      <c r="F396" s="9">
        <f t="shared" ca="1" si="63"/>
        <v>1</v>
      </c>
      <c r="G396" s="8">
        <f t="shared" ca="1" si="64"/>
        <v>0</v>
      </c>
      <c r="H396" s="8">
        <f t="shared" ca="1" si="65"/>
        <v>0</v>
      </c>
      <c r="I396" s="8">
        <f t="shared" ca="1" si="66"/>
        <v>0</v>
      </c>
      <c r="J396" s="6" t="e">
        <f ca="1">_xll.xlqxhSMA($C396,$L$4,$J$7,$K$3)</f>
        <v>#NAME?</v>
      </c>
      <c r="K396" s="7" t="e">
        <f ca="1">_xll.xlqhClose($C396,K$8,$K$3)</f>
        <v>#NAME?</v>
      </c>
      <c r="L396" s="7" t="e">
        <f ca="1">_xll.xlqhClose($C396,L$8,$K$3)</f>
        <v>#NAME?</v>
      </c>
      <c r="N396" s="9">
        <f t="shared" ca="1" si="67"/>
        <v>1</v>
      </c>
      <c r="O396" s="9">
        <f t="shared" ca="1" si="68"/>
        <v>1</v>
      </c>
      <c r="P396" s="9">
        <f t="shared" ca="1" si="69"/>
        <v>1</v>
      </c>
      <c r="Q396" s="9">
        <f t="shared" ca="1" si="70"/>
        <v>1</v>
      </c>
      <c r="R396" s="9">
        <f t="shared" ca="1" si="71"/>
        <v>0</v>
      </c>
    </row>
    <row r="397" spans="2:18" x14ac:dyDescent="0.25">
      <c r="B397" s="17" t="s">
        <v>914</v>
      </c>
      <c r="C397" s="18" t="s">
        <v>915</v>
      </c>
      <c r="D397" s="7" t="e">
        <f ca="1">_xll.xlqPrice(C397)</f>
        <v>#NAME?</v>
      </c>
      <c r="E397" s="9" t="e">
        <f t="shared" ca="1" si="62"/>
        <v>#NAME?</v>
      </c>
      <c r="F397" s="9">
        <f t="shared" ca="1" si="63"/>
        <v>1</v>
      </c>
      <c r="G397" s="8">
        <f t="shared" ca="1" si="64"/>
        <v>0</v>
      </c>
      <c r="H397" s="8">
        <f t="shared" ca="1" si="65"/>
        <v>0</v>
      </c>
      <c r="I397" s="8">
        <f t="shared" ca="1" si="66"/>
        <v>0</v>
      </c>
      <c r="J397" s="6" t="e">
        <f ca="1">_xll.xlqxhSMA($C397,$L$4,$J$7,$K$3)</f>
        <v>#NAME?</v>
      </c>
      <c r="K397" s="7" t="e">
        <f ca="1">_xll.xlqhClose($C397,K$8,$K$3)</f>
        <v>#NAME?</v>
      </c>
      <c r="L397" s="7" t="e">
        <f ca="1">_xll.xlqhClose($C397,L$8,$K$3)</f>
        <v>#NAME?</v>
      </c>
      <c r="N397" s="9">
        <f t="shared" ca="1" si="67"/>
        <v>1</v>
      </c>
      <c r="O397" s="9">
        <f t="shared" ca="1" si="68"/>
        <v>1</v>
      </c>
      <c r="P397" s="9">
        <f t="shared" ca="1" si="69"/>
        <v>1</v>
      </c>
      <c r="Q397" s="9">
        <f t="shared" ca="1" si="70"/>
        <v>1</v>
      </c>
      <c r="R397" s="9">
        <f t="shared" ca="1" si="71"/>
        <v>0</v>
      </c>
    </row>
    <row r="398" spans="2:18" x14ac:dyDescent="0.25">
      <c r="B398" s="17" t="s">
        <v>2203</v>
      </c>
      <c r="C398" s="18" t="s">
        <v>2204</v>
      </c>
      <c r="D398" s="7" t="e">
        <f ca="1">_xll.xlqPrice(C398)</f>
        <v>#NAME?</v>
      </c>
      <c r="E398" s="9" t="e">
        <f t="shared" ca="1" si="62"/>
        <v>#NAME?</v>
      </c>
      <c r="F398" s="9">
        <f t="shared" ca="1" si="63"/>
        <v>1</v>
      </c>
      <c r="G398" s="8">
        <f t="shared" ca="1" si="64"/>
        <v>0</v>
      </c>
      <c r="H398" s="8">
        <f t="shared" ca="1" si="65"/>
        <v>0</v>
      </c>
      <c r="I398" s="8">
        <f t="shared" ca="1" si="66"/>
        <v>0</v>
      </c>
      <c r="J398" s="6" t="e">
        <f ca="1">_xll.xlqxhSMA($C398,$L$4,$J$7,$K$3)</f>
        <v>#NAME?</v>
      </c>
      <c r="K398" s="7" t="e">
        <f ca="1">_xll.xlqhClose($C398,K$8,$K$3)</f>
        <v>#NAME?</v>
      </c>
      <c r="L398" s="7" t="e">
        <f ca="1">_xll.xlqhClose($C398,L$8,$K$3)</f>
        <v>#NAME?</v>
      </c>
      <c r="N398" s="9">
        <f t="shared" ca="1" si="67"/>
        <v>1</v>
      </c>
      <c r="O398" s="9">
        <f t="shared" ca="1" si="68"/>
        <v>1</v>
      </c>
      <c r="P398" s="9">
        <f t="shared" ca="1" si="69"/>
        <v>1</v>
      </c>
      <c r="Q398" s="9">
        <f t="shared" ca="1" si="70"/>
        <v>1</v>
      </c>
      <c r="R398" s="9">
        <f t="shared" ca="1" si="71"/>
        <v>0</v>
      </c>
    </row>
    <row r="399" spans="2:18" x14ac:dyDescent="0.25">
      <c r="B399" s="17" t="s">
        <v>2139</v>
      </c>
      <c r="C399" s="18" t="s">
        <v>2140</v>
      </c>
      <c r="D399" s="7" t="e">
        <f ca="1">_xll.xlqPrice(C399)</f>
        <v>#NAME?</v>
      </c>
      <c r="E399" s="9" t="e">
        <f t="shared" ca="1" si="62"/>
        <v>#NAME?</v>
      </c>
      <c r="F399" s="9">
        <f t="shared" ca="1" si="63"/>
        <v>1</v>
      </c>
      <c r="G399" s="8">
        <f t="shared" ca="1" si="64"/>
        <v>0</v>
      </c>
      <c r="H399" s="8">
        <f t="shared" ca="1" si="65"/>
        <v>0</v>
      </c>
      <c r="I399" s="8">
        <f t="shared" ca="1" si="66"/>
        <v>0</v>
      </c>
      <c r="J399" s="6" t="e">
        <f ca="1">_xll.xlqxhSMA($C399,$L$4,$J$7,$K$3)</f>
        <v>#NAME?</v>
      </c>
      <c r="K399" s="7" t="e">
        <f ca="1">_xll.xlqhClose($C399,K$8,$K$3)</f>
        <v>#NAME?</v>
      </c>
      <c r="L399" s="7" t="e">
        <f ca="1">_xll.xlqhClose($C399,L$8,$K$3)</f>
        <v>#NAME?</v>
      </c>
      <c r="N399" s="9">
        <f t="shared" ca="1" si="67"/>
        <v>1</v>
      </c>
      <c r="O399" s="9">
        <f t="shared" ca="1" si="68"/>
        <v>1</v>
      </c>
      <c r="P399" s="9">
        <f t="shared" ca="1" si="69"/>
        <v>1</v>
      </c>
      <c r="Q399" s="9">
        <f t="shared" ca="1" si="70"/>
        <v>1</v>
      </c>
      <c r="R399" s="9">
        <f t="shared" ca="1" si="71"/>
        <v>0</v>
      </c>
    </row>
    <row r="400" spans="2:18" x14ac:dyDescent="0.25">
      <c r="B400" s="17" t="s">
        <v>1331</v>
      </c>
      <c r="C400" s="18" t="s">
        <v>1332</v>
      </c>
      <c r="D400" s="7" t="e">
        <f ca="1">_xll.xlqPrice(C400)</f>
        <v>#NAME?</v>
      </c>
      <c r="E400" s="9" t="e">
        <f t="shared" ca="1" si="62"/>
        <v>#NAME?</v>
      </c>
      <c r="F400" s="9">
        <f t="shared" ca="1" si="63"/>
        <v>1</v>
      </c>
      <c r="G400" s="8">
        <f t="shared" ca="1" si="64"/>
        <v>0</v>
      </c>
      <c r="H400" s="8">
        <f t="shared" ca="1" si="65"/>
        <v>0</v>
      </c>
      <c r="I400" s="8">
        <f t="shared" ca="1" si="66"/>
        <v>0</v>
      </c>
      <c r="J400" s="6" t="e">
        <f ca="1">_xll.xlqxhSMA($C400,$L$4,$J$7,$K$3)</f>
        <v>#NAME?</v>
      </c>
      <c r="K400" s="7" t="e">
        <f ca="1">_xll.xlqhClose($C400,K$8,$K$3)</f>
        <v>#NAME?</v>
      </c>
      <c r="L400" s="7" t="e">
        <f ca="1">_xll.xlqhClose($C400,L$8,$K$3)</f>
        <v>#NAME?</v>
      </c>
      <c r="N400" s="9">
        <f t="shared" ca="1" si="67"/>
        <v>1</v>
      </c>
      <c r="O400" s="9">
        <f t="shared" ca="1" si="68"/>
        <v>1</v>
      </c>
      <c r="P400" s="9">
        <f t="shared" ca="1" si="69"/>
        <v>1</v>
      </c>
      <c r="Q400" s="9">
        <f t="shared" ca="1" si="70"/>
        <v>1</v>
      </c>
      <c r="R400" s="9">
        <f t="shared" ca="1" si="71"/>
        <v>0</v>
      </c>
    </row>
    <row r="401" spans="2:18" x14ac:dyDescent="0.25">
      <c r="B401" s="17" t="s">
        <v>1801</v>
      </c>
      <c r="C401" s="18" t="s">
        <v>1802</v>
      </c>
      <c r="D401" s="7" t="e">
        <f ca="1">_xll.xlqPrice(C401)</f>
        <v>#NAME?</v>
      </c>
      <c r="E401" s="9" t="e">
        <f t="shared" ca="1" si="62"/>
        <v>#NAME?</v>
      </c>
      <c r="F401" s="9">
        <f t="shared" ca="1" si="63"/>
        <v>1</v>
      </c>
      <c r="G401" s="8">
        <f t="shared" ca="1" si="64"/>
        <v>0</v>
      </c>
      <c r="H401" s="8">
        <f t="shared" ca="1" si="65"/>
        <v>0</v>
      </c>
      <c r="I401" s="8">
        <f t="shared" ca="1" si="66"/>
        <v>0</v>
      </c>
      <c r="J401" s="6" t="e">
        <f ca="1">_xll.xlqxhSMA($C401,$L$4,$J$7,$K$3)</f>
        <v>#NAME?</v>
      </c>
      <c r="K401" s="7" t="e">
        <f ca="1">_xll.xlqhClose($C401,K$8,$K$3)</f>
        <v>#NAME?</v>
      </c>
      <c r="L401" s="7" t="e">
        <f ca="1">_xll.xlqhClose($C401,L$8,$K$3)</f>
        <v>#NAME?</v>
      </c>
      <c r="N401" s="9">
        <f t="shared" ca="1" si="67"/>
        <v>1</v>
      </c>
      <c r="O401" s="9">
        <f t="shared" ca="1" si="68"/>
        <v>1</v>
      </c>
      <c r="P401" s="9">
        <f t="shared" ca="1" si="69"/>
        <v>1</v>
      </c>
      <c r="Q401" s="9">
        <f t="shared" ca="1" si="70"/>
        <v>1</v>
      </c>
      <c r="R401" s="9">
        <f t="shared" ca="1" si="71"/>
        <v>0</v>
      </c>
    </row>
    <row r="402" spans="2:18" x14ac:dyDescent="0.25">
      <c r="B402" s="17" t="s">
        <v>2267</v>
      </c>
      <c r="C402" s="18" t="s">
        <v>2268</v>
      </c>
      <c r="D402" s="7" t="e">
        <f ca="1">_xll.xlqPrice(C402)</f>
        <v>#NAME?</v>
      </c>
      <c r="E402" s="9" t="e">
        <f t="shared" ca="1" si="62"/>
        <v>#NAME?</v>
      </c>
      <c r="F402" s="9">
        <f t="shared" ca="1" si="63"/>
        <v>1</v>
      </c>
      <c r="G402" s="8">
        <f t="shared" ca="1" si="64"/>
        <v>0</v>
      </c>
      <c r="H402" s="8">
        <f t="shared" ca="1" si="65"/>
        <v>0</v>
      </c>
      <c r="I402" s="8">
        <f t="shared" ca="1" si="66"/>
        <v>0</v>
      </c>
      <c r="J402" s="6" t="e">
        <f ca="1">_xll.xlqxhSMA($C402,$L$4,$J$7,$K$3)</f>
        <v>#NAME?</v>
      </c>
      <c r="K402" s="7" t="e">
        <f ca="1">_xll.xlqhClose($C402,K$8,$K$3)</f>
        <v>#NAME?</v>
      </c>
      <c r="L402" s="7" t="e">
        <f ca="1">_xll.xlqhClose($C402,L$8,$K$3)</f>
        <v>#NAME?</v>
      </c>
      <c r="N402" s="9">
        <f t="shared" ca="1" si="67"/>
        <v>1</v>
      </c>
      <c r="O402" s="9">
        <f t="shared" ca="1" si="68"/>
        <v>1</v>
      </c>
      <c r="P402" s="9">
        <f t="shared" ca="1" si="69"/>
        <v>1</v>
      </c>
      <c r="Q402" s="9">
        <f t="shared" ca="1" si="70"/>
        <v>1</v>
      </c>
      <c r="R402" s="9">
        <f t="shared" ca="1" si="71"/>
        <v>0</v>
      </c>
    </row>
    <row r="403" spans="2:18" x14ac:dyDescent="0.25">
      <c r="B403" s="17" t="s">
        <v>2307</v>
      </c>
      <c r="C403" s="18" t="s">
        <v>2308</v>
      </c>
      <c r="D403" s="7" t="e">
        <f ca="1">_xll.xlqPrice(C403)</f>
        <v>#NAME?</v>
      </c>
      <c r="E403" s="9" t="e">
        <f t="shared" ca="1" si="62"/>
        <v>#NAME?</v>
      </c>
      <c r="F403" s="9">
        <f t="shared" ca="1" si="63"/>
        <v>1</v>
      </c>
      <c r="G403" s="8">
        <f t="shared" ca="1" si="64"/>
        <v>0</v>
      </c>
      <c r="H403" s="8">
        <f t="shared" ca="1" si="65"/>
        <v>0</v>
      </c>
      <c r="I403" s="8">
        <f t="shared" ca="1" si="66"/>
        <v>0</v>
      </c>
      <c r="J403" s="6" t="e">
        <f ca="1">_xll.xlqxhSMA($C403,$L$4,$J$7,$K$3)</f>
        <v>#NAME?</v>
      </c>
      <c r="K403" s="7" t="e">
        <f ca="1">_xll.xlqhClose($C403,K$8,$K$3)</f>
        <v>#NAME?</v>
      </c>
      <c r="L403" s="7" t="e">
        <f ca="1">_xll.xlqhClose($C403,L$8,$K$3)</f>
        <v>#NAME?</v>
      </c>
      <c r="N403" s="9">
        <f t="shared" ca="1" si="67"/>
        <v>1</v>
      </c>
      <c r="O403" s="9">
        <f t="shared" ca="1" si="68"/>
        <v>1</v>
      </c>
      <c r="P403" s="9">
        <f t="shared" ca="1" si="69"/>
        <v>1</v>
      </c>
      <c r="Q403" s="9">
        <f t="shared" ca="1" si="70"/>
        <v>1</v>
      </c>
      <c r="R403" s="9">
        <f t="shared" ca="1" si="71"/>
        <v>0</v>
      </c>
    </row>
    <row r="404" spans="2:18" x14ac:dyDescent="0.25">
      <c r="B404" t="s">
        <v>1305</v>
      </c>
      <c r="C404" s="39" t="s">
        <v>1306</v>
      </c>
      <c r="D404" s="7" t="e">
        <f ca="1">_xll.xlqPrice(C404)</f>
        <v>#NAME?</v>
      </c>
      <c r="E404" s="9" t="e">
        <f t="shared" ca="1" si="62"/>
        <v>#NAME?</v>
      </c>
      <c r="F404" s="9">
        <f t="shared" ca="1" si="63"/>
        <v>1</v>
      </c>
      <c r="G404" s="8">
        <f t="shared" ca="1" si="64"/>
        <v>0</v>
      </c>
      <c r="H404" s="8">
        <f t="shared" ca="1" si="65"/>
        <v>0</v>
      </c>
      <c r="I404" s="8">
        <f t="shared" ca="1" si="66"/>
        <v>0</v>
      </c>
      <c r="J404" s="6" t="e">
        <f ca="1">_xll.xlqxhSMA($C404,$L$4,$J$7,$K$3)</f>
        <v>#NAME?</v>
      </c>
      <c r="K404" s="7" t="e">
        <f ca="1">_xll.xlqhClose($C404,K$8,$K$3)</f>
        <v>#NAME?</v>
      </c>
      <c r="L404" s="7" t="e">
        <f ca="1">_xll.xlqhClose($C404,L$8,$K$3)</f>
        <v>#NAME?</v>
      </c>
      <c r="N404" s="9">
        <f t="shared" ca="1" si="67"/>
        <v>1</v>
      </c>
      <c r="O404" s="9">
        <f t="shared" ca="1" si="68"/>
        <v>1</v>
      </c>
      <c r="P404" s="9">
        <f t="shared" ca="1" si="69"/>
        <v>1</v>
      </c>
      <c r="Q404" s="9">
        <f t="shared" ca="1" si="70"/>
        <v>1</v>
      </c>
      <c r="R404" s="9">
        <f t="shared" ca="1" si="71"/>
        <v>0</v>
      </c>
    </row>
    <row r="405" spans="2:18" x14ac:dyDescent="0.25">
      <c r="B405" t="s">
        <v>2015</v>
      </c>
      <c r="C405" s="39" t="s">
        <v>2016</v>
      </c>
      <c r="D405" s="7" t="e">
        <f ca="1">_xll.xlqPrice(C405)</f>
        <v>#NAME?</v>
      </c>
      <c r="E405" s="9" t="e">
        <f t="shared" ca="1" si="62"/>
        <v>#NAME?</v>
      </c>
      <c r="F405" s="9">
        <f t="shared" ca="1" si="63"/>
        <v>1</v>
      </c>
      <c r="G405" s="8">
        <f t="shared" ca="1" si="64"/>
        <v>0</v>
      </c>
      <c r="H405" s="8">
        <f t="shared" ca="1" si="65"/>
        <v>0</v>
      </c>
      <c r="I405" s="8">
        <f t="shared" ca="1" si="66"/>
        <v>0</v>
      </c>
      <c r="J405" s="6" t="e">
        <f ca="1">_xll.xlqxhSMA($C405,$L$4,$J$7,$K$3)</f>
        <v>#NAME?</v>
      </c>
      <c r="K405" s="7" t="e">
        <f ca="1">_xll.xlqhClose($C405,K$8,$K$3)</f>
        <v>#NAME?</v>
      </c>
      <c r="L405" s="7" t="e">
        <f ca="1">_xll.xlqhClose($C405,L$8,$K$3)</f>
        <v>#NAME?</v>
      </c>
      <c r="N405" s="9">
        <f t="shared" ca="1" si="67"/>
        <v>1</v>
      </c>
      <c r="O405" s="9">
        <f t="shared" ca="1" si="68"/>
        <v>1</v>
      </c>
      <c r="P405" s="9">
        <f t="shared" ca="1" si="69"/>
        <v>1</v>
      </c>
      <c r="Q405" s="9">
        <f t="shared" ca="1" si="70"/>
        <v>1</v>
      </c>
      <c r="R405" s="9">
        <f t="shared" ca="1" si="71"/>
        <v>0</v>
      </c>
    </row>
    <row r="406" spans="2:18" x14ac:dyDescent="0.25">
      <c r="B406" s="17" t="s">
        <v>1033</v>
      </c>
      <c r="C406" s="18" t="s">
        <v>1034</v>
      </c>
      <c r="D406" s="7" t="e">
        <f ca="1">_xll.xlqPrice(C406)</f>
        <v>#NAME?</v>
      </c>
      <c r="E406" s="9" t="e">
        <f t="shared" ca="1" si="62"/>
        <v>#NAME?</v>
      </c>
      <c r="F406" s="9">
        <f t="shared" ca="1" si="63"/>
        <v>1</v>
      </c>
      <c r="G406" s="8">
        <f t="shared" ca="1" si="64"/>
        <v>0</v>
      </c>
      <c r="H406" s="8">
        <f t="shared" ca="1" si="65"/>
        <v>0</v>
      </c>
      <c r="I406" s="8">
        <f t="shared" ca="1" si="66"/>
        <v>0</v>
      </c>
      <c r="J406" s="6" t="e">
        <f ca="1">_xll.xlqxhSMA($C406,$L$4,$J$7,$K$3)</f>
        <v>#NAME?</v>
      </c>
      <c r="K406" s="7" t="e">
        <f ca="1">_xll.xlqhClose($C406,K$8,$K$3)</f>
        <v>#NAME?</v>
      </c>
      <c r="L406" s="7" t="e">
        <f ca="1">_xll.xlqhClose($C406,L$8,$K$3)</f>
        <v>#NAME?</v>
      </c>
      <c r="N406" s="9">
        <f t="shared" ca="1" si="67"/>
        <v>1</v>
      </c>
      <c r="O406" s="9">
        <f t="shared" ca="1" si="68"/>
        <v>1</v>
      </c>
      <c r="P406" s="9">
        <f t="shared" ca="1" si="69"/>
        <v>1</v>
      </c>
      <c r="Q406" s="9">
        <f t="shared" ca="1" si="70"/>
        <v>1</v>
      </c>
      <c r="R406" s="9">
        <f t="shared" ca="1" si="71"/>
        <v>0</v>
      </c>
    </row>
    <row r="407" spans="2:18" x14ac:dyDescent="0.25">
      <c r="B407" s="17" t="s">
        <v>444</v>
      </c>
      <c r="C407" s="18" t="s">
        <v>445</v>
      </c>
      <c r="D407" s="7" t="e">
        <f ca="1">_xll.xlqPrice(C407)</f>
        <v>#NAME?</v>
      </c>
      <c r="E407" s="9" t="e">
        <f t="shared" ca="1" si="62"/>
        <v>#NAME?</v>
      </c>
      <c r="F407" s="9">
        <f t="shared" ca="1" si="63"/>
        <v>1</v>
      </c>
      <c r="G407" s="8">
        <f t="shared" ca="1" si="64"/>
        <v>0</v>
      </c>
      <c r="H407" s="8">
        <f t="shared" ca="1" si="65"/>
        <v>0</v>
      </c>
      <c r="I407" s="8">
        <f t="shared" ca="1" si="66"/>
        <v>0</v>
      </c>
      <c r="J407" s="6" t="e">
        <f ca="1">_xll.xlqxhSMA($C407,$L$4,$J$7,$K$3)</f>
        <v>#NAME?</v>
      </c>
      <c r="K407" s="7" t="e">
        <f ca="1">_xll.xlqhClose($C407,K$8,$K$3)</f>
        <v>#NAME?</v>
      </c>
      <c r="L407" s="7" t="e">
        <f ca="1">_xll.xlqhClose($C407,L$8,$K$3)</f>
        <v>#NAME?</v>
      </c>
      <c r="N407" s="9">
        <f t="shared" ca="1" si="67"/>
        <v>1</v>
      </c>
      <c r="O407" s="9">
        <f t="shared" ca="1" si="68"/>
        <v>1</v>
      </c>
      <c r="P407" s="9">
        <f t="shared" ca="1" si="69"/>
        <v>1</v>
      </c>
      <c r="Q407" s="9">
        <f t="shared" ca="1" si="70"/>
        <v>1</v>
      </c>
      <c r="R407" s="9">
        <f t="shared" ca="1" si="71"/>
        <v>0</v>
      </c>
    </row>
    <row r="408" spans="2:18" x14ac:dyDescent="0.25">
      <c r="B408" s="17" t="s">
        <v>1435</v>
      </c>
      <c r="C408" s="18" t="s">
        <v>1436</v>
      </c>
      <c r="D408" s="7" t="e">
        <f ca="1">_xll.xlqPrice(C408)</f>
        <v>#NAME?</v>
      </c>
      <c r="E408" s="9" t="e">
        <f t="shared" ca="1" si="62"/>
        <v>#NAME?</v>
      </c>
      <c r="F408" s="9">
        <f t="shared" ca="1" si="63"/>
        <v>1</v>
      </c>
      <c r="G408" s="8">
        <f t="shared" ca="1" si="64"/>
        <v>0</v>
      </c>
      <c r="H408" s="8">
        <f t="shared" ca="1" si="65"/>
        <v>0</v>
      </c>
      <c r="I408" s="8">
        <f t="shared" ca="1" si="66"/>
        <v>0</v>
      </c>
      <c r="J408" s="6" t="e">
        <f ca="1">_xll.xlqxhSMA($C408,$L$4,$J$7,$K$3)</f>
        <v>#NAME?</v>
      </c>
      <c r="K408" s="7" t="e">
        <f ca="1">_xll.xlqhClose($C408,K$8,$K$3)</f>
        <v>#NAME?</v>
      </c>
      <c r="L408" s="7" t="e">
        <f ca="1">_xll.xlqhClose($C408,L$8,$K$3)</f>
        <v>#NAME?</v>
      </c>
      <c r="N408" s="9">
        <f t="shared" ca="1" si="67"/>
        <v>1</v>
      </c>
      <c r="O408" s="9">
        <f t="shared" ca="1" si="68"/>
        <v>1</v>
      </c>
      <c r="P408" s="9">
        <f t="shared" ca="1" si="69"/>
        <v>1</v>
      </c>
      <c r="Q408" s="9">
        <f t="shared" ca="1" si="70"/>
        <v>1</v>
      </c>
      <c r="R408" s="9">
        <f t="shared" ca="1" si="71"/>
        <v>0</v>
      </c>
    </row>
    <row r="409" spans="2:18" x14ac:dyDescent="0.25">
      <c r="B409" t="s">
        <v>1691</v>
      </c>
      <c r="C409" s="39" t="s">
        <v>1692</v>
      </c>
      <c r="D409" s="7" t="e">
        <f ca="1">_xll.xlqPrice(C409)</f>
        <v>#NAME?</v>
      </c>
      <c r="E409" s="9" t="e">
        <f t="shared" ca="1" si="62"/>
        <v>#NAME?</v>
      </c>
      <c r="F409" s="9">
        <f t="shared" ca="1" si="63"/>
        <v>1</v>
      </c>
      <c r="G409" s="8">
        <f t="shared" ca="1" si="64"/>
        <v>0</v>
      </c>
      <c r="H409" s="8">
        <f t="shared" ca="1" si="65"/>
        <v>0</v>
      </c>
      <c r="I409" s="8">
        <f t="shared" ca="1" si="66"/>
        <v>0</v>
      </c>
      <c r="J409" s="6" t="e">
        <f ca="1">_xll.xlqxhSMA($C409,$L$4,$J$7,$K$3)</f>
        <v>#NAME?</v>
      </c>
      <c r="K409" s="7" t="e">
        <f ca="1">_xll.xlqhClose($C409,K$8,$K$3)</f>
        <v>#NAME?</v>
      </c>
      <c r="L409" s="7" t="e">
        <f ca="1">_xll.xlqhClose($C409,L$8,$K$3)</f>
        <v>#NAME?</v>
      </c>
      <c r="N409" s="9">
        <f t="shared" ca="1" si="67"/>
        <v>1</v>
      </c>
      <c r="O409" s="9">
        <f t="shared" ca="1" si="68"/>
        <v>1</v>
      </c>
      <c r="P409" s="9">
        <f t="shared" ca="1" si="69"/>
        <v>1</v>
      </c>
      <c r="Q409" s="9">
        <f t="shared" ca="1" si="70"/>
        <v>1</v>
      </c>
      <c r="R409" s="9">
        <f t="shared" ca="1" si="71"/>
        <v>0</v>
      </c>
    </row>
    <row r="410" spans="2:18" x14ac:dyDescent="0.25">
      <c r="B410" t="s">
        <v>1651</v>
      </c>
      <c r="C410" s="39" t="s">
        <v>1652</v>
      </c>
      <c r="D410" s="7" t="e">
        <f ca="1">_xll.xlqPrice(C410)</f>
        <v>#NAME?</v>
      </c>
      <c r="E410" s="9" t="e">
        <f t="shared" ca="1" si="62"/>
        <v>#NAME?</v>
      </c>
      <c r="F410" s="9">
        <f t="shared" ca="1" si="63"/>
        <v>1</v>
      </c>
      <c r="G410" s="8">
        <f t="shared" ca="1" si="64"/>
        <v>0</v>
      </c>
      <c r="H410" s="8">
        <f t="shared" ca="1" si="65"/>
        <v>0</v>
      </c>
      <c r="I410" s="8">
        <f t="shared" ca="1" si="66"/>
        <v>0</v>
      </c>
      <c r="J410" s="6" t="e">
        <f ca="1">_xll.xlqxhSMA($C410,$L$4,$J$7,$K$3)</f>
        <v>#NAME?</v>
      </c>
      <c r="K410" s="7" t="e">
        <f ca="1">_xll.xlqhClose($C410,K$8,$K$3)</f>
        <v>#NAME?</v>
      </c>
      <c r="L410" s="7" t="e">
        <f ca="1">_xll.xlqhClose($C410,L$8,$K$3)</f>
        <v>#NAME?</v>
      </c>
      <c r="N410" s="9">
        <f t="shared" ca="1" si="67"/>
        <v>1</v>
      </c>
      <c r="O410" s="9">
        <f t="shared" ca="1" si="68"/>
        <v>1</v>
      </c>
      <c r="P410" s="9">
        <f t="shared" ca="1" si="69"/>
        <v>1</v>
      </c>
      <c r="Q410" s="9">
        <f t="shared" ca="1" si="70"/>
        <v>1</v>
      </c>
      <c r="R410" s="9">
        <f t="shared" ca="1" si="71"/>
        <v>0</v>
      </c>
    </row>
    <row r="411" spans="2:18" x14ac:dyDescent="0.25">
      <c r="B411" s="17" t="s">
        <v>362</v>
      </c>
      <c r="C411" s="18" t="s">
        <v>363</v>
      </c>
      <c r="D411" s="7" t="e">
        <f ca="1">_xll.xlqPrice(C411)</f>
        <v>#NAME?</v>
      </c>
      <c r="E411" s="9" t="e">
        <f t="shared" ca="1" si="62"/>
        <v>#NAME?</v>
      </c>
      <c r="F411" s="9">
        <f t="shared" ca="1" si="63"/>
        <v>1</v>
      </c>
      <c r="G411" s="8">
        <f t="shared" ca="1" si="64"/>
        <v>0</v>
      </c>
      <c r="H411" s="8">
        <f t="shared" ca="1" si="65"/>
        <v>0</v>
      </c>
      <c r="I411" s="8">
        <f t="shared" ca="1" si="66"/>
        <v>0</v>
      </c>
      <c r="J411" s="6" t="e">
        <f ca="1">_xll.xlqxhSMA($C411,$L$4,$J$7,$K$3)</f>
        <v>#NAME?</v>
      </c>
      <c r="K411" s="7" t="e">
        <f ca="1">_xll.xlqhClose($C411,K$8,$K$3)</f>
        <v>#NAME?</v>
      </c>
      <c r="L411" s="7" t="e">
        <f ca="1">_xll.xlqhClose($C411,L$8,$K$3)</f>
        <v>#NAME?</v>
      </c>
      <c r="N411" s="9">
        <f t="shared" ca="1" si="67"/>
        <v>1</v>
      </c>
      <c r="O411" s="9">
        <f t="shared" ca="1" si="68"/>
        <v>1</v>
      </c>
      <c r="P411" s="9">
        <f t="shared" ca="1" si="69"/>
        <v>1</v>
      </c>
      <c r="Q411" s="9">
        <f t="shared" ca="1" si="70"/>
        <v>1</v>
      </c>
      <c r="R411" s="9">
        <f t="shared" ca="1" si="71"/>
        <v>0</v>
      </c>
    </row>
    <row r="412" spans="2:18" x14ac:dyDescent="0.25">
      <c r="B412" s="17" t="s">
        <v>740</v>
      </c>
      <c r="C412" s="18" t="s">
        <v>741</v>
      </c>
      <c r="D412" s="7" t="e">
        <f ca="1">_xll.xlqPrice(C412)</f>
        <v>#NAME?</v>
      </c>
      <c r="E412" s="9" t="e">
        <f t="shared" ca="1" si="62"/>
        <v>#NAME?</v>
      </c>
      <c r="F412" s="9">
        <f t="shared" ca="1" si="63"/>
        <v>1</v>
      </c>
      <c r="G412" s="8">
        <f t="shared" ca="1" si="64"/>
        <v>0</v>
      </c>
      <c r="H412" s="8">
        <f t="shared" ca="1" si="65"/>
        <v>0</v>
      </c>
      <c r="I412" s="8">
        <f t="shared" ca="1" si="66"/>
        <v>0</v>
      </c>
      <c r="J412" s="6" t="e">
        <f ca="1">_xll.xlqxhSMA($C412,$L$4,$J$7,$K$3)</f>
        <v>#NAME?</v>
      </c>
      <c r="K412" s="7" t="e">
        <f ca="1">_xll.xlqhClose($C412,K$8,$K$3)</f>
        <v>#NAME?</v>
      </c>
      <c r="L412" s="7" t="e">
        <f ca="1">_xll.xlqhClose($C412,L$8,$K$3)</f>
        <v>#NAME?</v>
      </c>
      <c r="N412" s="9">
        <f t="shared" ca="1" si="67"/>
        <v>1</v>
      </c>
      <c r="O412" s="9">
        <f t="shared" ca="1" si="68"/>
        <v>1</v>
      </c>
      <c r="P412" s="9">
        <f t="shared" ca="1" si="69"/>
        <v>1</v>
      </c>
      <c r="Q412" s="9">
        <f t="shared" ca="1" si="70"/>
        <v>1</v>
      </c>
      <c r="R412" s="9">
        <f t="shared" ca="1" si="71"/>
        <v>0</v>
      </c>
    </row>
    <row r="413" spans="2:18" x14ac:dyDescent="0.25">
      <c r="B413" s="17" t="s">
        <v>1043</v>
      </c>
      <c r="C413" s="18" t="s">
        <v>1044</v>
      </c>
      <c r="D413" s="7" t="e">
        <f ca="1">_xll.xlqPrice(C413)</f>
        <v>#NAME?</v>
      </c>
      <c r="E413" s="9" t="e">
        <f t="shared" ca="1" si="62"/>
        <v>#NAME?</v>
      </c>
      <c r="F413" s="9">
        <f t="shared" ca="1" si="63"/>
        <v>1</v>
      </c>
      <c r="G413" s="8">
        <f t="shared" ca="1" si="64"/>
        <v>0</v>
      </c>
      <c r="H413" s="8">
        <f t="shared" ca="1" si="65"/>
        <v>0</v>
      </c>
      <c r="I413" s="8">
        <f t="shared" ca="1" si="66"/>
        <v>0</v>
      </c>
      <c r="J413" s="6" t="e">
        <f ca="1">_xll.xlqxhSMA($C413,$L$4,$J$7,$K$3)</f>
        <v>#NAME?</v>
      </c>
      <c r="K413" s="7" t="e">
        <f ca="1">_xll.xlqhClose($C413,K$8,$K$3)</f>
        <v>#NAME?</v>
      </c>
      <c r="L413" s="7" t="e">
        <f ca="1">_xll.xlqhClose($C413,L$8,$K$3)</f>
        <v>#NAME?</v>
      </c>
      <c r="N413" s="9">
        <f t="shared" ca="1" si="67"/>
        <v>1</v>
      </c>
      <c r="O413" s="9">
        <f t="shared" ca="1" si="68"/>
        <v>1</v>
      </c>
      <c r="P413" s="9">
        <f t="shared" ca="1" si="69"/>
        <v>1</v>
      </c>
      <c r="Q413" s="9">
        <f t="shared" ca="1" si="70"/>
        <v>1</v>
      </c>
      <c r="R413" s="9">
        <f t="shared" ca="1" si="71"/>
        <v>0</v>
      </c>
    </row>
    <row r="414" spans="2:18" x14ac:dyDescent="0.25">
      <c r="B414" s="17" t="s">
        <v>524</v>
      </c>
      <c r="C414" s="18" t="s">
        <v>525</v>
      </c>
      <c r="D414" s="7" t="e">
        <f ca="1">_xll.xlqPrice(C414)</f>
        <v>#NAME?</v>
      </c>
      <c r="E414" s="9" t="e">
        <f t="shared" ca="1" si="62"/>
        <v>#NAME?</v>
      </c>
      <c r="F414" s="9">
        <f t="shared" ca="1" si="63"/>
        <v>1</v>
      </c>
      <c r="G414" s="8">
        <f t="shared" ca="1" si="64"/>
        <v>0</v>
      </c>
      <c r="H414" s="8">
        <f t="shared" ca="1" si="65"/>
        <v>0</v>
      </c>
      <c r="I414" s="8">
        <f t="shared" ca="1" si="66"/>
        <v>0</v>
      </c>
      <c r="J414" s="6" t="e">
        <f ca="1">_xll.xlqxhSMA($C414,$L$4,$J$7,$K$3)</f>
        <v>#NAME?</v>
      </c>
      <c r="K414" s="7" t="e">
        <f ca="1">_xll.xlqhClose($C414,K$8,$K$3)</f>
        <v>#NAME?</v>
      </c>
      <c r="L414" s="7" t="e">
        <f ca="1">_xll.xlqhClose($C414,L$8,$K$3)</f>
        <v>#NAME?</v>
      </c>
      <c r="N414" s="9">
        <f t="shared" ca="1" si="67"/>
        <v>1</v>
      </c>
      <c r="O414" s="9">
        <f t="shared" ca="1" si="68"/>
        <v>1</v>
      </c>
      <c r="P414" s="9">
        <f t="shared" ca="1" si="69"/>
        <v>1</v>
      </c>
      <c r="Q414" s="9">
        <f t="shared" ca="1" si="70"/>
        <v>1</v>
      </c>
      <c r="R414" s="9">
        <f t="shared" ca="1" si="71"/>
        <v>0</v>
      </c>
    </row>
    <row r="415" spans="2:18" x14ac:dyDescent="0.25">
      <c r="B415" s="17" t="s">
        <v>1949</v>
      </c>
      <c r="C415" s="18" t="s">
        <v>1950</v>
      </c>
      <c r="D415" s="7" t="e">
        <f ca="1">_xll.xlqPrice(C415)</f>
        <v>#NAME?</v>
      </c>
      <c r="E415" s="9" t="e">
        <f t="shared" ca="1" si="62"/>
        <v>#NAME?</v>
      </c>
      <c r="F415" s="9">
        <f t="shared" ca="1" si="63"/>
        <v>1</v>
      </c>
      <c r="G415" s="8">
        <f t="shared" ca="1" si="64"/>
        <v>0</v>
      </c>
      <c r="H415" s="8">
        <f t="shared" ca="1" si="65"/>
        <v>0</v>
      </c>
      <c r="I415" s="8">
        <f t="shared" ca="1" si="66"/>
        <v>0</v>
      </c>
      <c r="J415" s="6" t="e">
        <f ca="1">_xll.xlqxhSMA($C415,$L$4,$J$7,$K$3)</f>
        <v>#NAME?</v>
      </c>
      <c r="K415" s="7" t="e">
        <f ca="1">_xll.xlqhClose($C415,K$8,$K$3)</f>
        <v>#NAME?</v>
      </c>
      <c r="L415" s="7" t="e">
        <f ca="1">_xll.xlqhClose($C415,L$8,$K$3)</f>
        <v>#NAME?</v>
      </c>
      <c r="N415" s="9">
        <f t="shared" ca="1" si="67"/>
        <v>1</v>
      </c>
      <c r="O415" s="9">
        <f t="shared" ca="1" si="68"/>
        <v>1</v>
      </c>
      <c r="P415" s="9">
        <f t="shared" ca="1" si="69"/>
        <v>1</v>
      </c>
      <c r="Q415" s="9">
        <f t="shared" ca="1" si="70"/>
        <v>1</v>
      </c>
      <c r="R415" s="9">
        <f t="shared" ca="1" si="71"/>
        <v>0</v>
      </c>
    </row>
    <row r="416" spans="2:18" x14ac:dyDescent="0.25">
      <c r="B416" t="s">
        <v>1035</v>
      </c>
      <c r="C416" s="39" t="s">
        <v>1036</v>
      </c>
      <c r="D416" s="7" t="e">
        <f ca="1">_xll.xlqPrice(C416)</f>
        <v>#NAME?</v>
      </c>
      <c r="E416" s="9" t="e">
        <f t="shared" ca="1" si="62"/>
        <v>#NAME?</v>
      </c>
      <c r="F416" s="9">
        <f t="shared" ca="1" si="63"/>
        <v>1</v>
      </c>
      <c r="G416" s="8">
        <f t="shared" ca="1" si="64"/>
        <v>0</v>
      </c>
      <c r="H416" s="8">
        <f t="shared" ca="1" si="65"/>
        <v>0</v>
      </c>
      <c r="I416" s="8">
        <f t="shared" ca="1" si="66"/>
        <v>0</v>
      </c>
      <c r="J416" s="6" t="e">
        <f ca="1">_xll.xlqxhSMA($C416,$L$4,$J$7,$K$3)</f>
        <v>#NAME?</v>
      </c>
      <c r="K416" s="7" t="e">
        <f ca="1">_xll.xlqhClose($C416,K$8,$K$3)</f>
        <v>#NAME?</v>
      </c>
      <c r="L416" s="7" t="e">
        <f ca="1">_xll.xlqhClose($C416,L$8,$K$3)</f>
        <v>#NAME?</v>
      </c>
      <c r="N416" s="9">
        <f t="shared" ca="1" si="67"/>
        <v>1</v>
      </c>
      <c r="O416" s="9">
        <f t="shared" ca="1" si="68"/>
        <v>1</v>
      </c>
      <c r="P416" s="9">
        <f t="shared" ca="1" si="69"/>
        <v>1</v>
      </c>
      <c r="Q416" s="9">
        <f t="shared" ca="1" si="70"/>
        <v>1</v>
      </c>
      <c r="R416" s="9">
        <f t="shared" ca="1" si="71"/>
        <v>0</v>
      </c>
    </row>
    <row r="417" spans="2:18" x14ac:dyDescent="0.25">
      <c r="B417" t="s">
        <v>1575</v>
      </c>
      <c r="C417" s="39" t="s">
        <v>1576</v>
      </c>
      <c r="D417" s="7" t="e">
        <f ca="1">_xll.xlqPrice(C417)</f>
        <v>#NAME?</v>
      </c>
      <c r="E417" s="9" t="e">
        <f t="shared" ca="1" si="62"/>
        <v>#NAME?</v>
      </c>
      <c r="F417" s="9">
        <f t="shared" ca="1" si="63"/>
        <v>1</v>
      </c>
      <c r="G417" s="8">
        <f t="shared" ca="1" si="64"/>
        <v>0</v>
      </c>
      <c r="H417" s="8">
        <f t="shared" ca="1" si="65"/>
        <v>0</v>
      </c>
      <c r="I417" s="8">
        <f t="shared" ca="1" si="66"/>
        <v>0</v>
      </c>
      <c r="J417" s="6" t="e">
        <f ca="1">_xll.xlqxhSMA($C417,$L$4,$J$7,$K$3)</f>
        <v>#NAME?</v>
      </c>
      <c r="K417" s="7" t="e">
        <f ca="1">_xll.xlqhClose($C417,K$8,$K$3)</f>
        <v>#NAME?</v>
      </c>
      <c r="L417" s="7" t="e">
        <f ca="1">_xll.xlqhClose($C417,L$8,$K$3)</f>
        <v>#NAME?</v>
      </c>
      <c r="N417" s="9">
        <f t="shared" ca="1" si="67"/>
        <v>1</v>
      </c>
      <c r="O417" s="9">
        <f t="shared" ca="1" si="68"/>
        <v>1</v>
      </c>
      <c r="P417" s="9">
        <f t="shared" ca="1" si="69"/>
        <v>1</v>
      </c>
      <c r="Q417" s="9">
        <f t="shared" ca="1" si="70"/>
        <v>1</v>
      </c>
      <c r="R417" s="9">
        <f t="shared" ca="1" si="71"/>
        <v>0</v>
      </c>
    </row>
    <row r="418" spans="2:18" x14ac:dyDescent="0.25">
      <c r="B418" s="17" t="s">
        <v>1523</v>
      </c>
      <c r="C418" s="18" t="s">
        <v>1524</v>
      </c>
      <c r="D418" s="7" t="e">
        <f ca="1">_xll.xlqPrice(C418)</f>
        <v>#NAME?</v>
      </c>
      <c r="E418" s="9" t="e">
        <f t="shared" ca="1" si="62"/>
        <v>#NAME?</v>
      </c>
      <c r="F418" s="9">
        <f t="shared" ca="1" si="63"/>
        <v>1</v>
      </c>
      <c r="G418" s="8">
        <f t="shared" ca="1" si="64"/>
        <v>0</v>
      </c>
      <c r="H418" s="8">
        <f t="shared" ca="1" si="65"/>
        <v>0</v>
      </c>
      <c r="I418" s="8">
        <f t="shared" ca="1" si="66"/>
        <v>0</v>
      </c>
      <c r="J418" s="6" t="e">
        <f ca="1">_xll.xlqxhSMA($C418,$L$4,$J$7,$K$3)</f>
        <v>#NAME?</v>
      </c>
      <c r="K418" s="7" t="e">
        <f ca="1">_xll.xlqhClose($C418,K$8,$K$3)</f>
        <v>#NAME?</v>
      </c>
      <c r="L418" s="7" t="e">
        <f ca="1">_xll.xlqhClose($C418,L$8,$K$3)</f>
        <v>#NAME?</v>
      </c>
      <c r="N418" s="9">
        <f t="shared" ca="1" si="67"/>
        <v>1</v>
      </c>
      <c r="O418" s="9">
        <f t="shared" ca="1" si="68"/>
        <v>1</v>
      </c>
      <c r="P418" s="9">
        <f t="shared" ca="1" si="69"/>
        <v>1</v>
      </c>
      <c r="Q418" s="9">
        <f t="shared" ca="1" si="70"/>
        <v>1</v>
      </c>
      <c r="R418" s="9">
        <f t="shared" ca="1" si="71"/>
        <v>0</v>
      </c>
    </row>
    <row r="419" spans="2:18" x14ac:dyDescent="0.25">
      <c r="B419" s="17" t="s">
        <v>1315</v>
      </c>
      <c r="C419" s="18" t="s">
        <v>1316</v>
      </c>
      <c r="D419" s="7" t="e">
        <f ca="1">_xll.xlqPrice(C419)</f>
        <v>#NAME?</v>
      </c>
      <c r="E419" s="9" t="e">
        <f t="shared" ca="1" si="62"/>
        <v>#NAME?</v>
      </c>
      <c r="F419" s="9">
        <f t="shared" ca="1" si="63"/>
        <v>1</v>
      </c>
      <c r="G419" s="8">
        <f t="shared" ca="1" si="64"/>
        <v>0</v>
      </c>
      <c r="H419" s="8">
        <f t="shared" ca="1" si="65"/>
        <v>0</v>
      </c>
      <c r="I419" s="8">
        <f t="shared" ca="1" si="66"/>
        <v>0</v>
      </c>
      <c r="J419" s="6" t="e">
        <f ca="1">_xll.xlqxhSMA($C419,$L$4,$J$7,$K$3)</f>
        <v>#NAME?</v>
      </c>
      <c r="K419" s="7" t="e">
        <f ca="1">_xll.xlqhClose($C419,K$8,$K$3)</f>
        <v>#NAME?</v>
      </c>
      <c r="L419" s="7" t="e">
        <f ca="1">_xll.xlqhClose($C419,L$8,$K$3)</f>
        <v>#NAME?</v>
      </c>
      <c r="N419" s="9">
        <f t="shared" ca="1" si="67"/>
        <v>1</v>
      </c>
      <c r="O419" s="9">
        <f t="shared" ca="1" si="68"/>
        <v>1</v>
      </c>
      <c r="P419" s="9">
        <f t="shared" ca="1" si="69"/>
        <v>1</v>
      </c>
      <c r="Q419" s="9">
        <f t="shared" ca="1" si="70"/>
        <v>1</v>
      </c>
      <c r="R419" s="9">
        <f t="shared" ca="1" si="71"/>
        <v>0</v>
      </c>
    </row>
    <row r="420" spans="2:18" x14ac:dyDescent="0.25">
      <c r="B420" t="s">
        <v>1423</v>
      </c>
      <c r="C420" s="39" t="s">
        <v>1424</v>
      </c>
      <c r="D420" s="7" t="e">
        <f ca="1">_xll.xlqPrice(C420)</f>
        <v>#NAME?</v>
      </c>
      <c r="E420" s="9" t="e">
        <f t="shared" ca="1" si="62"/>
        <v>#NAME?</v>
      </c>
      <c r="F420" s="9">
        <f t="shared" ca="1" si="63"/>
        <v>1</v>
      </c>
      <c r="G420" s="8">
        <f t="shared" ca="1" si="64"/>
        <v>0</v>
      </c>
      <c r="H420" s="8">
        <f t="shared" ca="1" si="65"/>
        <v>0</v>
      </c>
      <c r="I420" s="8">
        <f t="shared" ca="1" si="66"/>
        <v>0</v>
      </c>
      <c r="J420" s="6" t="e">
        <f ca="1">_xll.xlqxhSMA($C420,$L$4,$J$7,$K$3)</f>
        <v>#NAME?</v>
      </c>
      <c r="K420" s="7" t="e">
        <f ca="1">_xll.xlqhClose($C420,K$8,$K$3)</f>
        <v>#NAME?</v>
      </c>
      <c r="L420" s="7" t="e">
        <f ca="1">_xll.xlqhClose($C420,L$8,$K$3)</f>
        <v>#NAME?</v>
      </c>
      <c r="N420" s="9">
        <f t="shared" ca="1" si="67"/>
        <v>1</v>
      </c>
      <c r="O420" s="9">
        <f t="shared" ca="1" si="68"/>
        <v>1</v>
      </c>
      <c r="P420" s="9">
        <f t="shared" ca="1" si="69"/>
        <v>1</v>
      </c>
      <c r="Q420" s="9">
        <f t="shared" ca="1" si="70"/>
        <v>1</v>
      </c>
      <c r="R420" s="9">
        <f t="shared" ca="1" si="71"/>
        <v>0</v>
      </c>
    </row>
    <row r="421" spans="2:18" x14ac:dyDescent="0.25">
      <c r="B421" t="s">
        <v>1569</v>
      </c>
      <c r="C421" s="39" t="s">
        <v>1570</v>
      </c>
      <c r="D421" s="7" t="e">
        <f ca="1">_xll.xlqPrice(C421)</f>
        <v>#NAME?</v>
      </c>
      <c r="E421" s="9" t="e">
        <f t="shared" ca="1" si="62"/>
        <v>#NAME?</v>
      </c>
      <c r="F421" s="9">
        <f t="shared" ca="1" si="63"/>
        <v>1</v>
      </c>
      <c r="G421" s="8">
        <f t="shared" ca="1" si="64"/>
        <v>0</v>
      </c>
      <c r="H421" s="8">
        <f t="shared" ca="1" si="65"/>
        <v>0</v>
      </c>
      <c r="I421" s="8">
        <f t="shared" ca="1" si="66"/>
        <v>0</v>
      </c>
      <c r="J421" s="6" t="e">
        <f ca="1">_xll.xlqxhSMA($C421,$L$4,$J$7,$K$3)</f>
        <v>#NAME?</v>
      </c>
      <c r="K421" s="7" t="e">
        <f ca="1">_xll.xlqhClose($C421,K$8,$K$3)</f>
        <v>#NAME?</v>
      </c>
      <c r="L421" s="7" t="e">
        <f ca="1">_xll.xlqhClose($C421,L$8,$K$3)</f>
        <v>#NAME?</v>
      </c>
      <c r="N421" s="9">
        <f t="shared" ca="1" si="67"/>
        <v>1</v>
      </c>
      <c r="O421" s="9">
        <f t="shared" ca="1" si="68"/>
        <v>1</v>
      </c>
      <c r="P421" s="9">
        <f t="shared" ca="1" si="69"/>
        <v>1</v>
      </c>
      <c r="Q421" s="9">
        <f t="shared" ca="1" si="70"/>
        <v>1</v>
      </c>
      <c r="R421" s="9">
        <f t="shared" ca="1" si="71"/>
        <v>0</v>
      </c>
    </row>
    <row r="422" spans="2:18" x14ac:dyDescent="0.25">
      <c r="B422" s="17" t="s">
        <v>254</v>
      </c>
      <c r="C422" s="18" t="s">
        <v>255</v>
      </c>
      <c r="D422" s="7" t="e">
        <f ca="1">_xll.xlqPrice(C422)</f>
        <v>#NAME?</v>
      </c>
      <c r="E422" s="9" t="e">
        <f t="shared" ca="1" si="62"/>
        <v>#NAME?</v>
      </c>
      <c r="F422" s="9">
        <f t="shared" ca="1" si="63"/>
        <v>1</v>
      </c>
      <c r="G422" s="8">
        <f t="shared" ca="1" si="64"/>
        <v>0</v>
      </c>
      <c r="H422" s="8">
        <f t="shared" ca="1" si="65"/>
        <v>0</v>
      </c>
      <c r="I422" s="8">
        <f t="shared" ca="1" si="66"/>
        <v>0</v>
      </c>
      <c r="J422" s="6" t="e">
        <f ca="1">_xll.xlqxhSMA($C422,$L$4,$J$7,$K$3)</f>
        <v>#NAME?</v>
      </c>
      <c r="K422" s="7" t="e">
        <f ca="1">_xll.xlqhClose($C422,K$8,$K$3)</f>
        <v>#NAME?</v>
      </c>
      <c r="L422" s="7" t="e">
        <f ca="1">_xll.xlqhClose($C422,L$8,$K$3)</f>
        <v>#NAME?</v>
      </c>
      <c r="N422" s="9">
        <f t="shared" ca="1" si="67"/>
        <v>1</v>
      </c>
      <c r="O422" s="9">
        <f t="shared" ca="1" si="68"/>
        <v>1</v>
      </c>
      <c r="P422" s="9">
        <f t="shared" ca="1" si="69"/>
        <v>1</v>
      </c>
      <c r="Q422" s="9">
        <f t="shared" ca="1" si="70"/>
        <v>1</v>
      </c>
      <c r="R422" s="9">
        <f t="shared" ca="1" si="71"/>
        <v>0</v>
      </c>
    </row>
    <row r="423" spans="2:18" x14ac:dyDescent="0.25">
      <c r="B423" s="17" t="s">
        <v>1293</v>
      </c>
      <c r="C423" s="18" t="s">
        <v>1294</v>
      </c>
      <c r="D423" s="7" t="e">
        <f ca="1">_xll.xlqPrice(C423)</f>
        <v>#NAME?</v>
      </c>
      <c r="E423" s="9" t="e">
        <f t="shared" ca="1" si="62"/>
        <v>#NAME?</v>
      </c>
      <c r="F423" s="9">
        <f t="shared" ca="1" si="63"/>
        <v>1</v>
      </c>
      <c r="G423" s="8">
        <f t="shared" ca="1" si="64"/>
        <v>0</v>
      </c>
      <c r="H423" s="8">
        <f t="shared" ca="1" si="65"/>
        <v>0</v>
      </c>
      <c r="I423" s="8">
        <f t="shared" ca="1" si="66"/>
        <v>0</v>
      </c>
      <c r="J423" s="6" t="e">
        <f ca="1">_xll.xlqxhSMA($C423,$L$4,$J$7,$K$3)</f>
        <v>#NAME?</v>
      </c>
      <c r="K423" s="7" t="e">
        <f ca="1">_xll.xlqhClose($C423,K$8,$K$3)</f>
        <v>#NAME?</v>
      </c>
      <c r="L423" s="7" t="e">
        <f ca="1">_xll.xlqhClose($C423,L$8,$K$3)</f>
        <v>#NAME?</v>
      </c>
      <c r="N423" s="9">
        <f t="shared" ca="1" si="67"/>
        <v>1</v>
      </c>
      <c r="O423" s="9">
        <f t="shared" ca="1" si="68"/>
        <v>1</v>
      </c>
      <c r="P423" s="9">
        <f t="shared" ca="1" si="69"/>
        <v>1</v>
      </c>
      <c r="Q423" s="9">
        <f t="shared" ca="1" si="70"/>
        <v>1</v>
      </c>
      <c r="R423" s="9">
        <f t="shared" ca="1" si="71"/>
        <v>0</v>
      </c>
    </row>
    <row r="424" spans="2:18" x14ac:dyDescent="0.25">
      <c r="B424" t="s">
        <v>1877</v>
      </c>
      <c r="C424" s="39" t="s">
        <v>1878</v>
      </c>
      <c r="D424" s="7" t="e">
        <f ca="1">_xll.xlqPrice(C424)</f>
        <v>#NAME?</v>
      </c>
      <c r="E424" s="9" t="e">
        <f t="shared" ca="1" si="62"/>
        <v>#NAME?</v>
      </c>
      <c r="F424" s="9">
        <f t="shared" ca="1" si="63"/>
        <v>1</v>
      </c>
      <c r="G424" s="8">
        <f t="shared" ca="1" si="64"/>
        <v>0</v>
      </c>
      <c r="H424" s="8">
        <f t="shared" ca="1" si="65"/>
        <v>0</v>
      </c>
      <c r="I424" s="8">
        <f t="shared" ca="1" si="66"/>
        <v>0</v>
      </c>
      <c r="J424" s="6" t="e">
        <f ca="1">_xll.xlqxhSMA($C424,$L$4,$J$7,$K$3)</f>
        <v>#NAME?</v>
      </c>
      <c r="K424" s="7" t="e">
        <f ca="1">_xll.xlqhClose($C424,K$8,$K$3)</f>
        <v>#NAME?</v>
      </c>
      <c r="L424" s="7" t="e">
        <f ca="1">_xll.xlqhClose($C424,L$8,$K$3)</f>
        <v>#NAME?</v>
      </c>
      <c r="N424" s="9">
        <f t="shared" ca="1" si="67"/>
        <v>1</v>
      </c>
      <c r="O424" s="9">
        <f t="shared" ca="1" si="68"/>
        <v>1</v>
      </c>
      <c r="P424" s="9">
        <f t="shared" ca="1" si="69"/>
        <v>1</v>
      </c>
      <c r="Q424" s="9">
        <f t="shared" ca="1" si="70"/>
        <v>1</v>
      </c>
      <c r="R424" s="9">
        <f t="shared" ca="1" si="71"/>
        <v>0</v>
      </c>
    </row>
    <row r="425" spans="2:18" x14ac:dyDescent="0.25">
      <c r="B425" s="17" t="s">
        <v>1675</v>
      </c>
      <c r="C425" s="18" t="s">
        <v>1676</v>
      </c>
      <c r="D425" s="7" t="e">
        <f ca="1">_xll.xlqPrice(C425)</f>
        <v>#NAME?</v>
      </c>
      <c r="E425" s="9" t="e">
        <f t="shared" ca="1" si="62"/>
        <v>#NAME?</v>
      </c>
      <c r="F425" s="9">
        <f t="shared" ca="1" si="63"/>
        <v>1</v>
      </c>
      <c r="G425" s="8">
        <f t="shared" ca="1" si="64"/>
        <v>0</v>
      </c>
      <c r="H425" s="8">
        <f t="shared" ca="1" si="65"/>
        <v>0</v>
      </c>
      <c r="I425" s="8">
        <f t="shared" ca="1" si="66"/>
        <v>0</v>
      </c>
      <c r="J425" s="6" t="e">
        <f ca="1">_xll.xlqxhSMA($C425,$L$4,$J$7,$K$3)</f>
        <v>#NAME?</v>
      </c>
      <c r="K425" s="7" t="e">
        <f ca="1">_xll.xlqhClose($C425,K$8,$K$3)</f>
        <v>#NAME?</v>
      </c>
      <c r="L425" s="7" t="e">
        <f ca="1">_xll.xlqhClose($C425,L$8,$K$3)</f>
        <v>#NAME?</v>
      </c>
      <c r="N425" s="9">
        <f t="shared" ca="1" si="67"/>
        <v>1</v>
      </c>
      <c r="O425" s="9">
        <f t="shared" ca="1" si="68"/>
        <v>1</v>
      </c>
      <c r="P425" s="9">
        <f t="shared" ca="1" si="69"/>
        <v>1</v>
      </c>
      <c r="Q425" s="9">
        <f t="shared" ca="1" si="70"/>
        <v>1</v>
      </c>
      <c r="R425" s="9">
        <f t="shared" ca="1" si="71"/>
        <v>0</v>
      </c>
    </row>
    <row r="426" spans="2:18" x14ac:dyDescent="0.25">
      <c r="B426" s="17" t="s">
        <v>1063</v>
      </c>
      <c r="C426" s="18" t="s">
        <v>1064</v>
      </c>
      <c r="D426" s="7" t="e">
        <f ca="1">_xll.xlqPrice(C426)</f>
        <v>#NAME?</v>
      </c>
      <c r="E426" s="9" t="e">
        <f t="shared" ca="1" si="62"/>
        <v>#NAME?</v>
      </c>
      <c r="F426" s="9">
        <f t="shared" ca="1" si="63"/>
        <v>1</v>
      </c>
      <c r="G426" s="8">
        <f t="shared" ca="1" si="64"/>
        <v>0</v>
      </c>
      <c r="H426" s="8">
        <f t="shared" ca="1" si="65"/>
        <v>0</v>
      </c>
      <c r="I426" s="8">
        <f t="shared" ca="1" si="66"/>
        <v>0</v>
      </c>
      <c r="J426" s="6" t="e">
        <f ca="1">_xll.xlqxhSMA($C426,$L$4,$J$7,$K$3)</f>
        <v>#NAME?</v>
      </c>
      <c r="K426" s="7" t="e">
        <f ca="1">_xll.xlqhClose($C426,K$8,$K$3)</f>
        <v>#NAME?</v>
      </c>
      <c r="L426" s="7" t="e">
        <f ca="1">_xll.xlqhClose($C426,L$8,$K$3)</f>
        <v>#NAME?</v>
      </c>
      <c r="N426" s="9">
        <f t="shared" ca="1" si="67"/>
        <v>1</v>
      </c>
      <c r="O426" s="9">
        <f t="shared" ca="1" si="68"/>
        <v>1</v>
      </c>
      <c r="P426" s="9">
        <f t="shared" ca="1" si="69"/>
        <v>1</v>
      </c>
      <c r="Q426" s="9">
        <f t="shared" ca="1" si="70"/>
        <v>1</v>
      </c>
      <c r="R426" s="9">
        <f t="shared" ca="1" si="71"/>
        <v>0</v>
      </c>
    </row>
    <row r="427" spans="2:18" x14ac:dyDescent="0.25">
      <c r="B427" t="s">
        <v>977</v>
      </c>
      <c r="C427" s="39" t="s">
        <v>978</v>
      </c>
      <c r="D427" s="7" t="e">
        <f ca="1">_xll.xlqPrice(C427)</f>
        <v>#NAME?</v>
      </c>
      <c r="E427" s="9" t="e">
        <f t="shared" ca="1" si="62"/>
        <v>#NAME?</v>
      </c>
      <c r="F427" s="9">
        <f t="shared" ca="1" si="63"/>
        <v>1</v>
      </c>
      <c r="G427" s="8">
        <f t="shared" ca="1" si="64"/>
        <v>0</v>
      </c>
      <c r="H427" s="8">
        <f t="shared" ca="1" si="65"/>
        <v>0</v>
      </c>
      <c r="I427" s="8">
        <f t="shared" ca="1" si="66"/>
        <v>0</v>
      </c>
      <c r="J427" s="6" t="e">
        <f ca="1">_xll.xlqxhSMA($C427,$L$4,$J$7,$K$3)</f>
        <v>#NAME?</v>
      </c>
      <c r="K427" s="7" t="e">
        <f ca="1">_xll.xlqhClose($C427,K$8,$K$3)</f>
        <v>#NAME?</v>
      </c>
      <c r="L427" s="7" t="e">
        <f ca="1">_xll.xlqhClose($C427,L$8,$K$3)</f>
        <v>#NAME?</v>
      </c>
      <c r="N427" s="9">
        <f t="shared" ca="1" si="67"/>
        <v>1</v>
      </c>
      <c r="O427" s="9">
        <f t="shared" ca="1" si="68"/>
        <v>1</v>
      </c>
      <c r="P427" s="9">
        <f t="shared" ca="1" si="69"/>
        <v>1</v>
      </c>
      <c r="Q427" s="9">
        <f t="shared" ca="1" si="70"/>
        <v>1</v>
      </c>
      <c r="R427" s="9">
        <f t="shared" ca="1" si="71"/>
        <v>0</v>
      </c>
    </row>
    <row r="428" spans="2:18" x14ac:dyDescent="0.25">
      <c r="B428" s="17" t="s">
        <v>452</v>
      </c>
      <c r="C428" s="18" t="s">
        <v>453</v>
      </c>
      <c r="D428" s="7" t="e">
        <f ca="1">_xll.xlqPrice(C428)</f>
        <v>#NAME?</v>
      </c>
      <c r="E428" s="9" t="e">
        <f t="shared" ca="1" si="62"/>
        <v>#NAME?</v>
      </c>
      <c r="F428" s="9">
        <f t="shared" ca="1" si="63"/>
        <v>1</v>
      </c>
      <c r="G428" s="8">
        <f t="shared" ca="1" si="64"/>
        <v>0</v>
      </c>
      <c r="H428" s="8">
        <f t="shared" ca="1" si="65"/>
        <v>0</v>
      </c>
      <c r="I428" s="8">
        <f t="shared" ca="1" si="66"/>
        <v>0</v>
      </c>
      <c r="J428" s="6" t="e">
        <f ca="1">_xll.xlqxhSMA($C428,$L$4,$J$7,$K$3)</f>
        <v>#NAME?</v>
      </c>
      <c r="K428" s="7" t="e">
        <f ca="1">_xll.xlqhClose($C428,K$8,$K$3)</f>
        <v>#NAME?</v>
      </c>
      <c r="L428" s="7" t="e">
        <f ca="1">_xll.xlqhClose($C428,L$8,$K$3)</f>
        <v>#NAME?</v>
      </c>
      <c r="N428" s="9">
        <f t="shared" ca="1" si="67"/>
        <v>1</v>
      </c>
      <c r="O428" s="9">
        <f t="shared" ca="1" si="68"/>
        <v>1</v>
      </c>
      <c r="P428" s="9">
        <f t="shared" ca="1" si="69"/>
        <v>1</v>
      </c>
      <c r="Q428" s="9">
        <f t="shared" ca="1" si="70"/>
        <v>1</v>
      </c>
      <c r="R428" s="9">
        <f t="shared" ca="1" si="71"/>
        <v>0</v>
      </c>
    </row>
    <row r="429" spans="2:18" x14ac:dyDescent="0.25">
      <c r="B429" s="17" t="s">
        <v>1607</v>
      </c>
      <c r="C429" s="18" t="s">
        <v>1608</v>
      </c>
      <c r="D429" s="7" t="e">
        <f ca="1">_xll.xlqPrice(C429)</f>
        <v>#NAME?</v>
      </c>
      <c r="E429" s="9" t="e">
        <f t="shared" ca="1" si="62"/>
        <v>#NAME?</v>
      </c>
      <c r="F429" s="9">
        <f t="shared" ca="1" si="63"/>
        <v>1</v>
      </c>
      <c r="G429" s="8">
        <f t="shared" ca="1" si="64"/>
        <v>0</v>
      </c>
      <c r="H429" s="8">
        <f t="shared" ca="1" si="65"/>
        <v>0</v>
      </c>
      <c r="I429" s="8">
        <f t="shared" ca="1" si="66"/>
        <v>0</v>
      </c>
      <c r="J429" s="6" t="e">
        <f ca="1">_xll.xlqxhSMA($C429,$L$4,$J$7,$K$3)</f>
        <v>#NAME?</v>
      </c>
      <c r="K429" s="7" t="e">
        <f ca="1">_xll.xlqhClose($C429,K$8,$K$3)</f>
        <v>#NAME?</v>
      </c>
      <c r="L429" s="7" t="e">
        <f ca="1">_xll.xlqhClose($C429,L$8,$K$3)</f>
        <v>#NAME?</v>
      </c>
      <c r="N429" s="9">
        <f t="shared" ca="1" si="67"/>
        <v>1</v>
      </c>
      <c r="O429" s="9">
        <f t="shared" ca="1" si="68"/>
        <v>1</v>
      </c>
      <c r="P429" s="9">
        <f t="shared" ca="1" si="69"/>
        <v>1</v>
      </c>
      <c r="Q429" s="9">
        <f t="shared" ca="1" si="70"/>
        <v>1</v>
      </c>
      <c r="R429" s="9">
        <f t="shared" ca="1" si="71"/>
        <v>0</v>
      </c>
    </row>
    <row r="430" spans="2:18" x14ac:dyDescent="0.25">
      <c r="B430" s="17" t="s">
        <v>1437</v>
      </c>
      <c r="C430" s="18" t="s">
        <v>1438</v>
      </c>
      <c r="D430" s="7" t="e">
        <f ca="1">_xll.xlqPrice(C430)</f>
        <v>#NAME?</v>
      </c>
      <c r="E430" s="9" t="e">
        <f t="shared" ca="1" si="62"/>
        <v>#NAME?</v>
      </c>
      <c r="F430" s="9">
        <f t="shared" ca="1" si="63"/>
        <v>1</v>
      </c>
      <c r="G430" s="8">
        <f t="shared" ca="1" si="64"/>
        <v>0</v>
      </c>
      <c r="H430" s="8">
        <f t="shared" ca="1" si="65"/>
        <v>0</v>
      </c>
      <c r="I430" s="8">
        <f t="shared" ca="1" si="66"/>
        <v>0</v>
      </c>
      <c r="J430" s="6" t="e">
        <f ca="1">_xll.xlqxhSMA($C430,$L$4,$J$7,$K$3)</f>
        <v>#NAME?</v>
      </c>
      <c r="K430" s="7" t="e">
        <f ca="1">_xll.xlqhClose($C430,K$8,$K$3)</f>
        <v>#NAME?</v>
      </c>
      <c r="L430" s="7" t="e">
        <f ca="1">_xll.xlqhClose($C430,L$8,$K$3)</f>
        <v>#NAME?</v>
      </c>
      <c r="N430" s="9">
        <f t="shared" ca="1" si="67"/>
        <v>1</v>
      </c>
      <c r="O430" s="9">
        <f t="shared" ca="1" si="68"/>
        <v>1</v>
      </c>
      <c r="P430" s="9">
        <f t="shared" ca="1" si="69"/>
        <v>1</v>
      </c>
      <c r="Q430" s="9">
        <f t="shared" ca="1" si="70"/>
        <v>1</v>
      </c>
      <c r="R430" s="9">
        <f t="shared" ca="1" si="71"/>
        <v>0</v>
      </c>
    </row>
    <row r="431" spans="2:18" x14ac:dyDescent="0.25">
      <c r="B431" s="17" t="s">
        <v>1165</v>
      </c>
      <c r="C431" s="18" t="s">
        <v>1166</v>
      </c>
      <c r="D431" s="7" t="e">
        <f ca="1">_xll.xlqPrice(C431)</f>
        <v>#NAME?</v>
      </c>
      <c r="E431" s="9" t="e">
        <f t="shared" ca="1" si="62"/>
        <v>#NAME?</v>
      </c>
      <c r="F431" s="9">
        <f t="shared" ca="1" si="63"/>
        <v>1</v>
      </c>
      <c r="G431" s="8">
        <f t="shared" ca="1" si="64"/>
        <v>0</v>
      </c>
      <c r="H431" s="8">
        <f t="shared" ca="1" si="65"/>
        <v>0</v>
      </c>
      <c r="I431" s="8">
        <f t="shared" ca="1" si="66"/>
        <v>0</v>
      </c>
      <c r="J431" s="6" t="e">
        <f ca="1">_xll.xlqxhSMA($C431,$L$4,$J$7,$K$3)</f>
        <v>#NAME?</v>
      </c>
      <c r="K431" s="7" t="e">
        <f ca="1">_xll.xlqhClose($C431,K$8,$K$3)</f>
        <v>#NAME?</v>
      </c>
      <c r="L431" s="7" t="e">
        <f ca="1">_xll.xlqhClose($C431,L$8,$K$3)</f>
        <v>#NAME?</v>
      </c>
      <c r="N431" s="9">
        <f t="shared" ca="1" si="67"/>
        <v>1</v>
      </c>
      <c r="O431" s="9">
        <f t="shared" ca="1" si="68"/>
        <v>1</v>
      </c>
      <c r="P431" s="9">
        <f t="shared" ca="1" si="69"/>
        <v>1</v>
      </c>
      <c r="Q431" s="9">
        <f t="shared" ca="1" si="70"/>
        <v>1</v>
      </c>
      <c r="R431" s="9">
        <f t="shared" ca="1" si="71"/>
        <v>0</v>
      </c>
    </row>
    <row r="432" spans="2:18" x14ac:dyDescent="0.25">
      <c r="B432" t="s">
        <v>1797</v>
      </c>
      <c r="C432" s="39" t="s">
        <v>1798</v>
      </c>
      <c r="D432" s="7" t="e">
        <f ca="1">_xll.xlqPrice(C432)</f>
        <v>#NAME?</v>
      </c>
      <c r="E432" s="9" t="e">
        <f t="shared" ca="1" si="62"/>
        <v>#NAME?</v>
      </c>
      <c r="F432" s="9">
        <f t="shared" ca="1" si="63"/>
        <v>1</v>
      </c>
      <c r="G432" s="8">
        <f t="shared" ca="1" si="64"/>
        <v>0</v>
      </c>
      <c r="H432" s="8">
        <f t="shared" ca="1" si="65"/>
        <v>0</v>
      </c>
      <c r="I432" s="8">
        <f t="shared" ca="1" si="66"/>
        <v>0</v>
      </c>
      <c r="J432" s="6" t="e">
        <f ca="1">_xll.xlqxhSMA($C432,$L$4,$J$7,$K$3)</f>
        <v>#NAME?</v>
      </c>
      <c r="K432" s="7" t="e">
        <f ca="1">_xll.xlqhClose($C432,K$8,$K$3)</f>
        <v>#NAME?</v>
      </c>
      <c r="L432" s="7" t="e">
        <f ca="1">_xll.xlqhClose($C432,L$8,$K$3)</f>
        <v>#NAME?</v>
      </c>
      <c r="N432" s="9">
        <f t="shared" ca="1" si="67"/>
        <v>1</v>
      </c>
      <c r="O432" s="9">
        <f t="shared" ca="1" si="68"/>
        <v>1</v>
      </c>
      <c r="P432" s="9">
        <f t="shared" ca="1" si="69"/>
        <v>1</v>
      </c>
      <c r="Q432" s="9">
        <f t="shared" ca="1" si="70"/>
        <v>1</v>
      </c>
      <c r="R432" s="9">
        <f t="shared" ca="1" si="71"/>
        <v>0</v>
      </c>
    </row>
    <row r="433" spans="2:18" x14ac:dyDescent="0.25">
      <c r="B433" t="s">
        <v>963</v>
      </c>
      <c r="C433" s="39" t="s">
        <v>964</v>
      </c>
      <c r="D433" s="7" t="e">
        <f ca="1">_xll.xlqPrice(C433)</f>
        <v>#NAME?</v>
      </c>
      <c r="E433" s="9" t="e">
        <f t="shared" ca="1" si="62"/>
        <v>#NAME?</v>
      </c>
      <c r="F433" s="9">
        <f t="shared" ca="1" si="63"/>
        <v>1</v>
      </c>
      <c r="G433" s="8">
        <f t="shared" ca="1" si="64"/>
        <v>0</v>
      </c>
      <c r="H433" s="8">
        <f t="shared" ca="1" si="65"/>
        <v>0</v>
      </c>
      <c r="I433" s="8">
        <f t="shared" ca="1" si="66"/>
        <v>0</v>
      </c>
      <c r="J433" s="6" t="e">
        <f ca="1">_xll.xlqxhSMA($C433,$L$4,$J$7,$K$3)</f>
        <v>#NAME?</v>
      </c>
      <c r="K433" s="7" t="e">
        <f ca="1">_xll.xlqhClose($C433,K$8,$K$3)</f>
        <v>#NAME?</v>
      </c>
      <c r="L433" s="7" t="e">
        <f ca="1">_xll.xlqhClose($C433,L$8,$K$3)</f>
        <v>#NAME?</v>
      </c>
      <c r="N433" s="9">
        <f t="shared" ca="1" si="67"/>
        <v>1</v>
      </c>
      <c r="O433" s="9">
        <f t="shared" ca="1" si="68"/>
        <v>1</v>
      </c>
      <c r="P433" s="9">
        <f t="shared" ca="1" si="69"/>
        <v>1</v>
      </c>
      <c r="Q433" s="9">
        <f t="shared" ca="1" si="70"/>
        <v>1</v>
      </c>
      <c r="R433" s="9">
        <f t="shared" ca="1" si="71"/>
        <v>0</v>
      </c>
    </row>
    <row r="434" spans="2:18" x14ac:dyDescent="0.25">
      <c r="B434" s="17" t="s">
        <v>1961</v>
      </c>
      <c r="C434" s="18" t="s">
        <v>1962</v>
      </c>
      <c r="D434" s="7" t="e">
        <f ca="1">_xll.xlqPrice(C434)</f>
        <v>#NAME?</v>
      </c>
      <c r="E434" s="9" t="e">
        <f t="shared" ca="1" si="62"/>
        <v>#NAME?</v>
      </c>
      <c r="F434" s="9">
        <f t="shared" ca="1" si="63"/>
        <v>1</v>
      </c>
      <c r="G434" s="8">
        <f t="shared" ca="1" si="64"/>
        <v>0</v>
      </c>
      <c r="H434" s="8">
        <f t="shared" ca="1" si="65"/>
        <v>0</v>
      </c>
      <c r="I434" s="8">
        <f t="shared" ca="1" si="66"/>
        <v>0</v>
      </c>
      <c r="J434" s="6" t="e">
        <f ca="1">_xll.xlqxhSMA($C434,$L$4,$J$7,$K$3)</f>
        <v>#NAME?</v>
      </c>
      <c r="K434" s="7" t="e">
        <f ca="1">_xll.xlqhClose($C434,K$8,$K$3)</f>
        <v>#NAME?</v>
      </c>
      <c r="L434" s="7" t="e">
        <f ca="1">_xll.xlqhClose($C434,L$8,$K$3)</f>
        <v>#NAME?</v>
      </c>
      <c r="N434" s="9">
        <f t="shared" ca="1" si="67"/>
        <v>1</v>
      </c>
      <c r="O434" s="9">
        <f t="shared" ca="1" si="68"/>
        <v>1</v>
      </c>
      <c r="P434" s="9">
        <f t="shared" ca="1" si="69"/>
        <v>1</v>
      </c>
      <c r="Q434" s="9">
        <f t="shared" ca="1" si="70"/>
        <v>1</v>
      </c>
      <c r="R434" s="9">
        <f t="shared" ca="1" si="71"/>
        <v>0</v>
      </c>
    </row>
    <row r="435" spans="2:18" x14ac:dyDescent="0.25">
      <c r="B435" s="17" t="s">
        <v>450</v>
      </c>
      <c r="C435" s="18" t="s">
        <v>451</v>
      </c>
      <c r="D435" s="7" t="e">
        <f ca="1">_xll.xlqPrice(C435)</f>
        <v>#NAME?</v>
      </c>
      <c r="E435" s="9" t="e">
        <f t="shared" ca="1" si="62"/>
        <v>#NAME?</v>
      </c>
      <c r="F435" s="9">
        <f t="shared" ca="1" si="63"/>
        <v>1</v>
      </c>
      <c r="G435" s="8">
        <f t="shared" ca="1" si="64"/>
        <v>0</v>
      </c>
      <c r="H435" s="8">
        <f t="shared" ca="1" si="65"/>
        <v>0</v>
      </c>
      <c r="I435" s="8">
        <f t="shared" ca="1" si="66"/>
        <v>0</v>
      </c>
      <c r="J435" s="6" t="e">
        <f ca="1">_xll.xlqxhSMA($C435,$L$4,$J$7,$K$3)</f>
        <v>#NAME?</v>
      </c>
      <c r="K435" s="7" t="e">
        <f ca="1">_xll.xlqhClose($C435,K$8,$K$3)</f>
        <v>#NAME?</v>
      </c>
      <c r="L435" s="7" t="e">
        <f ca="1">_xll.xlqhClose($C435,L$8,$K$3)</f>
        <v>#NAME?</v>
      </c>
      <c r="N435" s="9">
        <f t="shared" ca="1" si="67"/>
        <v>1</v>
      </c>
      <c r="O435" s="9">
        <f t="shared" ca="1" si="68"/>
        <v>1</v>
      </c>
      <c r="P435" s="9">
        <f t="shared" ca="1" si="69"/>
        <v>1</v>
      </c>
      <c r="Q435" s="9">
        <f t="shared" ca="1" si="70"/>
        <v>1</v>
      </c>
      <c r="R435" s="9">
        <f t="shared" ca="1" si="71"/>
        <v>0</v>
      </c>
    </row>
    <row r="436" spans="2:18" x14ac:dyDescent="0.25">
      <c r="B436" s="17" t="s">
        <v>1777</v>
      </c>
      <c r="C436" s="18" t="s">
        <v>1778</v>
      </c>
      <c r="D436" s="7" t="e">
        <f ca="1">_xll.xlqPrice(C436)</f>
        <v>#NAME?</v>
      </c>
      <c r="E436" s="9" t="e">
        <f t="shared" ca="1" si="62"/>
        <v>#NAME?</v>
      </c>
      <c r="F436" s="9">
        <f t="shared" ca="1" si="63"/>
        <v>1</v>
      </c>
      <c r="G436" s="8">
        <f t="shared" ca="1" si="64"/>
        <v>0</v>
      </c>
      <c r="H436" s="8">
        <f t="shared" ca="1" si="65"/>
        <v>0</v>
      </c>
      <c r="I436" s="8">
        <f t="shared" ca="1" si="66"/>
        <v>0</v>
      </c>
      <c r="J436" s="6" t="e">
        <f ca="1">_xll.xlqxhSMA($C436,$L$4,$J$7,$K$3)</f>
        <v>#NAME?</v>
      </c>
      <c r="K436" s="7" t="e">
        <f ca="1">_xll.xlqhClose($C436,K$8,$K$3)</f>
        <v>#NAME?</v>
      </c>
      <c r="L436" s="7" t="e">
        <f ca="1">_xll.xlqhClose($C436,L$8,$K$3)</f>
        <v>#NAME?</v>
      </c>
      <c r="N436" s="9">
        <f t="shared" ca="1" si="67"/>
        <v>1</v>
      </c>
      <c r="O436" s="9">
        <f t="shared" ca="1" si="68"/>
        <v>1</v>
      </c>
      <c r="P436" s="9">
        <f t="shared" ca="1" si="69"/>
        <v>1</v>
      </c>
      <c r="Q436" s="9">
        <f t="shared" ca="1" si="70"/>
        <v>1</v>
      </c>
      <c r="R436" s="9">
        <f t="shared" ca="1" si="71"/>
        <v>0</v>
      </c>
    </row>
    <row r="437" spans="2:18" x14ac:dyDescent="0.25">
      <c r="B437" s="17" t="s">
        <v>900</v>
      </c>
      <c r="C437" s="18" t="s">
        <v>901</v>
      </c>
      <c r="D437" s="7" t="e">
        <f ca="1">_xll.xlqPrice(C437)</f>
        <v>#NAME?</v>
      </c>
      <c r="E437" s="9" t="e">
        <f t="shared" ca="1" si="62"/>
        <v>#NAME?</v>
      </c>
      <c r="F437" s="9">
        <f t="shared" ca="1" si="63"/>
        <v>1</v>
      </c>
      <c r="G437" s="8">
        <f t="shared" ca="1" si="64"/>
        <v>0</v>
      </c>
      <c r="H437" s="8">
        <f t="shared" ca="1" si="65"/>
        <v>0</v>
      </c>
      <c r="I437" s="8">
        <f t="shared" ca="1" si="66"/>
        <v>0</v>
      </c>
      <c r="J437" s="6" t="e">
        <f ca="1">_xll.xlqxhSMA($C437,$L$4,$J$7,$K$3)</f>
        <v>#NAME?</v>
      </c>
      <c r="K437" s="7" t="e">
        <f ca="1">_xll.xlqhClose($C437,K$8,$K$3)</f>
        <v>#NAME?</v>
      </c>
      <c r="L437" s="7" t="e">
        <f ca="1">_xll.xlqhClose($C437,L$8,$K$3)</f>
        <v>#NAME?</v>
      </c>
      <c r="N437" s="9">
        <f t="shared" ca="1" si="67"/>
        <v>1</v>
      </c>
      <c r="O437" s="9">
        <f t="shared" ca="1" si="68"/>
        <v>1</v>
      </c>
      <c r="P437" s="9">
        <f t="shared" ca="1" si="69"/>
        <v>1</v>
      </c>
      <c r="Q437" s="9">
        <f t="shared" ca="1" si="70"/>
        <v>1</v>
      </c>
      <c r="R437" s="9">
        <f t="shared" ca="1" si="71"/>
        <v>0</v>
      </c>
    </row>
    <row r="438" spans="2:18" x14ac:dyDescent="0.25">
      <c r="B438" t="s">
        <v>1669</v>
      </c>
      <c r="C438" s="39" t="s">
        <v>1670</v>
      </c>
      <c r="D438" s="7" t="e">
        <f ca="1">_xll.xlqPrice(C438)</f>
        <v>#NAME?</v>
      </c>
      <c r="E438" s="9" t="e">
        <f t="shared" ca="1" si="62"/>
        <v>#NAME?</v>
      </c>
      <c r="F438" s="9">
        <f t="shared" ca="1" si="63"/>
        <v>1</v>
      </c>
      <c r="G438" s="8">
        <f t="shared" ca="1" si="64"/>
        <v>0</v>
      </c>
      <c r="H438" s="8">
        <f t="shared" ca="1" si="65"/>
        <v>0</v>
      </c>
      <c r="I438" s="8">
        <f t="shared" ca="1" si="66"/>
        <v>0</v>
      </c>
      <c r="J438" s="6" t="e">
        <f ca="1">_xll.xlqxhSMA($C438,$L$4,$J$7,$K$3)</f>
        <v>#NAME?</v>
      </c>
      <c r="K438" s="7" t="e">
        <f ca="1">_xll.xlqhClose($C438,K$8,$K$3)</f>
        <v>#NAME?</v>
      </c>
      <c r="L438" s="7" t="e">
        <f ca="1">_xll.xlqhClose($C438,L$8,$K$3)</f>
        <v>#NAME?</v>
      </c>
      <c r="N438" s="9">
        <f t="shared" ca="1" si="67"/>
        <v>1</v>
      </c>
      <c r="O438" s="9">
        <f t="shared" ca="1" si="68"/>
        <v>1</v>
      </c>
      <c r="P438" s="9">
        <f t="shared" ca="1" si="69"/>
        <v>1</v>
      </c>
      <c r="Q438" s="9">
        <f t="shared" ca="1" si="70"/>
        <v>1</v>
      </c>
      <c r="R438" s="9">
        <f t="shared" ca="1" si="71"/>
        <v>0</v>
      </c>
    </row>
    <row r="439" spans="2:18" x14ac:dyDescent="0.25">
      <c r="B439" s="17" t="s">
        <v>43</v>
      </c>
      <c r="C439" s="18" t="s">
        <v>22</v>
      </c>
      <c r="D439" s="7" t="e">
        <f ca="1">_xll.xlqPrice(C439)</f>
        <v>#NAME?</v>
      </c>
      <c r="E439" s="9" t="e">
        <f t="shared" ca="1" si="62"/>
        <v>#NAME?</v>
      </c>
      <c r="F439" s="9">
        <f t="shared" ca="1" si="63"/>
        <v>1</v>
      </c>
      <c r="G439" s="8">
        <f t="shared" ca="1" si="64"/>
        <v>0</v>
      </c>
      <c r="H439" s="8">
        <f t="shared" ca="1" si="65"/>
        <v>0</v>
      </c>
      <c r="I439" s="8">
        <f t="shared" ca="1" si="66"/>
        <v>0</v>
      </c>
      <c r="J439" s="6" t="e">
        <f ca="1">_xll.xlqxhSMA($C439,$L$4,$J$7,$K$3)</f>
        <v>#NAME?</v>
      </c>
      <c r="K439" s="7" t="e">
        <f ca="1">_xll.xlqhClose($C439,K$8,$K$3)</f>
        <v>#NAME?</v>
      </c>
      <c r="L439" s="7" t="e">
        <f ca="1">_xll.xlqhClose($C439,L$8,$K$3)</f>
        <v>#NAME?</v>
      </c>
      <c r="N439" s="9">
        <f t="shared" ca="1" si="67"/>
        <v>1</v>
      </c>
      <c r="O439" s="9">
        <f t="shared" ca="1" si="68"/>
        <v>1</v>
      </c>
      <c r="P439" s="9">
        <f t="shared" ca="1" si="69"/>
        <v>1</v>
      </c>
      <c r="Q439" s="9">
        <f t="shared" ca="1" si="70"/>
        <v>1</v>
      </c>
      <c r="R439" s="9">
        <f t="shared" ca="1" si="71"/>
        <v>0</v>
      </c>
    </row>
    <row r="440" spans="2:18" x14ac:dyDescent="0.25">
      <c r="B440" s="17" t="s">
        <v>854</v>
      </c>
      <c r="C440" s="18" t="s">
        <v>855</v>
      </c>
      <c r="D440" s="7" t="e">
        <f ca="1">_xll.xlqPrice(C440)</f>
        <v>#NAME?</v>
      </c>
      <c r="E440" s="9" t="e">
        <f t="shared" ca="1" si="62"/>
        <v>#NAME?</v>
      </c>
      <c r="F440" s="9">
        <f t="shared" ca="1" si="63"/>
        <v>1</v>
      </c>
      <c r="G440" s="8">
        <f t="shared" ca="1" si="64"/>
        <v>0</v>
      </c>
      <c r="H440" s="8">
        <f t="shared" ca="1" si="65"/>
        <v>0</v>
      </c>
      <c r="I440" s="8">
        <f t="shared" ca="1" si="66"/>
        <v>0</v>
      </c>
      <c r="J440" s="6" t="e">
        <f ca="1">_xll.xlqxhSMA($C440,$L$4,$J$7,$K$3)</f>
        <v>#NAME?</v>
      </c>
      <c r="K440" s="7" t="e">
        <f ca="1">_xll.xlqhClose($C440,K$8,$K$3)</f>
        <v>#NAME?</v>
      </c>
      <c r="L440" s="7" t="e">
        <f ca="1">_xll.xlqhClose($C440,L$8,$K$3)</f>
        <v>#NAME?</v>
      </c>
      <c r="N440" s="9">
        <f t="shared" ca="1" si="67"/>
        <v>1</v>
      </c>
      <c r="O440" s="9">
        <f t="shared" ca="1" si="68"/>
        <v>1</v>
      </c>
      <c r="P440" s="9">
        <f t="shared" ca="1" si="69"/>
        <v>1</v>
      </c>
      <c r="Q440" s="9">
        <f t="shared" ca="1" si="70"/>
        <v>1</v>
      </c>
      <c r="R440" s="9">
        <f t="shared" ca="1" si="71"/>
        <v>0</v>
      </c>
    </row>
    <row r="441" spans="2:18" x14ac:dyDescent="0.25">
      <c r="B441" s="17" t="s">
        <v>226</v>
      </c>
      <c r="C441" s="18" t="s">
        <v>227</v>
      </c>
      <c r="D441" s="7" t="e">
        <f ca="1">_xll.xlqPrice(C441)</f>
        <v>#NAME?</v>
      </c>
      <c r="E441" s="9" t="e">
        <f t="shared" ca="1" si="62"/>
        <v>#NAME?</v>
      </c>
      <c r="F441" s="9">
        <f t="shared" ca="1" si="63"/>
        <v>1</v>
      </c>
      <c r="G441" s="8">
        <f t="shared" ca="1" si="64"/>
        <v>0</v>
      </c>
      <c r="H441" s="8">
        <f t="shared" ca="1" si="65"/>
        <v>0</v>
      </c>
      <c r="I441" s="8">
        <f t="shared" ca="1" si="66"/>
        <v>0</v>
      </c>
      <c r="J441" s="6" t="e">
        <f ca="1">_xll.xlqxhSMA($C441,$L$4,$J$7,$K$3)</f>
        <v>#NAME?</v>
      </c>
      <c r="K441" s="7" t="e">
        <f ca="1">_xll.xlqhClose($C441,K$8,$K$3)</f>
        <v>#NAME?</v>
      </c>
      <c r="L441" s="7" t="e">
        <f ca="1">_xll.xlqhClose($C441,L$8,$K$3)</f>
        <v>#NAME?</v>
      </c>
      <c r="N441" s="9">
        <f t="shared" ca="1" si="67"/>
        <v>1</v>
      </c>
      <c r="O441" s="9">
        <f t="shared" ca="1" si="68"/>
        <v>1</v>
      </c>
      <c r="P441" s="9">
        <f t="shared" ca="1" si="69"/>
        <v>1</v>
      </c>
      <c r="Q441" s="9">
        <f t="shared" ca="1" si="70"/>
        <v>1</v>
      </c>
      <c r="R441" s="9">
        <f t="shared" ca="1" si="71"/>
        <v>0</v>
      </c>
    </row>
    <row r="442" spans="2:18" x14ac:dyDescent="0.25">
      <c r="B442" t="s">
        <v>1713</v>
      </c>
      <c r="C442" s="39" t="s">
        <v>1714</v>
      </c>
      <c r="D442" s="7" t="e">
        <f ca="1">_xll.xlqPrice(C442)</f>
        <v>#NAME?</v>
      </c>
      <c r="E442" s="9" t="e">
        <f t="shared" ca="1" si="62"/>
        <v>#NAME?</v>
      </c>
      <c r="F442" s="9">
        <f t="shared" ca="1" si="63"/>
        <v>1</v>
      </c>
      <c r="G442" s="8">
        <f t="shared" ca="1" si="64"/>
        <v>0</v>
      </c>
      <c r="H442" s="8">
        <f t="shared" ca="1" si="65"/>
        <v>0</v>
      </c>
      <c r="I442" s="8">
        <f t="shared" ca="1" si="66"/>
        <v>0</v>
      </c>
      <c r="J442" s="6" t="e">
        <f ca="1">_xll.xlqxhSMA($C442,$L$4,$J$7,$K$3)</f>
        <v>#NAME?</v>
      </c>
      <c r="K442" s="7" t="e">
        <f ca="1">_xll.xlqhClose($C442,K$8,$K$3)</f>
        <v>#NAME?</v>
      </c>
      <c r="L442" s="7" t="e">
        <f ca="1">_xll.xlqhClose($C442,L$8,$K$3)</f>
        <v>#NAME?</v>
      </c>
      <c r="N442" s="9">
        <f t="shared" ca="1" si="67"/>
        <v>1</v>
      </c>
      <c r="O442" s="9">
        <f t="shared" ca="1" si="68"/>
        <v>1</v>
      </c>
      <c r="P442" s="9">
        <f t="shared" ca="1" si="69"/>
        <v>1</v>
      </c>
      <c r="Q442" s="9">
        <f t="shared" ca="1" si="70"/>
        <v>1</v>
      </c>
      <c r="R442" s="9">
        <f t="shared" ca="1" si="71"/>
        <v>0</v>
      </c>
    </row>
    <row r="443" spans="2:18" x14ac:dyDescent="0.25">
      <c r="B443" s="17" t="s">
        <v>616</v>
      </c>
      <c r="C443" s="18" t="s">
        <v>617</v>
      </c>
      <c r="D443" s="7" t="e">
        <f ca="1">_xll.xlqPrice(C443)</f>
        <v>#NAME?</v>
      </c>
      <c r="E443" s="9" t="e">
        <f t="shared" ca="1" si="62"/>
        <v>#NAME?</v>
      </c>
      <c r="F443" s="9">
        <f t="shared" ca="1" si="63"/>
        <v>1</v>
      </c>
      <c r="G443" s="8">
        <f t="shared" ca="1" si="64"/>
        <v>0</v>
      </c>
      <c r="H443" s="8">
        <f t="shared" ca="1" si="65"/>
        <v>0</v>
      </c>
      <c r="I443" s="8">
        <f t="shared" ca="1" si="66"/>
        <v>0</v>
      </c>
      <c r="J443" s="6" t="e">
        <f ca="1">_xll.xlqxhSMA($C443,$L$4,$J$7,$K$3)</f>
        <v>#NAME?</v>
      </c>
      <c r="K443" s="7" t="e">
        <f ca="1">_xll.xlqhClose($C443,K$8,$K$3)</f>
        <v>#NAME?</v>
      </c>
      <c r="L443" s="7" t="e">
        <f ca="1">_xll.xlqhClose($C443,L$8,$K$3)</f>
        <v>#NAME?</v>
      </c>
      <c r="N443" s="9">
        <f t="shared" ca="1" si="67"/>
        <v>1</v>
      </c>
      <c r="O443" s="9">
        <f t="shared" ca="1" si="68"/>
        <v>1</v>
      </c>
      <c r="P443" s="9">
        <f t="shared" ca="1" si="69"/>
        <v>1</v>
      </c>
      <c r="Q443" s="9">
        <f t="shared" ca="1" si="70"/>
        <v>1</v>
      </c>
      <c r="R443" s="9">
        <f t="shared" ca="1" si="71"/>
        <v>0</v>
      </c>
    </row>
    <row r="444" spans="2:18" x14ac:dyDescent="0.25">
      <c r="B444" s="17" t="s">
        <v>422</v>
      </c>
      <c r="C444" s="18" t="s">
        <v>423</v>
      </c>
      <c r="D444" s="7" t="e">
        <f ca="1">_xll.xlqPrice(C444)</f>
        <v>#NAME?</v>
      </c>
      <c r="E444" s="9" t="e">
        <f t="shared" ca="1" si="62"/>
        <v>#NAME?</v>
      </c>
      <c r="F444" s="9">
        <f t="shared" ca="1" si="63"/>
        <v>1</v>
      </c>
      <c r="G444" s="8">
        <f t="shared" ca="1" si="64"/>
        <v>0</v>
      </c>
      <c r="H444" s="8">
        <f t="shared" ca="1" si="65"/>
        <v>0</v>
      </c>
      <c r="I444" s="8">
        <f t="shared" ca="1" si="66"/>
        <v>0</v>
      </c>
      <c r="J444" s="6" t="e">
        <f ca="1">_xll.xlqxhSMA($C444,$L$4,$J$7,$K$3)</f>
        <v>#NAME?</v>
      </c>
      <c r="K444" s="7" t="e">
        <f ca="1">_xll.xlqhClose($C444,K$8,$K$3)</f>
        <v>#NAME?</v>
      </c>
      <c r="L444" s="7" t="e">
        <f ca="1">_xll.xlqhClose($C444,L$8,$K$3)</f>
        <v>#NAME?</v>
      </c>
      <c r="N444" s="9">
        <f t="shared" ca="1" si="67"/>
        <v>1</v>
      </c>
      <c r="O444" s="9">
        <f t="shared" ca="1" si="68"/>
        <v>1</v>
      </c>
      <c r="P444" s="9">
        <f t="shared" ca="1" si="69"/>
        <v>1</v>
      </c>
      <c r="Q444" s="9">
        <f t="shared" ca="1" si="70"/>
        <v>1</v>
      </c>
      <c r="R444" s="9">
        <f t="shared" ca="1" si="71"/>
        <v>0</v>
      </c>
    </row>
    <row r="445" spans="2:18" x14ac:dyDescent="0.25">
      <c r="B445" s="17" t="s">
        <v>2259</v>
      </c>
      <c r="C445" s="18" t="s">
        <v>2260</v>
      </c>
      <c r="D445" s="7" t="e">
        <f ca="1">_xll.xlqPrice(C445)</f>
        <v>#NAME?</v>
      </c>
      <c r="E445" s="9" t="e">
        <f t="shared" ca="1" si="62"/>
        <v>#NAME?</v>
      </c>
      <c r="F445" s="9">
        <f t="shared" ca="1" si="63"/>
        <v>1</v>
      </c>
      <c r="G445" s="8">
        <f t="shared" ca="1" si="64"/>
        <v>0</v>
      </c>
      <c r="H445" s="8">
        <f t="shared" ca="1" si="65"/>
        <v>0</v>
      </c>
      <c r="I445" s="8">
        <f t="shared" ca="1" si="66"/>
        <v>0</v>
      </c>
      <c r="J445" s="6" t="e">
        <f ca="1">_xll.xlqxhSMA($C445,$L$4,$J$7,$K$3)</f>
        <v>#NAME?</v>
      </c>
      <c r="K445" s="7" t="e">
        <f ca="1">_xll.xlqhClose($C445,K$8,$K$3)</f>
        <v>#NAME?</v>
      </c>
      <c r="L445" s="7" t="e">
        <f ca="1">_xll.xlqhClose($C445,L$8,$K$3)</f>
        <v>#NAME?</v>
      </c>
      <c r="N445" s="9">
        <f t="shared" ca="1" si="67"/>
        <v>1</v>
      </c>
      <c r="O445" s="9">
        <f t="shared" ca="1" si="68"/>
        <v>1</v>
      </c>
      <c r="P445" s="9">
        <f t="shared" ca="1" si="69"/>
        <v>1</v>
      </c>
      <c r="Q445" s="9">
        <f t="shared" ca="1" si="70"/>
        <v>1</v>
      </c>
      <c r="R445" s="9">
        <f t="shared" ca="1" si="71"/>
        <v>0</v>
      </c>
    </row>
    <row r="446" spans="2:18" x14ac:dyDescent="0.25">
      <c r="B446" s="17" t="s">
        <v>1525</v>
      </c>
      <c r="C446" s="18" t="s">
        <v>1526</v>
      </c>
      <c r="D446" s="7" t="e">
        <f ca="1">_xll.xlqPrice(C446)</f>
        <v>#NAME?</v>
      </c>
      <c r="E446" s="9" t="e">
        <f t="shared" ca="1" si="62"/>
        <v>#NAME?</v>
      </c>
      <c r="F446" s="9">
        <f t="shared" ca="1" si="63"/>
        <v>1</v>
      </c>
      <c r="G446" s="8">
        <f t="shared" ca="1" si="64"/>
        <v>0</v>
      </c>
      <c r="H446" s="8">
        <f t="shared" ca="1" si="65"/>
        <v>0</v>
      </c>
      <c r="I446" s="8">
        <f t="shared" ca="1" si="66"/>
        <v>0</v>
      </c>
      <c r="J446" s="6" t="e">
        <f ca="1">_xll.xlqxhSMA($C446,$L$4,$J$7,$K$3)</f>
        <v>#NAME?</v>
      </c>
      <c r="K446" s="7" t="e">
        <f ca="1">_xll.xlqhClose($C446,K$8,$K$3)</f>
        <v>#NAME?</v>
      </c>
      <c r="L446" s="7" t="e">
        <f ca="1">_xll.xlqhClose($C446,L$8,$K$3)</f>
        <v>#NAME?</v>
      </c>
      <c r="N446" s="9">
        <f t="shared" ca="1" si="67"/>
        <v>1</v>
      </c>
      <c r="O446" s="9">
        <f t="shared" ca="1" si="68"/>
        <v>1</v>
      </c>
      <c r="P446" s="9">
        <f t="shared" ca="1" si="69"/>
        <v>1</v>
      </c>
      <c r="Q446" s="9">
        <f t="shared" ca="1" si="70"/>
        <v>1</v>
      </c>
      <c r="R446" s="9">
        <f t="shared" ca="1" si="71"/>
        <v>0</v>
      </c>
    </row>
    <row r="447" spans="2:18" x14ac:dyDescent="0.25">
      <c r="B447" s="17" t="s">
        <v>572</v>
      </c>
      <c r="C447" s="18" t="s">
        <v>573</v>
      </c>
      <c r="D447" s="7" t="e">
        <f ca="1">_xll.xlqPrice(C447)</f>
        <v>#NAME?</v>
      </c>
      <c r="E447" s="9" t="e">
        <f t="shared" ca="1" si="62"/>
        <v>#NAME?</v>
      </c>
      <c r="F447" s="9">
        <f t="shared" ca="1" si="63"/>
        <v>1</v>
      </c>
      <c r="G447" s="8">
        <f t="shared" ca="1" si="64"/>
        <v>0</v>
      </c>
      <c r="H447" s="8">
        <f t="shared" ca="1" si="65"/>
        <v>0</v>
      </c>
      <c r="I447" s="8">
        <f t="shared" ca="1" si="66"/>
        <v>0</v>
      </c>
      <c r="J447" s="6" t="e">
        <f ca="1">_xll.xlqxhSMA($C447,$L$4,$J$7,$K$3)</f>
        <v>#NAME?</v>
      </c>
      <c r="K447" s="7" t="e">
        <f ca="1">_xll.xlqhClose($C447,K$8,$K$3)</f>
        <v>#NAME?</v>
      </c>
      <c r="L447" s="7" t="e">
        <f ca="1">_xll.xlqhClose($C447,L$8,$K$3)</f>
        <v>#NAME?</v>
      </c>
      <c r="N447" s="9">
        <f t="shared" ca="1" si="67"/>
        <v>1</v>
      </c>
      <c r="O447" s="9">
        <f t="shared" ca="1" si="68"/>
        <v>1</v>
      </c>
      <c r="P447" s="9">
        <f t="shared" ca="1" si="69"/>
        <v>1</v>
      </c>
      <c r="Q447" s="9">
        <f t="shared" ca="1" si="70"/>
        <v>1</v>
      </c>
      <c r="R447" s="9">
        <f t="shared" ca="1" si="71"/>
        <v>0</v>
      </c>
    </row>
    <row r="448" spans="2:18" x14ac:dyDescent="0.25">
      <c r="B448" s="17" t="s">
        <v>2273</v>
      </c>
      <c r="C448" s="18" t="s">
        <v>2274</v>
      </c>
      <c r="D448" s="7" t="e">
        <f ca="1">_xll.xlqPrice(C448)</f>
        <v>#NAME?</v>
      </c>
      <c r="E448" s="9" t="e">
        <f t="shared" ca="1" si="62"/>
        <v>#NAME?</v>
      </c>
      <c r="F448" s="9">
        <f t="shared" ca="1" si="63"/>
        <v>1</v>
      </c>
      <c r="G448" s="8">
        <f t="shared" ca="1" si="64"/>
        <v>0</v>
      </c>
      <c r="H448" s="8">
        <f t="shared" ca="1" si="65"/>
        <v>0</v>
      </c>
      <c r="I448" s="8">
        <f t="shared" ca="1" si="66"/>
        <v>0</v>
      </c>
      <c r="J448" s="6" t="e">
        <f ca="1">_xll.xlqxhSMA($C448,$L$4,$J$7,$K$3)</f>
        <v>#NAME?</v>
      </c>
      <c r="K448" s="7" t="e">
        <f ca="1">_xll.xlqhClose($C448,K$8,$K$3)</f>
        <v>#NAME?</v>
      </c>
      <c r="L448" s="7" t="e">
        <f ca="1">_xll.xlqhClose($C448,L$8,$K$3)</f>
        <v>#NAME?</v>
      </c>
      <c r="N448" s="9">
        <f t="shared" ca="1" si="67"/>
        <v>1</v>
      </c>
      <c r="O448" s="9">
        <f t="shared" ca="1" si="68"/>
        <v>1</v>
      </c>
      <c r="P448" s="9">
        <f t="shared" ca="1" si="69"/>
        <v>1</v>
      </c>
      <c r="Q448" s="9">
        <f t="shared" ca="1" si="70"/>
        <v>1</v>
      </c>
      <c r="R448" s="9">
        <f t="shared" ca="1" si="71"/>
        <v>0</v>
      </c>
    </row>
    <row r="449" spans="2:18" x14ac:dyDescent="0.25">
      <c r="B449" s="17" t="s">
        <v>1181</v>
      </c>
      <c r="C449" s="18" t="s">
        <v>1182</v>
      </c>
      <c r="D449" s="7" t="e">
        <f ca="1">_xll.xlqPrice(C449)</f>
        <v>#NAME?</v>
      </c>
      <c r="E449" s="9" t="e">
        <f t="shared" ca="1" si="62"/>
        <v>#NAME?</v>
      </c>
      <c r="F449" s="9">
        <f t="shared" ca="1" si="63"/>
        <v>1</v>
      </c>
      <c r="G449" s="8">
        <f t="shared" ca="1" si="64"/>
        <v>0</v>
      </c>
      <c r="H449" s="8">
        <f t="shared" ca="1" si="65"/>
        <v>0</v>
      </c>
      <c r="I449" s="8">
        <f t="shared" ca="1" si="66"/>
        <v>0</v>
      </c>
      <c r="J449" s="6" t="e">
        <f ca="1">_xll.xlqxhSMA($C449,$L$4,$J$7,$K$3)</f>
        <v>#NAME?</v>
      </c>
      <c r="K449" s="7" t="e">
        <f ca="1">_xll.xlqhClose($C449,K$8,$K$3)</f>
        <v>#NAME?</v>
      </c>
      <c r="L449" s="7" t="e">
        <f ca="1">_xll.xlqhClose($C449,L$8,$K$3)</f>
        <v>#NAME?</v>
      </c>
      <c r="N449" s="9">
        <f t="shared" ca="1" si="67"/>
        <v>1</v>
      </c>
      <c r="O449" s="9">
        <f t="shared" ca="1" si="68"/>
        <v>1</v>
      </c>
      <c r="P449" s="9">
        <f t="shared" ca="1" si="69"/>
        <v>1</v>
      </c>
      <c r="Q449" s="9">
        <f t="shared" ca="1" si="70"/>
        <v>1</v>
      </c>
      <c r="R449" s="9">
        <f t="shared" ca="1" si="71"/>
        <v>0</v>
      </c>
    </row>
    <row r="450" spans="2:18" x14ac:dyDescent="0.25">
      <c r="B450" s="17" t="s">
        <v>1833</v>
      </c>
      <c r="C450" s="18" t="s">
        <v>1834</v>
      </c>
      <c r="D450" s="7" t="e">
        <f ca="1">_xll.xlqPrice(C450)</f>
        <v>#NAME?</v>
      </c>
      <c r="E450" s="9" t="e">
        <f t="shared" ca="1" si="62"/>
        <v>#NAME?</v>
      </c>
      <c r="F450" s="9">
        <f t="shared" ca="1" si="63"/>
        <v>1</v>
      </c>
      <c r="G450" s="8">
        <f t="shared" ca="1" si="64"/>
        <v>0</v>
      </c>
      <c r="H450" s="8">
        <f t="shared" ca="1" si="65"/>
        <v>0</v>
      </c>
      <c r="I450" s="8">
        <f t="shared" ca="1" si="66"/>
        <v>0</v>
      </c>
      <c r="J450" s="6" t="e">
        <f ca="1">_xll.xlqxhSMA($C450,$L$4,$J$7,$K$3)</f>
        <v>#NAME?</v>
      </c>
      <c r="K450" s="7" t="e">
        <f ca="1">_xll.xlqhClose($C450,K$8,$K$3)</f>
        <v>#NAME?</v>
      </c>
      <c r="L450" s="7" t="e">
        <f ca="1">_xll.xlqhClose($C450,L$8,$K$3)</f>
        <v>#NAME?</v>
      </c>
      <c r="N450" s="9">
        <f t="shared" ca="1" si="67"/>
        <v>1</v>
      </c>
      <c r="O450" s="9">
        <f t="shared" ca="1" si="68"/>
        <v>1</v>
      </c>
      <c r="P450" s="9">
        <f t="shared" ca="1" si="69"/>
        <v>1</v>
      </c>
      <c r="Q450" s="9">
        <f t="shared" ca="1" si="70"/>
        <v>1</v>
      </c>
      <c r="R450" s="9">
        <f t="shared" ca="1" si="71"/>
        <v>0</v>
      </c>
    </row>
    <row r="451" spans="2:18" x14ac:dyDescent="0.25">
      <c r="B451" s="17" t="s">
        <v>2277</v>
      </c>
      <c r="C451" s="18" t="s">
        <v>2278</v>
      </c>
      <c r="D451" s="7" t="e">
        <f ca="1">_xll.xlqPrice(C451)</f>
        <v>#NAME?</v>
      </c>
      <c r="E451" s="9" t="e">
        <f t="shared" ca="1" si="62"/>
        <v>#NAME?</v>
      </c>
      <c r="F451" s="9">
        <f t="shared" ca="1" si="63"/>
        <v>1</v>
      </c>
      <c r="G451" s="8">
        <f t="shared" ca="1" si="64"/>
        <v>0</v>
      </c>
      <c r="H451" s="8">
        <f t="shared" ca="1" si="65"/>
        <v>0</v>
      </c>
      <c r="I451" s="8">
        <f t="shared" ca="1" si="66"/>
        <v>0</v>
      </c>
      <c r="J451" s="6" t="e">
        <f ca="1">_xll.xlqxhSMA($C451,$L$4,$J$7,$K$3)</f>
        <v>#NAME?</v>
      </c>
      <c r="K451" s="7" t="e">
        <f ca="1">_xll.xlqhClose($C451,K$8,$K$3)</f>
        <v>#NAME?</v>
      </c>
      <c r="L451" s="7" t="e">
        <f ca="1">_xll.xlqhClose($C451,L$8,$K$3)</f>
        <v>#NAME?</v>
      </c>
      <c r="N451" s="9">
        <f t="shared" ca="1" si="67"/>
        <v>1</v>
      </c>
      <c r="O451" s="9">
        <f t="shared" ca="1" si="68"/>
        <v>1</v>
      </c>
      <c r="P451" s="9">
        <f t="shared" ca="1" si="69"/>
        <v>1</v>
      </c>
      <c r="Q451" s="9">
        <f t="shared" ca="1" si="70"/>
        <v>1</v>
      </c>
      <c r="R451" s="9">
        <f t="shared" ca="1" si="71"/>
        <v>0</v>
      </c>
    </row>
    <row r="452" spans="2:18" x14ac:dyDescent="0.25">
      <c r="B452" s="17" t="s">
        <v>888</v>
      </c>
      <c r="C452" s="18" t="s">
        <v>889</v>
      </c>
      <c r="D452" s="7" t="e">
        <f ca="1">_xll.xlqPrice(C452)</f>
        <v>#NAME?</v>
      </c>
      <c r="E452" s="9" t="e">
        <f t="shared" ca="1" si="62"/>
        <v>#NAME?</v>
      </c>
      <c r="F452" s="9">
        <f t="shared" ca="1" si="63"/>
        <v>1</v>
      </c>
      <c r="G452" s="8">
        <f t="shared" ca="1" si="64"/>
        <v>0</v>
      </c>
      <c r="H452" s="8">
        <f t="shared" ca="1" si="65"/>
        <v>0</v>
      </c>
      <c r="I452" s="8">
        <f t="shared" ca="1" si="66"/>
        <v>0</v>
      </c>
      <c r="J452" s="6" t="e">
        <f ca="1">_xll.xlqxhSMA($C452,$L$4,$J$7,$K$3)</f>
        <v>#NAME?</v>
      </c>
      <c r="K452" s="7" t="e">
        <f ca="1">_xll.xlqhClose($C452,K$8,$K$3)</f>
        <v>#NAME?</v>
      </c>
      <c r="L452" s="7" t="e">
        <f ca="1">_xll.xlqhClose($C452,L$8,$K$3)</f>
        <v>#NAME?</v>
      </c>
      <c r="N452" s="9">
        <f t="shared" ca="1" si="67"/>
        <v>1</v>
      </c>
      <c r="O452" s="9">
        <f t="shared" ca="1" si="68"/>
        <v>1</v>
      </c>
      <c r="P452" s="9">
        <f t="shared" ca="1" si="69"/>
        <v>1</v>
      </c>
      <c r="Q452" s="9">
        <f t="shared" ca="1" si="70"/>
        <v>1</v>
      </c>
      <c r="R452" s="9">
        <f t="shared" ca="1" si="71"/>
        <v>0</v>
      </c>
    </row>
    <row r="453" spans="2:18" x14ac:dyDescent="0.25">
      <c r="B453" s="17" t="s">
        <v>480</v>
      </c>
      <c r="C453" s="18" t="s">
        <v>481</v>
      </c>
      <c r="D453" s="7" t="e">
        <f ca="1">_xll.xlqPrice(C453)</f>
        <v>#NAME?</v>
      </c>
      <c r="E453" s="9" t="e">
        <f t="shared" ca="1" si="62"/>
        <v>#NAME?</v>
      </c>
      <c r="F453" s="9">
        <f t="shared" ca="1" si="63"/>
        <v>1</v>
      </c>
      <c r="G453" s="8">
        <f t="shared" ca="1" si="64"/>
        <v>0</v>
      </c>
      <c r="H453" s="8">
        <f t="shared" ca="1" si="65"/>
        <v>0</v>
      </c>
      <c r="I453" s="8">
        <f t="shared" ca="1" si="66"/>
        <v>0</v>
      </c>
      <c r="J453" s="6" t="e">
        <f ca="1">_xll.xlqxhSMA($C453,$L$4,$J$7,$K$3)</f>
        <v>#NAME?</v>
      </c>
      <c r="K453" s="7" t="e">
        <f ca="1">_xll.xlqhClose($C453,K$8,$K$3)</f>
        <v>#NAME?</v>
      </c>
      <c r="L453" s="7" t="e">
        <f ca="1">_xll.xlqhClose($C453,L$8,$K$3)</f>
        <v>#NAME?</v>
      </c>
      <c r="N453" s="9">
        <f t="shared" ca="1" si="67"/>
        <v>1</v>
      </c>
      <c r="O453" s="9">
        <f t="shared" ca="1" si="68"/>
        <v>1</v>
      </c>
      <c r="P453" s="9">
        <f t="shared" ca="1" si="69"/>
        <v>1</v>
      </c>
      <c r="Q453" s="9">
        <f t="shared" ca="1" si="70"/>
        <v>1</v>
      </c>
      <c r="R453" s="9">
        <f t="shared" ca="1" si="71"/>
        <v>0</v>
      </c>
    </row>
    <row r="454" spans="2:18" x14ac:dyDescent="0.25">
      <c r="B454" s="17" t="s">
        <v>969</v>
      </c>
      <c r="C454" s="18" t="s">
        <v>970</v>
      </c>
      <c r="D454" s="7" t="e">
        <f ca="1">_xll.xlqPrice(C454)</f>
        <v>#NAME?</v>
      </c>
      <c r="E454" s="9" t="e">
        <f t="shared" ca="1" si="62"/>
        <v>#NAME?</v>
      </c>
      <c r="F454" s="9">
        <f t="shared" ca="1" si="63"/>
        <v>1</v>
      </c>
      <c r="G454" s="8">
        <f t="shared" ca="1" si="64"/>
        <v>0</v>
      </c>
      <c r="H454" s="8">
        <f t="shared" ca="1" si="65"/>
        <v>0</v>
      </c>
      <c r="I454" s="8">
        <f t="shared" ca="1" si="66"/>
        <v>0</v>
      </c>
      <c r="J454" s="6" t="e">
        <f ca="1">_xll.xlqxhSMA($C454,$L$4,$J$7,$K$3)</f>
        <v>#NAME?</v>
      </c>
      <c r="K454" s="7" t="e">
        <f ca="1">_xll.xlqhClose($C454,K$8,$K$3)</f>
        <v>#NAME?</v>
      </c>
      <c r="L454" s="7" t="e">
        <f ca="1">_xll.xlqhClose($C454,L$8,$K$3)</f>
        <v>#NAME?</v>
      </c>
      <c r="N454" s="9">
        <f t="shared" ca="1" si="67"/>
        <v>1</v>
      </c>
      <c r="O454" s="9">
        <f t="shared" ca="1" si="68"/>
        <v>1</v>
      </c>
      <c r="P454" s="9">
        <f t="shared" ca="1" si="69"/>
        <v>1</v>
      </c>
      <c r="Q454" s="9">
        <f t="shared" ca="1" si="70"/>
        <v>1</v>
      </c>
      <c r="R454" s="9">
        <f t="shared" ca="1" si="71"/>
        <v>0</v>
      </c>
    </row>
    <row r="455" spans="2:18" x14ac:dyDescent="0.25">
      <c r="B455" t="s">
        <v>1599</v>
      </c>
      <c r="C455" s="39" t="s">
        <v>1600</v>
      </c>
      <c r="D455" s="7" t="e">
        <f ca="1">_xll.xlqPrice(C455)</f>
        <v>#NAME?</v>
      </c>
      <c r="E455" s="9" t="e">
        <f t="shared" ca="1" si="62"/>
        <v>#NAME?</v>
      </c>
      <c r="F455" s="9">
        <f t="shared" ca="1" si="63"/>
        <v>1</v>
      </c>
      <c r="G455" s="8">
        <f t="shared" ca="1" si="64"/>
        <v>0</v>
      </c>
      <c r="H455" s="8">
        <f t="shared" ca="1" si="65"/>
        <v>0</v>
      </c>
      <c r="I455" s="8">
        <f t="shared" ca="1" si="66"/>
        <v>0</v>
      </c>
      <c r="J455" s="6" t="e">
        <f ca="1">_xll.xlqxhSMA($C455,$L$4,$J$7,$K$3)</f>
        <v>#NAME?</v>
      </c>
      <c r="K455" s="7" t="e">
        <f ca="1">_xll.xlqhClose($C455,K$8,$K$3)</f>
        <v>#NAME?</v>
      </c>
      <c r="L455" s="7" t="e">
        <f ca="1">_xll.xlqhClose($C455,L$8,$K$3)</f>
        <v>#NAME?</v>
      </c>
      <c r="N455" s="9">
        <f t="shared" ca="1" si="67"/>
        <v>1</v>
      </c>
      <c r="O455" s="9">
        <f t="shared" ca="1" si="68"/>
        <v>1</v>
      </c>
      <c r="P455" s="9">
        <f t="shared" ca="1" si="69"/>
        <v>1</v>
      </c>
      <c r="Q455" s="9">
        <f t="shared" ca="1" si="70"/>
        <v>1</v>
      </c>
      <c r="R455" s="9">
        <f t="shared" ca="1" si="71"/>
        <v>0</v>
      </c>
    </row>
    <row r="456" spans="2:18" x14ac:dyDescent="0.25">
      <c r="B456" s="17" t="s">
        <v>2197</v>
      </c>
      <c r="C456" s="18" t="s">
        <v>2198</v>
      </c>
      <c r="D456" s="7" t="e">
        <f ca="1">_xll.xlqPrice(C456)</f>
        <v>#NAME?</v>
      </c>
      <c r="E456" s="9" t="e">
        <f t="shared" ca="1" si="62"/>
        <v>#NAME?</v>
      </c>
      <c r="F456" s="9">
        <f t="shared" ca="1" si="63"/>
        <v>1</v>
      </c>
      <c r="G456" s="8">
        <f t="shared" ca="1" si="64"/>
        <v>0</v>
      </c>
      <c r="H456" s="8">
        <f t="shared" ca="1" si="65"/>
        <v>0</v>
      </c>
      <c r="I456" s="8">
        <f t="shared" ca="1" si="66"/>
        <v>0</v>
      </c>
      <c r="J456" s="6" t="e">
        <f ca="1">_xll.xlqxhSMA($C456,$L$4,$J$7,$K$3)</f>
        <v>#NAME?</v>
      </c>
      <c r="K456" s="7" t="e">
        <f ca="1">_xll.xlqhClose($C456,K$8,$K$3)</f>
        <v>#NAME?</v>
      </c>
      <c r="L456" s="7" t="e">
        <f ca="1">_xll.xlqhClose($C456,L$8,$K$3)</f>
        <v>#NAME?</v>
      </c>
      <c r="N456" s="9">
        <f t="shared" ca="1" si="67"/>
        <v>1</v>
      </c>
      <c r="O456" s="9">
        <f t="shared" ca="1" si="68"/>
        <v>1</v>
      </c>
      <c r="P456" s="9">
        <f t="shared" ca="1" si="69"/>
        <v>1</v>
      </c>
      <c r="Q456" s="9">
        <f t="shared" ca="1" si="70"/>
        <v>1</v>
      </c>
      <c r="R456" s="9">
        <f t="shared" ca="1" si="71"/>
        <v>0</v>
      </c>
    </row>
    <row r="457" spans="2:18" x14ac:dyDescent="0.25">
      <c r="B457" s="17" t="s">
        <v>2297</v>
      </c>
      <c r="C457" s="18" t="s">
        <v>2298</v>
      </c>
      <c r="D457" s="7" t="e">
        <f ca="1">_xll.xlqPrice(C457)</f>
        <v>#NAME?</v>
      </c>
      <c r="E457" s="9" t="e">
        <f t="shared" ca="1" si="62"/>
        <v>#NAME?</v>
      </c>
      <c r="F457" s="9">
        <f t="shared" ca="1" si="63"/>
        <v>1</v>
      </c>
      <c r="G457" s="8">
        <f t="shared" ca="1" si="64"/>
        <v>0</v>
      </c>
      <c r="H457" s="8">
        <f t="shared" ca="1" si="65"/>
        <v>0</v>
      </c>
      <c r="I457" s="8">
        <f t="shared" ca="1" si="66"/>
        <v>0</v>
      </c>
      <c r="J457" s="6" t="e">
        <f ca="1">_xll.xlqxhSMA($C457,$L$4,$J$7,$K$3)</f>
        <v>#NAME?</v>
      </c>
      <c r="K457" s="7" t="e">
        <f ca="1">_xll.xlqhClose($C457,K$8,$K$3)</f>
        <v>#NAME?</v>
      </c>
      <c r="L457" s="7" t="e">
        <f ca="1">_xll.xlqhClose($C457,L$8,$K$3)</f>
        <v>#NAME?</v>
      </c>
      <c r="N457" s="9">
        <f t="shared" ca="1" si="67"/>
        <v>1</v>
      </c>
      <c r="O457" s="9">
        <f t="shared" ca="1" si="68"/>
        <v>1</v>
      </c>
      <c r="P457" s="9">
        <f t="shared" ca="1" si="69"/>
        <v>1</v>
      </c>
      <c r="Q457" s="9">
        <f t="shared" ca="1" si="70"/>
        <v>1</v>
      </c>
      <c r="R457" s="9">
        <f t="shared" ca="1" si="71"/>
        <v>0</v>
      </c>
    </row>
    <row r="458" spans="2:18" x14ac:dyDescent="0.25">
      <c r="B458" s="17" t="s">
        <v>826</v>
      </c>
      <c r="C458" s="18" t="s">
        <v>827</v>
      </c>
      <c r="D458" s="7" t="e">
        <f ca="1">_xll.xlqPrice(C458)</f>
        <v>#NAME?</v>
      </c>
      <c r="E458" s="9" t="e">
        <f t="shared" ca="1" si="62"/>
        <v>#NAME?</v>
      </c>
      <c r="F458" s="9">
        <f t="shared" ca="1" si="63"/>
        <v>1</v>
      </c>
      <c r="G458" s="8">
        <f t="shared" ca="1" si="64"/>
        <v>0</v>
      </c>
      <c r="H458" s="8">
        <f t="shared" ca="1" si="65"/>
        <v>0</v>
      </c>
      <c r="I458" s="8">
        <f t="shared" ca="1" si="66"/>
        <v>0</v>
      </c>
      <c r="J458" s="6" t="e">
        <f ca="1">_xll.xlqxhSMA($C458,$L$4,$J$7,$K$3)</f>
        <v>#NAME?</v>
      </c>
      <c r="K458" s="7" t="e">
        <f ca="1">_xll.xlqhClose($C458,K$8,$K$3)</f>
        <v>#NAME?</v>
      </c>
      <c r="L458" s="7" t="e">
        <f ca="1">_xll.xlqhClose($C458,L$8,$K$3)</f>
        <v>#NAME?</v>
      </c>
      <c r="N458" s="9">
        <f t="shared" ca="1" si="67"/>
        <v>1</v>
      </c>
      <c r="O458" s="9">
        <f t="shared" ca="1" si="68"/>
        <v>1</v>
      </c>
      <c r="P458" s="9">
        <f t="shared" ca="1" si="69"/>
        <v>1</v>
      </c>
      <c r="Q458" s="9">
        <f t="shared" ca="1" si="70"/>
        <v>1</v>
      </c>
      <c r="R458" s="9">
        <f t="shared" ca="1" si="71"/>
        <v>0</v>
      </c>
    </row>
    <row r="459" spans="2:18" x14ac:dyDescent="0.25">
      <c r="B459" s="17" t="s">
        <v>2165</v>
      </c>
      <c r="C459" s="18" t="s">
        <v>2166</v>
      </c>
      <c r="D459" s="7" t="e">
        <f ca="1">_xll.xlqPrice(C459)</f>
        <v>#NAME?</v>
      </c>
      <c r="E459" s="9" t="e">
        <f t="shared" ref="E459:E522" ca="1" si="72">IF(D459&gt;J459, "Buy","Cash")</f>
        <v>#NAME?</v>
      </c>
      <c r="F459" s="9">
        <f t="shared" ref="F459:F522" ca="1" si="73">RANK(I459,$I$11:$I$1138,0)</f>
        <v>1</v>
      </c>
      <c r="G459" s="8">
        <f t="shared" ref="G459:G522" ca="1" si="74">IFERROR(($D459-K459)/K459,0)</f>
        <v>0</v>
      </c>
      <c r="H459" s="8">
        <f t="shared" ref="H459:H522" ca="1" si="75">IFERROR(($D459-L459)/L459,0)</f>
        <v>0</v>
      </c>
      <c r="I459" s="8">
        <f t="shared" ref="I459:I522" ca="1" si="76">IFERROR((G459*$G$8)+(H459*$H$8),0)</f>
        <v>0</v>
      </c>
      <c r="J459" s="6" t="e">
        <f ca="1">_xll.xlqxhSMA($C459,$L$4,$J$7,$K$3)</f>
        <v>#NAME?</v>
      </c>
      <c r="K459" s="7" t="e">
        <f ca="1">_xll.xlqhClose($C459,K$8,$K$3)</f>
        <v>#NAME?</v>
      </c>
      <c r="L459" s="7" t="e">
        <f ca="1">_xll.xlqhClose($C459,L$8,$K$3)</f>
        <v>#NAME?</v>
      </c>
      <c r="N459" s="9">
        <f t="shared" ref="N459:N522" ca="1" si="77">RANK($G459,G$11:G$1138,0)</f>
        <v>1</v>
      </c>
      <c r="O459" s="9">
        <f t="shared" ref="O459:O522" ca="1" si="78">RANK($H459,H$11:H$1138,0)</f>
        <v>1</v>
      </c>
      <c r="P459" s="9">
        <f t="shared" ref="P459:P522" ca="1" si="79">RANK($I459,I$11:I$1138,0)</f>
        <v>1</v>
      </c>
      <c r="Q459" s="9">
        <f t="shared" ref="Q459:Q522" ca="1" si="80">RANK($P459,P$11:P$1138,1)</f>
        <v>1</v>
      </c>
      <c r="R459" s="9">
        <f t="shared" ref="R459:R522" ca="1" si="81">F459-Q459</f>
        <v>0</v>
      </c>
    </row>
    <row r="460" spans="2:18" x14ac:dyDescent="0.25">
      <c r="B460" t="s">
        <v>1463</v>
      </c>
      <c r="C460" s="39" t="s">
        <v>1464</v>
      </c>
      <c r="D460" s="7" t="e">
        <f ca="1">_xll.xlqPrice(C460)</f>
        <v>#NAME?</v>
      </c>
      <c r="E460" s="9" t="e">
        <f t="shared" ca="1" si="72"/>
        <v>#NAME?</v>
      </c>
      <c r="F460" s="9">
        <f t="shared" ca="1" si="73"/>
        <v>1</v>
      </c>
      <c r="G460" s="8">
        <f t="shared" ca="1" si="74"/>
        <v>0</v>
      </c>
      <c r="H460" s="8">
        <f t="shared" ca="1" si="75"/>
        <v>0</v>
      </c>
      <c r="I460" s="8">
        <f t="shared" ca="1" si="76"/>
        <v>0</v>
      </c>
      <c r="J460" s="6" t="e">
        <f ca="1">_xll.xlqxhSMA($C460,$L$4,$J$7,$K$3)</f>
        <v>#NAME?</v>
      </c>
      <c r="K460" s="7" t="e">
        <f ca="1">_xll.xlqhClose($C460,K$8,$K$3)</f>
        <v>#NAME?</v>
      </c>
      <c r="L460" s="7" t="e">
        <f ca="1">_xll.xlqhClose($C460,L$8,$K$3)</f>
        <v>#NAME?</v>
      </c>
      <c r="N460" s="9">
        <f t="shared" ca="1" si="77"/>
        <v>1</v>
      </c>
      <c r="O460" s="9">
        <f t="shared" ca="1" si="78"/>
        <v>1</v>
      </c>
      <c r="P460" s="9">
        <f t="shared" ca="1" si="79"/>
        <v>1</v>
      </c>
      <c r="Q460" s="9">
        <f t="shared" ca="1" si="80"/>
        <v>1</v>
      </c>
      <c r="R460" s="9">
        <f t="shared" ca="1" si="81"/>
        <v>0</v>
      </c>
    </row>
    <row r="461" spans="2:18" x14ac:dyDescent="0.25">
      <c r="B461" s="17" t="s">
        <v>1957</v>
      </c>
      <c r="C461" s="18" t="s">
        <v>1958</v>
      </c>
      <c r="D461" s="7" t="e">
        <f ca="1">_xll.xlqPrice(C461)</f>
        <v>#NAME?</v>
      </c>
      <c r="E461" s="9" t="e">
        <f t="shared" ca="1" si="72"/>
        <v>#NAME?</v>
      </c>
      <c r="F461" s="9">
        <f t="shared" ca="1" si="73"/>
        <v>1</v>
      </c>
      <c r="G461" s="8">
        <f t="shared" ca="1" si="74"/>
        <v>0</v>
      </c>
      <c r="H461" s="8">
        <f t="shared" ca="1" si="75"/>
        <v>0</v>
      </c>
      <c r="I461" s="8">
        <f t="shared" ca="1" si="76"/>
        <v>0</v>
      </c>
      <c r="J461" s="6" t="e">
        <f ca="1">_xll.xlqxhSMA($C461,$L$4,$J$7,$K$3)</f>
        <v>#NAME?</v>
      </c>
      <c r="K461" s="7" t="e">
        <f ca="1">_xll.xlqhClose($C461,K$8,$K$3)</f>
        <v>#NAME?</v>
      </c>
      <c r="L461" s="7" t="e">
        <f ca="1">_xll.xlqhClose($C461,L$8,$K$3)</f>
        <v>#NAME?</v>
      </c>
      <c r="N461" s="9">
        <f t="shared" ca="1" si="77"/>
        <v>1</v>
      </c>
      <c r="O461" s="9">
        <f t="shared" ca="1" si="78"/>
        <v>1</v>
      </c>
      <c r="P461" s="9">
        <f t="shared" ca="1" si="79"/>
        <v>1</v>
      </c>
      <c r="Q461" s="9">
        <f t="shared" ca="1" si="80"/>
        <v>1</v>
      </c>
      <c r="R461" s="9">
        <f t="shared" ca="1" si="81"/>
        <v>0</v>
      </c>
    </row>
    <row r="462" spans="2:18" x14ac:dyDescent="0.25">
      <c r="B462" s="17" t="s">
        <v>1015</v>
      </c>
      <c r="C462" s="18" t="s">
        <v>1016</v>
      </c>
      <c r="D462" s="7" t="e">
        <f ca="1">_xll.xlqPrice(C462)</f>
        <v>#NAME?</v>
      </c>
      <c r="E462" s="9" t="e">
        <f t="shared" ca="1" si="72"/>
        <v>#NAME?</v>
      </c>
      <c r="F462" s="9">
        <f t="shared" ca="1" si="73"/>
        <v>1</v>
      </c>
      <c r="G462" s="8">
        <f t="shared" ca="1" si="74"/>
        <v>0</v>
      </c>
      <c r="H462" s="8">
        <f t="shared" ca="1" si="75"/>
        <v>0</v>
      </c>
      <c r="I462" s="8">
        <f t="shared" ca="1" si="76"/>
        <v>0</v>
      </c>
      <c r="J462" s="6" t="e">
        <f ca="1">_xll.xlqxhSMA($C462,$L$4,$J$7,$K$3)</f>
        <v>#NAME?</v>
      </c>
      <c r="K462" s="7" t="e">
        <f ca="1">_xll.xlqhClose($C462,K$8,$K$3)</f>
        <v>#NAME?</v>
      </c>
      <c r="L462" s="7" t="e">
        <f ca="1">_xll.xlqhClose($C462,L$8,$K$3)</f>
        <v>#NAME?</v>
      </c>
      <c r="N462" s="9">
        <f t="shared" ca="1" si="77"/>
        <v>1</v>
      </c>
      <c r="O462" s="9">
        <f t="shared" ca="1" si="78"/>
        <v>1</v>
      </c>
      <c r="P462" s="9">
        <f t="shared" ca="1" si="79"/>
        <v>1</v>
      </c>
      <c r="Q462" s="9">
        <f t="shared" ca="1" si="80"/>
        <v>1</v>
      </c>
      <c r="R462" s="9">
        <f t="shared" ca="1" si="81"/>
        <v>0</v>
      </c>
    </row>
    <row r="463" spans="2:18" x14ac:dyDescent="0.25">
      <c r="B463" s="17" t="s">
        <v>164</v>
      </c>
      <c r="C463" s="18" t="s">
        <v>165</v>
      </c>
      <c r="D463" s="7" t="e">
        <f ca="1">_xll.xlqPrice(C463)</f>
        <v>#NAME?</v>
      </c>
      <c r="E463" s="9" t="e">
        <f t="shared" ca="1" si="72"/>
        <v>#NAME?</v>
      </c>
      <c r="F463" s="9">
        <f t="shared" ca="1" si="73"/>
        <v>1</v>
      </c>
      <c r="G463" s="8">
        <f t="shared" ca="1" si="74"/>
        <v>0</v>
      </c>
      <c r="H463" s="8">
        <f t="shared" ca="1" si="75"/>
        <v>0</v>
      </c>
      <c r="I463" s="8">
        <f t="shared" ca="1" si="76"/>
        <v>0</v>
      </c>
      <c r="J463" s="6" t="e">
        <f ca="1">_xll.xlqxhSMA($C463,$L$4,$J$7,$K$3)</f>
        <v>#NAME?</v>
      </c>
      <c r="K463" s="7" t="e">
        <f ca="1">_xll.xlqhClose($C463,K$8,$K$3)</f>
        <v>#NAME?</v>
      </c>
      <c r="L463" s="7" t="e">
        <f ca="1">_xll.xlqhClose($C463,L$8,$K$3)</f>
        <v>#NAME?</v>
      </c>
      <c r="N463" s="9">
        <f t="shared" ca="1" si="77"/>
        <v>1</v>
      </c>
      <c r="O463" s="9">
        <f t="shared" ca="1" si="78"/>
        <v>1</v>
      </c>
      <c r="P463" s="9">
        <f t="shared" ca="1" si="79"/>
        <v>1</v>
      </c>
      <c r="Q463" s="9">
        <f t="shared" ca="1" si="80"/>
        <v>1</v>
      </c>
      <c r="R463" s="9">
        <f t="shared" ca="1" si="81"/>
        <v>0</v>
      </c>
    </row>
    <row r="464" spans="2:18" x14ac:dyDescent="0.25">
      <c r="B464" s="17" t="s">
        <v>1111</v>
      </c>
      <c r="C464" s="18" t="s">
        <v>1112</v>
      </c>
      <c r="D464" s="7" t="e">
        <f ca="1">_xll.xlqPrice(C464)</f>
        <v>#NAME?</v>
      </c>
      <c r="E464" s="9" t="e">
        <f t="shared" ca="1" si="72"/>
        <v>#NAME?</v>
      </c>
      <c r="F464" s="9">
        <f t="shared" ca="1" si="73"/>
        <v>1</v>
      </c>
      <c r="G464" s="8">
        <f t="shared" ca="1" si="74"/>
        <v>0</v>
      </c>
      <c r="H464" s="8">
        <f t="shared" ca="1" si="75"/>
        <v>0</v>
      </c>
      <c r="I464" s="8">
        <f t="shared" ca="1" si="76"/>
        <v>0</v>
      </c>
      <c r="J464" s="6" t="e">
        <f ca="1">_xll.xlqxhSMA($C464,$L$4,$J$7,$K$3)</f>
        <v>#NAME?</v>
      </c>
      <c r="K464" s="7" t="e">
        <f ca="1">_xll.xlqhClose($C464,K$8,$K$3)</f>
        <v>#NAME?</v>
      </c>
      <c r="L464" s="7" t="e">
        <f ca="1">_xll.xlqhClose($C464,L$8,$K$3)</f>
        <v>#NAME?</v>
      </c>
      <c r="N464" s="9">
        <f t="shared" ca="1" si="77"/>
        <v>1</v>
      </c>
      <c r="O464" s="9">
        <f t="shared" ca="1" si="78"/>
        <v>1</v>
      </c>
      <c r="P464" s="9">
        <f t="shared" ca="1" si="79"/>
        <v>1</v>
      </c>
      <c r="Q464" s="9">
        <f t="shared" ca="1" si="80"/>
        <v>1</v>
      </c>
      <c r="R464" s="9">
        <f t="shared" ca="1" si="81"/>
        <v>0</v>
      </c>
    </row>
    <row r="465" spans="2:18" x14ac:dyDescent="0.25">
      <c r="B465" t="s">
        <v>1585</v>
      </c>
      <c r="C465" s="39" t="s">
        <v>1586</v>
      </c>
      <c r="D465" s="7" t="e">
        <f ca="1">_xll.xlqPrice(C465)</f>
        <v>#NAME?</v>
      </c>
      <c r="E465" s="9" t="e">
        <f t="shared" ca="1" si="72"/>
        <v>#NAME?</v>
      </c>
      <c r="F465" s="9">
        <f t="shared" ca="1" si="73"/>
        <v>1</v>
      </c>
      <c r="G465" s="8">
        <f t="shared" ca="1" si="74"/>
        <v>0</v>
      </c>
      <c r="H465" s="8">
        <f t="shared" ca="1" si="75"/>
        <v>0</v>
      </c>
      <c r="I465" s="8">
        <f t="shared" ca="1" si="76"/>
        <v>0</v>
      </c>
      <c r="J465" s="6" t="e">
        <f ca="1">_xll.xlqxhSMA($C465,$L$4,$J$7,$K$3)</f>
        <v>#NAME?</v>
      </c>
      <c r="K465" s="7" t="e">
        <f ca="1">_xll.xlqhClose($C465,K$8,$K$3)</f>
        <v>#NAME?</v>
      </c>
      <c r="L465" s="7" t="e">
        <f ca="1">_xll.xlqhClose($C465,L$8,$K$3)</f>
        <v>#NAME?</v>
      </c>
      <c r="N465" s="9">
        <f t="shared" ca="1" si="77"/>
        <v>1</v>
      </c>
      <c r="O465" s="9">
        <f t="shared" ca="1" si="78"/>
        <v>1</v>
      </c>
      <c r="P465" s="9">
        <f t="shared" ca="1" si="79"/>
        <v>1</v>
      </c>
      <c r="Q465" s="9">
        <f t="shared" ca="1" si="80"/>
        <v>1</v>
      </c>
      <c r="R465" s="9">
        <f t="shared" ca="1" si="81"/>
        <v>0</v>
      </c>
    </row>
    <row r="466" spans="2:18" x14ac:dyDescent="0.25">
      <c r="B466" t="s">
        <v>1879</v>
      </c>
      <c r="C466" s="39" t="s">
        <v>1880</v>
      </c>
      <c r="D466" s="7" t="e">
        <f ca="1">_xll.xlqPrice(C466)</f>
        <v>#NAME?</v>
      </c>
      <c r="E466" s="9" t="e">
        <f t="shared" ca="1" si="72"/>
        <v>#NAME?</v>
      </c>
      <c r="F466" s="9">
        <f t="shared" ca="1" si="73"/>
        <v>1</v>
      </c>
      <c r="G466" s="8">
        <f t="shared" ca="1" si="74"/>
        <v>0</v>
      </c>
      <c r="H466" s="8">
        <f t="shared" ca="1" si="75"/>
        <v>0</v>
      </c>
      <c r="I466" s="8">
        <f t="shared" ca="1" si="76"/>
        <v>0</v>
      </c>
      <c r="J466" s="6" t="e">
        <f ca="1">_xll.xlqxhSMA($C466,$L$4,$J$7,$K$3)</f>
        <v>#NAME?</v>
      </c>
      <c r="K466" s="7" t="e">
        <f ca="1">_xll.xlqhClose($C466,K$8,$K$3)</f>
        <v>#NAME?</v>
      </c>
      <c r="L466" s="7" t="e">
        <f ca="1">_xll.xlqhClose($C466,L$8,$K$3)</f>
        <v>#NAME?</v>
      </c>
      <c r="N466" s="9">
        <f t="shared" ca="1" si="77"/>
        <v>1</v>
      </c>
      <c r="O466" s="9">
        <f t="shared" ca="1" si="78"/>
        <v>1</v>
      </c>
      <c r="P466" s="9">
        <f t="shared" ca="1" si="79"/>
        <v>1</v>
      </c>
      <c r="Q466" s="9">
        <f t="shared" ca="1" si="80"/>
        <v>1</v>
      </c>
      <c r="R466" s="9">
        <f t="shared" ca="1" si="81"/>
        <v>0</v>
      </c>
    </row>
    <row r="467" spans="2:18" x14ac:dyDescent="0.25">
      <c r="B467" s="17" t="s">
        <v>448</v>
      </c>
      <c r="C467" s="18" t="s">
        <v>449</v>
      </c>
      <c r="D467" s="7" t="e">
        <f ca="1">_xll.xlqPrice(C467)</f>
        <v>#NAME?</v>
      </c>
      <c r="E467" s="9" t="e">
        <f t="shared" ca="1" si="72"/>
        <v>#NAME?</v>
      </c>
      <c r="F467" s="9">
        <f t="shared" ca="1" si="73"/>
        <v>1</v>
      </c>
      <c r="G467" s="8">
        <f t="shared" ca="1" si="74"/>
        <v>0</v>
      </c>
      <c r="H467" s="8">
        <f t="shared" ca="1" si="75"/>
        <v>0</v>
      </c>
      <c r="I467" s="8">
        <f t="shared" ca="1" si="76"/>
        <v>0</v>
      </c>
      <c r="J467" s="6" t="e">
        <f ca="1">_xll.xlqxhSMA($C467,$L$4,$J$7,$K$3)</f>
        <v>#NAME?</v>
      </c>
      <c r="K467" s="7" t="e">
        <f ca="1">_xll.xlqhClose($C467,K$8,$K$3)</f>
        <v>#NAME?</v>
      </c>
      <c r="L467" s="7" t="e">
        <f ca="1">_xll.xlqhClose($C467,L$8,$K$3)</f>
        <v>#NAME?</v>
      </c>
      <c r="N467" s="9">
        <f t="shared" ca="1" si="77"/>
        <v>1</v>
      </c>
      <c r="O467" s="9">
        <f t="shared" ca="1" si="78"/>
        <v>1</v>
      </c>
      <c r="P467" s="9">
        <f t="shared" ca="1" si="79"/>
        <v>1</v>
      </c>
      <c r="Q467" s="9">
        <f t="shared" ca="1" si="80"/>
        <v>1</v>
      </c>
      <c r="R467" s="9">
        <f t="shared" ca="1" si="81"/>
        <v>0</v>
      </c>
    </row>
    <row r="468" spans="2:18" x14ac:dyDescent="0.25">
      <c r="B468" s="17" t="s">
        <v>746</v>
      </c>
      <c r="C468" s="18" t="s">
        <v>747</v>
      </c>
      <c r="D468" s="7" t="e">
        <f ca="1">_xll.xlqPrice(C468)</f>
        <v>#NAME?</v>
      </c>
      <c r="E468" s="9" t="e">
        <f t="shared" ca="1" si="72"/>
        <v>#NAME?</v>
      </c>
      <c r="F468" s="9">
        <f t="shared" ca="1" si="73"/>
        <v>1</v>
      </c>
      <c r="G468" s="8">
        <f t="shared" ca="1" si="74"/>
        <v>0</v>
      </c>
      <c r="H468" s="8">
        <f t="shared" ca="1" si="75"/>
        <v>0</v>
      </c>
      <c r="I468" s="8">
        <f t="shared" ca="1" si="76"/>
        <v>0</v>
      </c>
      <c r="J468" s="6" t="e">
        <f ca="1">_xll.xlqxhSMA($C468,$L$4,$J$7,$K$3)</f>
        <v>#NAME?</v>
      </c>
      <c r="K468" s="7" t="e">
        <f ca="1">_xll.xlqhClose($C468,K$8,$K$3)</f>
        <v>#NAME?</v>
      </c>
      <c r="L468" s="7" t="e">
        <f ca="1">_xll.xlqhClose($C468,L$8,$K$3)</f>
        <v>#NAME?</v>
      </c>
      <c r="N468" s="9">
        <f t="shared" ca="1" si="77"/>
        <v>1</v>
      </c>
      <c r="O468" s="9">
        <f t="shared" ca="1" si="78"/>
        <v>1</v>
      </c>
      <c r="P468" s="9">
        <f t="shared" ca="1" si="79"/>
        <v>1</v>
      </c>
      <c r="Q468" s="9">
        <f t="shared" ca="1" si="80"/>
        <v>1</v>
      </c>
      <c r="R468" s="9">
        <f t="shared" ca="1" si="81"/>
        <v>0</v>
      </c>
    </row>
    <row r="469" spans="2:18" x14ac:dyDescent="0.25">
      <c r="B469" s="17" t="s">
        <v>514</v>
      </c>
      <c r="C469" s="18" t="s">
        <v>515</v>
      </c>
      <c r="D469" s="7" t="e">
        <f ca="1">_xll.xlqPrice(C469)</f>
        <v>#NAME?</v>
      </c>
      <c r="E469" s="9" t="e">
        <f t="shared" ca="1" si="72"/>
        <v>#NAME?</v>
      </c>
      <c r="F469" s="9">
        <f t="shared" ca="1" si="73"/>
        <v>1</v>
      </c>
      <c r="G469" s="8">
        <f t="shared" ca="1" si="74"/>
        <v>0</v>
      </c>
      <c r="H469" s="8">
        <f t="shared" ca="1" si="75"/>
        <v>0</v>
      </c>
      <c r="I469" s="8">
        <f t="shared" ca="1" si="76"/>
        <v>0</v>
      </c>
      <c r="J469" s="6" t="e">
        <f ca="1">_xll.xlqxhSMA($C469,$L$4,$J$7,$K$3)</f>
        <v>#NAME?</v>
      </c>
      <c r="K469" s="7" t="e">
        <f ca="1">_xll.xlqhClose($C469,K$8,$K$3)</f>
        <v>#NAME?</v>
      </c>
      <c r="L469" s="7" t="e">
        <f ca="1">_xll.xlqhClose($C469,L$8,$K$3)</f>
        <v>#NAME?</v>
      </c>
      <c r="N469" s="9">
        <f t="shared" ca="1" si="77"/>
        <v>1</v>
      </c>
      <c r="O469" s="9">
        <f t="shared" ca="1" si="78"/>
        <v>1</v>
      </c>
      <c r="P469" s="9">
        <f t="shared" ca="1" si="79"/>
        <v>1</v>
      </c>
      <c r="Q469" s="9">
        <f t="shared" ca="1" si="80"/>
        <v>1</v>
      </c>
      <c r="R469" s="9">
        <f t="shared" ca="1" si="81"/>
        <v>0</v>
      </c>
    </row>
    <row r="470" spans="2:18" x14ac:dyDescent="0.25">
      <c r="B470" s="17" t="s">
        <v>170</v>
      </c>
      <c r="C470" s="18" t="s">
        <v>171</v>
      </c>
      <c r="D470" s="7" t="e">
        <f ca="1">_xll.xlqPrice(C470)</f>
        <v>#NAME?</v>
      </c>
      <c r="E470" s="9" t="e">
        <f t="shared" ca="1" si="72"/>
        <v>#NAME?</v>
      </c>
      <c r="F470" s="9">
        <f t="shared" ca="1" si="73"/>
        <v>1</v>
      </c>
      <c r="G470" s="8">
        <f t="shared" ca="1" si="74"/>
        <v>0</v>
      </c>
      <c r="H470" s="8">
        <f t="shared" ca="1" si="75"/>
        <v>0</v>
      </c>
      <c r="I470" s="8">
        <f t="shared" ca="1" si="76"/>
        <v>0</v>
      </c>
      <c r="J470" s="6" t="e">
        <f ca="1">_xll.xlqxhSMA($C470,$L$4,$J$7,$K$3)</f>
        <v>#NAME?</v>
      </c>
      <c r="K470" s="7" t="e">
        <f ca="1">_xll.xlqhClose($C470,K$8,$K$3)</f>
        <v>#NAME?</v>
      </c>
      <c r="L470" s="7" t="e">
        <f ca="1">_xll.xlqhClose($C470,L$8,$K$3)</f>
        <v>#NAME?</v>
      </c>
      <c r="N470" s="9">
        <f t="shared" ca="1" si="77"/>
        <v>1</v>
      </c>
      <c r="O470" s="9">
        <f t="shared" ca="1" si="78"/>
        <v>1</v>
      </c>
      <c r="P470" s="9">
        <f t="shared" ca="1" si="79"/>
        <v>1</v>
      </c>
      <c r="Q470" s="9">
        <f t="shared" ca="1" si="80"/>
        <v>1</v>
      </c>
      <c r="R470" s="9">
        <f t="shared" ca="1" si="81"/>
        <v>0</v>
      </c>
    </row>
    <row r="471" spans="2:18" x14ac:dyDescent="0.25">
      <c r="B471" s="17" t="s">
        <v>526</v>
      </c>
      <c r="C471" s="18" t="s">
        <v>527</v>
      </c>
      <c r="D471" s="7" t="e">
        <f ca="1">_xll.xlqPrice(C471)</f>
        <v>#NAME?</v>
      </c>
      <c r="E471" s="9" t="e">
        <f t="shared" ca="1" si="72"/>
        <v>#NAME?</v>
      </c>
      <c r="F471" s="9">
        <f t="shared" ca="1" si="73"/>
        <v>1</v>
      </c>
      <c r="G471" s="8">
        <f t="shared" ca="1" si="74"/>
        <v>0</v>
      </c>
      <c r="H471" s="8">
        <f t="shared" ca="1" si="75"/>
        <v>0</v>
      </c>
      <c r="I471" s="8">
        <f t="shared" ca="1" si="76"/>
        <v>0</v>
      </c>
      <c r="J471" s="6" t="e">
        <f ca="1">_xll.xlqxhSMA($C471,$L$4,$J$7,$K$3)</f>
        <v>#NAME?</v>
      </c>
      <c r="K471" s="7" t="e">
        <f ca="1">_xll.xlqhClose($C471,K$8,$K$3)</f>
        <v>#NAME?</v>
      </c>
      <c r="L471" s="7" t="e">
        <f ca="1">_xll.xlqhClose($C471,L$8,$K$3)</f>
        <v>#NAME?</v>
      </c>
      <c r="N471" s="9">
        <f t="shared" ca="1" si="77"/>
        <v>1</v>
      </c>
      <c r="O471" s="9">
        <f t="shared" ca="1" si="78"/>
        <v>1</v>
      </c>
      <c r="P471" s="9">
        <f t="shared" ca="1" si="79"/>
        <v>1</v>
      </c>
      <c r="Q471" s="9">
        <f t="shared" ca="1" si="80"/>
        <v>1</v>
      </c>
      <c r="R471" s="9">
        <f t="shared" ca="1" si="81"/>
        <v>0</v>
      </c>
    </row>
    <row r="472" spans="2:18" x14ac:dyDescent="0.25">
      <c r="B472" s="17" t="s">
        <v>238</v>
      </c>
      <c r="C472" s="18" t="s">
        <v>239</v>
      </c>
      <c r="D472" s="7" t="e">
        <f ca="1">_xll.xlqPrice(C472)</f>
        <v>#NAME?</v>
      </c>
      <c r="E472" s="9" t="e">
        <f t="shared" ca="1" si="72"/>
        <v>#NAME?</v>
      </c>
      <c r="F472" s="9">
        <f t="shared" ca="1" si="73"/>
        <v>1</v>
      </c>
      <c r="G472" s="8">
        <f t="shared" ca="1" si="74"/>
        <v>0</v>
      </c>
      <c r="H472" s="8">
        <f t="shared" ca="1" si="75"/>
        <v>0</v>
      </c>
      <c r="I472" s="8">
        <f t="shared" ca="1" si="76"/>
        <v>0</v>
      </c>
      <c r="J472" s="6" t="e">
        <f ca="1">_xll.xlqxhSMA($C472,$L$4,$J$7,$K$3)</f>
        <v>#NAME?</v>
      </c>
      <c r="K472" s="7" t="e">
        <f ca="1">_xll.xlqhClose($C472,K$8,$K$3)</f>
        <v>#NAME?</v>
      </c>
      <c r="L472" s="7" t="e">
        <f ca="1">_xll.xlqhClose($C472,L$8,$K$3)</f>
        <v>#NAME?</v>
      </c>
      <c r="N472" s="9">
        <f t="shared" ca="1" si="77"/>
        <v>1</v>
      </c>
      <c r="O472" s="9">
        <f t="shared" ca="1" si="78"/>
        <v>1</v>
      </c>
      <c r="P472" s="9">
        <f t="shared" ca="1" si="79"/>
        <v>1</v>
      </c>
      <c r="Q472" s="9">
        <f t="shared" ca="1" si="80"/>
        <v>1</v>
      </c>
      <c r="R472" s="9">
        <f t="shared" ca="1" si="81"/>
        <v>0</v>
      </c>
    </row>
    <row r="473" spans="2:18" x14ac:dyDescent="0.25">
      <c r="B473" s="17" t="s">
        <v>1137</v>
      </c>
      <c r="C473" s="18" t="s">
        <v>1138</v>
      </c>
      <c r="D473" s="7" t="e">
        <f ca="1">_xll.xlqPrice(C473)</f>
        <v>#NAME?</v>
      </c>
      <c r="E473" s="9" t="e">
        <f t="shared" ca="1" si="72"/>
        <v>#NAME?</v>
      </c>
      <c r="F473" s="9">
        <f t="shared" ca="1" si="73"/>
        <v>1</v>
      </c>
      <c r="G473" s="8">
        <f t="shared" ca="1" si="74"/>
        <v>0</v>
      </c>
      <c r="H473" s="8">
        <f t="shared" ca="1" si="75"/>
        <v>0</v>
      </c>
      <c r="I473" s="8">
        <f t="shared" ca="1" si="76"/>
        <v>0</v>
      </c>
      <c r="J473" s="6" t="e">
        <f ca="1">_xll.xlqxhSMA($C473,$L$4,$J$7,$K$3)</f>
        <v>#NAME?</v>
      </c>
      <c r="K473" s="7" t="e">
        <f ca="1">_xll.xlqhClose($C473,K$8,$K$3)</f>
        <v>#NAME?</v>
      </c>
      <c r="L473" s="7" t="e">
        <f ca="1">_xll.xlqhClose($C473,L$8,$K$3)</f>
        <v>#NAME?</v>
      </c>
      <c r="N473" s="9">
        <f t="shared" ca="1" si="77"/>
        <v>1</v>
      </c>
      <c r="O473" s="9">
        <f t="shared" ca="1" si="78"/>
        <v>1</v>
      </c>
      <c r="P473" s="9">
        <f t="shared" ca="1" si="79"/>
        <v>1</v>
      </c>
      <c r="Q473" s="9">
        <f t="shared" ca="1" si="80"/>
        <v>1</v>
      </c>
      <c r="R473" s="9">
        <f t="shared" ca="1" si="81"/>
        <v>0</v>
      </c>
    </row>
    <row r="474" spans="2:18" x14ac:dyDescent="0.25">
      <c r="B474" s="17" t="s">
        <v>2163</v>
      </c>
      <c r="C474" s="18" t="s">
        <v>2164</v>
      </c>
      <c r="D474" s="7" t="e">
        <f ca="1">_xll.xlqPrice(C474)</f>
        <v>#NAME?</v>
      </c>
      <c r="E474" s="9" t="e">
        <f t="shared" ca="1" si="72"/>
        <v>#NAME?</v>
      </c>
      <c r="F474" s="9">
        <f t="shared" ca="1" si="73"/>
        <v>1</v>
      </c>
      <c r="G474" s="8">
        <f t="shared" ca="1" si="74"/>
        <v>0</v>
      </c>
      <c r="H474" s="8">
        <f t="shared" ca="1" si="75"/>
        <v>0</v>
      </c>
      <c r="I474" s="8">
        <f t="shared" ca="1" si="76"/>
        <v>0</v>
      </c>
      <c r="J474" s="6" t="e">
        <f ca="1">_xll.xlqxhSMA($C474,$L$4,$J$7,$K$3)</f>
        <v>#NAME?</v>
      </c>
      <c r="K474" s="7" t="e">
        <f ca="1">_xll.xlqhClose($C474,K$8,$K$3)</f>
        <v>#NAME?</v>
      </c>
      <c r="L474" s="7" t="e">
        <f ca="1">_xll.xlqhClose($C474,L$8,$K$3)</f>
        <v>#NAME?</v>
      </c>
      <c r="N474" s="9">
        <f t="shared" ca="1" si="77"/>
        <v>1</v>
      </c>
      <c r="O474" s="9">
        <f t="shared" ca="1" si="78"/>
        <v>1</v>
      </c>
      <c r="P474" s="9">
        <f t="shared" ca="1" si="79"/>
        <v>1</v>
      </c>
      <c r="Q474" s="9">
        <f t="shared" ca="1" si="80"/>
        <v>1</v>
      </c>
      <c r="R474" s="9">
        <f t="shared" ca="1" si="81"/>
        <v>0</v>
      </c>
    </row>
    <row r="475" spans="2:18" x14ac:dyDescent="0.25">
      <c r="B475" s="17" t="s">
        <v>1953</v>
      </c>
      <c r="C475" s="18" t="s">
        <v>1954</v>
      </c>
      <c r="D475" s="7" t="e">
        <f ca="1">_xll.xlqPrice(C475)</f>
        <v>#NAME?</v>
      </c>
      <c r="E475" s="9" t="e">
        <f t="shared" ca="1" si="72"/>
        <v>#NAME?</v>
      </c>
      <c r="F475" s="9">
        <f t="shared" ca="1" si="73"/>
        <v>1</v>
      </c>
      <c r="G475" s="8">
        <f t="shared" ca="1" si="74"/>
        <v>0</v>
      </c>
      <c r="H475" s="8">
        <f t="shared" ca="1" si="75"/>
        <v>0</v>
      </c>
      <c r="I475" s="8">
        <f t="shared" ca="1" si="76"/>
        <v>0</v>
      </c>
      <c r="J475" s="6" t="e">
        <f ca="1">_xll.xlqxhSMA($C475,$L$4,$J$7,$K$3)</f>
        <v>#NAME?</v>
      </c>
      <c r="K475" s="7" t="e">
        <f ca="1">_xll.xlqhClose($C475,K$8,$K$3)</f>
        <v>#NAME?</v>
      </c>
      <c r="L475" s="7" t="e">
        <f ca="1">_xll.xlqhClose($C475,L$8,$K$3)</f>
        <v>#NAME?</v>
      </c>
      <c r="N475" s="9">
        <f t="shared" ca="1" si="77"/>
        <v>1</v>
      </c>
      <c r="O475" s="9">
        <f t="shared" ca="1" si="78"/>
        <v>1</v>
      </c>
      <c r="P475" s="9">
        <f t="shared" ca="1" si="79"/>
        <v>1</v>
      </c>
      <c r="Q475" s="9">
        <f t="shared" ca="1" si="80"/>
        <v>1</v>
      </c>
      <c r="R475" s="9">
        <f t="shared" ca="1" si="81"/>
        <v>0</v>
      </c>
    </row>
    <row r="476" spans="2:18" x14ac:dyDescent="0.25">
      <c r="B476" t="s">
        <v>298</v>
      </c>
      <c r="C476" s="39" t="s">
        <v>299</v>
      </c>
      <c r="D476" s="7" t="e">
        <f ca="1">_xll.xlqPrice(C476)</f>
        <v>#NAME?</v>
      </c>
      <c r="E476" s="9" t="e">
        <f t="shared" ca="1" si="72"/>
        <v>#NAME?</v>
      </c>
      <c r="F476" s="9">
        <f t="shared" ca="1" si="73"/>
        <v>1</v>
      </c>
      <c r="G476" s="8">
        <f t="shared" ca="1" si="74"/>
        <v>0</v>
      </c>
      <c r="H476" s="8">
        <f t="shared" ca="1" si="75"/>
        <v>0</v>
      </c>
      <c r="I476" s="8">
        <f t="shared" ca="1" si="76"/>
        <v>0</v>
      </c>
      <c r="J476" s="6" t="e">
        <f ca="1">_xll.xlqxhSMA($C476,$L$4,$J$7,$K$3)</f>
        <v>#NAME?</v>
      </c>
      <c r="K476" s="7" t="e">
        <f ca="1">_xll.xlqhClose($C476,K$8,$K$3)</f>
        <v>#NAME?</v>
      </c>
      <c r="L476" s="7" t="e">
        <f ca="1">_xll.xlqhClose($C476,L$8,$K$3)</f>
        <v>#NAME?</v>
      </c>
      <c r="N476" s="9">
        <f t="shared" ca="1" si="77"/>
        <v>1</v>
      </c>
      <c r="O476" s="9">
        <f t="shared" ca="1" si="78"/>
        <v>1</v>
      </c>
      <c r="P476" s="9">
        <f t="shared" ca="1" si="79"/>
        <v>1</v>
      </c>
      <c r="Q476" s="9">
        <f t="shared" ca="1" si="80"/>
        <v>1</v>
      </c>
      <c r="R476" s="9">
        <f t="shared" ca="1" si="81"/>
        <v>0</v>
      </c>
    </row>
    <row r="477" spans="2:18" x14ac:dyDescent="0.25">
      <c r="B477" s="17" t="s">
        <v>1667</v>
      </c>
      <c r="C477" s="18" t="s">
        <v>1668</v>
      </c>
      <c r="D477" s="7" t="e">
        <f ca="1">_xll.xlqPrice(C477)</f>
        <v>#NAME?</v>
      </c>
      <c r="E477" s="9" t="e">
        <f t="shared" ca="1" si="72"/>
        <v>#NAME?</v>
      </c>
      <c r="F477" s="9">
        <f t="shared" ca="1" si="73"/>
        <v>1</v>
      </c>
      <c r="G477" s="8">
        <f t="shared" ca="1" si="74"/>
        <v>0</v>
      </c>
      <c r="H477" s="8">
        <f t="shared" ca="1" si="75"/>
        <v>0</v>
      </c>
      <c r="I477" s="8">
        <f t="shared" ca="1" si="76"/>
        <v>0</v>
      </c>
      <c r="J477" s="6" t="e">
        <f ca="1">_xll.xlqxhSMA($C477,$L$4,$J$7,$K$3)</f>
        <v>#NAME?</v>
      </c>
      <c r="K477" s="7" t="e">
        <f ca="1">_xll.xlqhClose($C477,K$8,$K$3)</f>
        <v>#NAME?</v>
      </c>
      <c r="L477" s="7" t="e">
        <f ca="1">_xll.xlqhClose($C477,L$8,$K$3)</f>
        <v>#NAME?</v>
      </c>
      <c r="N477" s="9">
        <f t="shared" ca="1" si="77"/>
        <v>1</v>
      </c>
      <c r="O477" s="9">
        <f t="shared" ca="1" si="78"/>
        <v>1</v>
      </c>
      <c r="P477" s="9">
        <f t="shared" ca="1" si="79"/>
        <v>1</v>
      </c>
      <c r="Q477" s="9">
        <f t="shared" ca="1" si="80"/>
        <v>1</v>
      </c>
      <c r="R477" s="9">
        <f t="shared" ca="1" si="81"/>
        <v>0</v>
      </c>
    </row>
    <row r="478" spans="2:18" x14ac:dyDescent="0.25">
      <c r="B478" s="17" t="s">
        <v>2103</v>
      </c>
      <c r="C478" s="18" t="s">
        <v>2104</v>
      </c>
      <c r="D478" s="7" t="e">
        <f ca="1">_xll.xlqPrice(C478)</f>
        <v>#NAME?</v>
      </c>
      <c r="E478" s="9" t="e">
        <f t="shared" ca="1" si="72"/>
        <v>#NAME?</v>
      </c>
      <c r="F478" s="9">
        <f t="shared" ca="1" si="73"/>
        <v>1</v>
      </c>
      <c r="G478" s="8">
        <f t="shared" ca="1" si="74"/>
        <v>0</v>
      </c>
      <c r="H478" s="8">
        <f t="shared" ca="1" si="75"/>
        <v>0</v>
      </c>
      <c r="I478" s="8">
        <f t="shared" ca="1" si="76"/>
        <v>0</v>
      </c>
      <c r="J478" s="6" t="e">
        <f ca="1">_xll.xlqxhSMA($C478,$L$4,$J$7,$K$3)</f>
        <v>#NAME?</v>
      </c>
      <c r="K478" s="7" t="e">
        <f ca="1">_xll.xlqhClose($C478,K$8,$K$3)</f>
        <v>#NAME?</v>
      </c>
      <c r="L478" s="7" t="e">
        <f ca="1">_xll.xlqhClose($C478,L$8,$K$3)</f>
        <v>#NAME?</v>
      </c>
      <c r="N478" s="9">
        <f t="shared" ca="1" si="77"/>
        <v>1</v>
      </c>
      <c r="O478" s="9">
        <f t="shared" ca="1" si="78"/>
        <v>1</v>
      </c>
      <c r="P478" s="9">
        <f t="shared" ca="1" si="79"/>
        <v>1</v>
      </c>
      <c r="Q478" s="9">
        <f t="shared" ca="1" si="80"/>
        <v>1</v>
      </c>
      <c r="R478" s="9">
        <f t="shared" ca="1" si="81"/>
        <v>0</v>
      </c>
    </row>
    <row r="479" spans="2:18" x14ac:dyDescent="0.25">
      <c r="B479" s="17" t="s">
        <v>1609</v>
      </c>
      <c r="C479" s="18" t="s">
        <v>1610</v>
      </c>
      <c r="D479" s="7" t="e">
        <f ca="1">_xll.xlqPrice(C479)</f>
        <v>#NAME?</v>
      </c>
      <c r="E479" s="9" t="e">
        <f t="shared" ca="1" si="72"/>
        <v>#NAME?</v>
      </c>
      <c r="F479" s="9">
        <f t="shared" ca="1" si="73"/>
        <v>1</v>
      </c>
      <c r="G479" s="8">
        <f t="shared" ca="1" si="74"/>
        <v>0</v>
      </c>
      <c r="H479" s="8">
        <f t="shared" ca="1" si="75"/>
        <v>0</v>
      </c>
      <c r="I479" s="8">
        <f t="shared" ca="1" si="76"/>
        <v>0</v>
      </c>
      <c r="J479" s="6" t="e">
        <f ca="1">_xll.xlqxhSMA($C479,$L$4,$J$7,$K$3)</f>
        <v>#NAME?</v>
      </c>
      <c r="K479" s="7" t="e">
        <f ca="1">_xll.xlqhClose($C479,K$8,$K$3)</f>
        <v>#NAME?</v>
      </c>
      <c r="L479" s="7" t="e">
        <f ca="1">_xll.xlqhClose($C479,L$8,$K$3)</f>
        <v>#NAME?</v>
      </c>
      <c r="N479" s="9">
        <f t="shared" ca="1" si="77"/>
        <v>1</v>
      </c>
      <c r="O479" s="9">
        <f t="shared" ca="1" si="78"/>
        <v>1</v>
      </c>
      <c r="P479" s="9">
        <f t="shared" ca="1" si="79"/>
        <v>1</v>
      </c>
      <c r="Q479" s="9">
        <f t="shared" ca="1" si="80"/>
        <v>1</v>
      </c>
      <c r="R479" s="9">
        <f t="shared" ca="1" si="81"/>
        <v>0</v>
      </c>
    </row>
    <row r="480" spans="2:18" x14ac:dyDescent="0.25">
      <c r="B480" t="s">
        <v>1791</v>
      </c>
      <c r="C480" s="39" t="s">
        <v>1792</v>
      </c>
      <c r="D480" s="7" t="e">
        <f ca="1">_xll.xlqPrice(C480)</f>
        <v>#NAME?</v>
      </c>
      <c r="E480" s="9" t="e">
        <f t="shared" ca="1" si="72"/>
        <v>#NAME?</v>
      </c>
      <c r="F480" s="9">
        <f t="shared" ca="1" si="73"/>
        <v>1</v>
      </c>
      <c r="G480" s="8">
        <f t="shared" ca="1" si="74"/>
        <v>0</v>
      </c>
      <c r="H480" s="8">
        <f t="shared" ca="1" si="75"/>
        <v>0</v>
      </c>
      <c r="I480" s="8">
        <f t="shared" ca="1" si="76"/>
        <v>0</v>
      </c>
      <c r="J480" s="6" t="e">
        <f ca="1">_xll.xlqxhSMA($C480,$L$4,$J$7,$K$3)</f>
        <v>#NAME?</v>
      </c>
      <c r="K480" s="7" t="e">
        <f ca="1">_xll.xlqhClose($C480,K$8,$K$3)</f>
        <v>#NAME?</v>
      </c>
      <c r="L480" s="7" t="e">
        <f ca="1">_xll.xlqhClose($C480,L$8,$K$3)</f>
        <v>#NAME?</v>
      </c>
      <c r="N480" s="9">
        <f t="shared" ca="1" si="77"/>
        <v>1</v>
      </c>
      <c r="O480" s="9">
        <f t="shared" ca="1" si="78"/>
        <v>1</v>
      </c>
      <c r="P480" s="9">
        <f t="shared" ca="1" si="79"/>
        <v>1</v>
      </c>
      <c r="Q480" s="9">
        <f t="shared" ca="1" si="80"/>
        <v>1</v>
      </c>
      <c r="R480" s="9">
        <f t="shared" ca="1" si="81"/>
        <v>0</v>
      </c>
    </row>
    <row r="481" spans="2:18" x14ac:dyDescent="0.25">
      <c r="B481" s="17" t="s">
        <v>2169</v>
      </c>
      <c r="C481" s="18" t="s">
        <v>2170</v>
      </c>
      <c r="D481" s="7" t="e">
        <f ca="1">_xll.xlqPrice(C481)</f>
        <v>#NAME?</v>
      </c>
      <c r="E481" s="9" t="e">
        <f t="shared" ca="1" si="72"/>
        <v>#NAME?</v>
      </c>
      <c r="F481" s="9">
        <f t="shared" ca="1" si="73"/>
        <v>1</v>
      </c>
      <c r="G481" s="8">
        <f t="shared" ca="1" si="74"/>
        <v>0</v>
      </c>
      <c r="H481" s="8">
        <f t="shared" ca="1" si="75"/>
        <v>0</v>
      </c>
      <c r="I481" s="8">
        <f t="shared" ca="1" si="76"/>
        <v>0</v>
      </c>
      <c r="J481" s="6" t="e">
        <f ca="1">_xll.xlqxhSMA($C481,$L$4,$J$7,$K$3)</f>
        <v>#NAME?</v>
      </c>
      <c r="K481" s="7" t="e">
        <f ca="1">_xll.xlqhClose($C481,K$8,$K$3)</f>
        <v>#NAME?</v>
      </c>
      <c r="L481" s="7" t="e">
        <f ca="1">_xll.xlqhClose($C481,L$8,$K$3)</f>
        <v>#NAME?</v>
      </c>
      <c r="N481" s="9">
        <f t="shared" ca="1" si="77"/>
        <v>1</v>
      </c>
      <c r="O481" s="9">
        <f t="shared" ca="1" si="78"/>
        <v>1</v>
      </c>
      <c r="P481" s="9">
        <f t="shared" ca="1" si="79"/>
        <v>1</v>
      </c>
      <c r="Q481" s="9">
        <f t="shared" ca="1" si="80"/>
        <v>1</v>
      </c>
      <c r="R481" s="9">
        <f t="shared" ca="1" si="81"/>
        <v>0</v>
      </c>
    </row>
    <row r="482" spans="2:18" x14ac:dyDescent="0.25">
      <c r="B482" s="17" t="s">
        <v>1721</v>
      </c>
      <c r="C482" s="18" t="s">
        <v>1722</v>
      </c>
      <c r="D482" s="7" t="e">
        <f ca="1">_xll.xlqPrice(C482)</f>
        <v>#NAME?</v>
      </c>
      <c r="E482" s="9" t="e">
        <f t="shared" ca="1" si="72"/>
        <v>#NAME?</v>
      </c>
      <c r="F482" s="9">
        <f t="shared" ca="1" si="73"/>
        <v>1</v>
      </c>
      <c r="G482" s="8">
        <f t="shared" ca="1" si="74"/>
        <v>0</v>
      </c>
      <c r="H482" s="8">
        <f t="shared" ca="1" si="75"/>
        <v>0</v>
      </c>
      <c r="I482" s="8">
        <f t="shared" ca="1" si="76"/>
        <v>0</v>
      </c>
      <c r="J482" s="6" t="e">
        <f ca="1">_xll.xlqxhSMA($C482,$L$4,$J$7,$K$3)</f>
        <v>#NAME?</v>
      </c>
      <c r="K482" s="7" t="e">
        <f ca="1">_xll.xlqhClose($C482,K$8,$K$3)</f>
        <v>#NAME?</v>
      </c>
      <c r="L482" s="7" t="e">
        <f ca="1">_xll.xlqhClose($C482,L$8,$K$3)</f>
        <v>#NAME?</v>
      </c>
      <c r="N482" s="9">
        <f t="shared" ca="1" si="77"/>
        <v>1</v>
      </c>
      <c r="O482" s="9">
        <f t="shared" ca="1" si="78"/>
        <v>1</v>
      </c>
      <c r="P482" s="9">
        <f t="shared" ca="1" si="79"/>
        <v>1</v>
      </c>
      <c r="Q482" s="9">
        <f t="shared" ca="1" si="80"/>
        <v>1</v>
      </c>
      <c r="R482" s="9">
        <f t="shared" ca="1" si="81"/>
        <v>0</v>
      </c>
    </row>
    <row r="483" spans="2:18" x14ac:dyDescent="0.25">
      <c r="B483" s="17" t="s">
        <v>642</v>
      </c>
      <c r="C483" s="18" t="s">
        <v>643</v>
      </c>
      <c r="D483" s="7" t="e">
        <f ca="1">_xll.xlqPrice(C483)</f>
        <v>#NAME?</v>
      </c>
      <c r="E483" s="9" t="e">
        <f t="shared" ca="1" si="72"/>
        <v>#NAME?</v>
      </c>
      <c r="F483" s="9">
        <f t="shared" ca="1" si="73"/>
        <v>1</v>
      </c>
      <c r="G483" s="8">
        <f t="shared" ca="1" si="74"/>
        <v>0</v>
      </c>
      <c r="H483" s="8">
        <f t="shared" ca="1" si="75"/>
        <v>0</v>
      </c>
      <c r="I483" s="8">
        <f t="shared" ca="1" si="76"/>
        <v>0</v>
      </c>
      <c r="J483" s="6" t="e">
        <f ca="1">_xll.xlqxhSMA($C483,$L$4,$J$7,$K$3)</f>
        <v>#NAME?</v>
      </c>
      <c r="K483" s="7" t="e">
        <f ca="1">_xll.xlqhClose($C483,K$8,$K$3)</f>
        <v>#NAME?</v>
      </c>
      <c r="L483" s="7" t="e">
        <f ca="1">_xll.xlqhClose($C483,L$8,$K$3)</f>
        <v>#NAME?</v>
      </c>
      <c r="N483" s="9">
        <f t="shared" ca="1" si="77"/>
        <v>1</v>
      </c>
      <c r="O483" s="9">
        <f t="shared" ca="1" si="78"/>
        <v>1</v>
      </c>
      <c r="P483" s="9">
        <f t="shared" ca="1" si="79"/>
        <v>1</v>
      </c>
      <c r="Q483" s="9">
        <f t="shared" ca="1" si="80"/>
        <v>1</v>
      </c>
      <c r="R483" s="9">
        <f t="shared" ca="1" si="81"/>
        <v>0</v>
      </c>
    </row>
    <row r="484" spans="2:18" x14ac:dyDescent="0.25">
      <c r="B484" s="17" t="s">
        <v>1521</v>
      </c>
      <c r="C484" s="18" t="s">
        <v>1522</v>
      </c>
      <c r="D484" s="7" t="e">
        <f ca="1">_xll.xlqPrice(C484)</f>
        <v>#NAME?</v>
      </c>
      <c r="E484" s="9" t="e">
        <f t="shared" ca="1" si="72"/>
        <v>#NAME?</v>
      </c>
      <c r="F484" s="9">
        <f t="shared" ca="1" si="73"/>
        <v>1</v>
      </c>
      <c r="G484" s="8">
        <f t="shared" ca="1" si="74"/>
        <v>0</v>
      </c>
      <c r="H484" s="8">
        <f t="shared" ca="1" si="75"/>
        <v>0</v>
      </c>
      <c r="I484" s="8">
        <f t="shared" ca="1" si="76"/>
        <v>0</v>
      </c>
      <c r="J484" s="6" t="e">
        <f ca="1">_xll.xlqxhSMA($C484,$L$4,$J$7,$K$3)</f>
        <v>#NAME?</v>
      </c>
      <c r="K484" s="7" t="e">
        <f ca="1">_xll.xlqhClose($C484,K$8,$K$3)</f>
        <v>#NAME?</v>
      </c>
      <c r="L484" s="7" t="e">
        <f ca="1">_xll.xlqhClose($C484,L$8,$K$3)</f>
        <v>#NAME?</v>
      </c>
      <c r="N484" s="9">
        <f t="shared" ca="1" si="77"/>
        <v>1</v>
      </c>
      <c r="O484" s="9">
        <f t="shared" ca="1" si="78"/>
        <v>1</v>
      </c>
      <c r="P484" s="9">
        <f t="shared" ca="1" si="79"/>
        <v>1</v>
      </c>
      <c r="Q484" s="9">
        <f t="shared" ca="1" si="80"/>
        <v>1</v>
      </c>
      <c r="R484" s="9">
        <f t="shared" ca="1" si="81"/>
        <v>0</v>
      </c>
    </row>
    <row r="485" spans="2:18" x14ac:dyDescent="0.25">
      <c r="B485" s="17" t="s">
        <v>2167</v>
      </c>
      <c r="C485" s="18" t="s">
        <v>2168</v>
      </c>
      <c r="D485" s="7" t="e">
        <f ca="1">_xll.xlqPrice(C485)</f>
        <v>#NAME?</v>
      </c>
      <c r="E485" s="9" t="e">
        <f t="shared" ca="1" si="72"/>
        <v>#NAME?</v>
      </c>
      <c r="F485" s="9">
        <f t="shared" ca="1" si="73"/>
        <v>1</v>
      </c>
      <c r="G485" s="8">
        <f t="shared" ca="1" si="74"/>
        <v>0</v>
      </c>
      <c r="H485" s="8">
        <f t="shared" ca="1" si="75"/>
        <v>0</v>
      </c>
      <c r="I485" s="8">
        <f t="shared" ca="1" si="76"/>
        <v>0</v>
      </c>
      <c r="J485" s="6" t="e">
        <f ca="1">_xll.xlqxhSMA($C485,$L$4,$J$7,$K$3)</f>
        <v>#NAME?</v>
      </c>
      <c r="K485" s="7" t="e">
        <f ca="1">_xll.xlqhClose($C485,K$8,$K$3)</f>
        <v>#NAME?</v>
      </c>
      <c r="L485" s="7" t="e">
        <f ca="1">_xll.xlqhClose($C485,L$8,$K$3)</f>
        <v>#NAME?</v>
      </c>
      <c r="N485" s="9">
        <f t="shared" ca="1" si="77"/>
        <v>1</v>
      </c>
      <c r="O485" s="9">
        <f t="shared" ca="1" si="78"/>
        <v>1</v>
      </c>
      <c r="P485" s="9">
        <f t="shared" ca="1" si="79"/>
        <v>1</v>
      </c>
      <c r="Q485" s="9">
        <f t="shared" ca="1" si="80"/>
        <v>1</v>
      </c>
      <c r="R485" s="9">
        <f t="shared" ca="1" si="81"/>
        <v>0</v>
      </c>
    </row>
    <row r="486" spans="2:18" x14ac:dyDescent="0.25">
      <c r="B486" s="17" t="s">
        <v>202</v>
      </c>
      <c r="C486" s="18" t="s">
        <v>203</v>
      </c>
      <c r="D486" s="7" t="e">
        <f ca="1">_xll.xlqPrice(C486)</f>
        <v>#NAME?</v>
      </c>
      <c r="E486" s="9" t="e">
        <f t="shared" ca="1" si="72"/>
        <v>#NAME?</v>
      </c>
      <c r="F486" s="9">
        <f t="shared" ca="1" si="73"/>
        <v>1</v>
      </c>
      <c r="G486" s="8">
        <f t="shared" ca="1" si="74"/>
        <v>0</v>
      </c>
      <c r="H486" s="8">
        <f t="shared" ca="1" si="75"/>
        <v>0</v>
      </c>
      <c r="I486" s="8">
        <f t="shared" ca="1" si="76"/>
        <v>0</v>
      </c>
      <c r="J486" s="6" t="e">
        <f ca="1">_xll.xlqxhSMA($C486,$L$4,$J$7,$K$3)</f>
        <v>#NAME?</v>
      </c>
      <c r="K486" s="7" t="e">
        <f ca="1">_xll.xlqhClose($C486,K$8,$K$3)</f>
        <v>#NAME?</v>
      </c>
      <c r="L486" s="7" t="e">
        <f ca="1">_xll.xlqhClose($C486,L$8,$K$3)</f>
        <v>#NAME?</v>
      </c>
      <c r="N486" s="9">
        <f t="shared" ca="1" si="77"/>
        <v>1</v>
      </c>
      <c r="O486" s="9">
        <f t="shared" ca="1" si="78"/>
        <v>1</v>
      </c>
      <c r="P486" s="9">
        <f t="shared" ca="1" si="79"/>
        <v>1</v>
      </c>
      <c r="Q486" s="9">
        <f t="shared" ca="1" si="80"/>
        <v>1</v>
      </c>
      <c r="R486" s="9">
        <f t="shared" ca="1" si="81"/>
        <v>0</v>
      </c>
    </row>
    <row r="487" spans="2:18" x14ac:dyDescent="0.25">
      <c r="B487" s="17" t="s">
        <v>1665</v>
      </c>
      <c r="C487" s="18" t="s">
        <v>1666</v>
      </c>
      <c r="D487" s="7" t="e">
        <f ca="1">_xll.xlqPrice(C487)</f>
        <v>#NAME?</v>
      </c>
      <c r="E487" s="9" t="e">
        <f t="shared" ca="1" si="72"/>
        <v>#NAME?</v>
      </c>
      <c r="F487" s="9">
        <f t="shared" ca="1" si="73"/>
        <v>1</v>
      </c>
      <c r="G487" s="8">
        <f t="shared" ca="1" si="74"/>
        <v>0</v>
      </c>
      <c r="H487" s="8">
        <f t="shared" ca="1" si="75"/>
        <v>0</v>
      </c>
      <c r="I487" s="8">
        <f t="shared" ca="1" si="76"/>
        <v>0</v>
      </c>
      <c r="J487" s="6" t="e">
        <f ca="1">_xll.xlqxhSMA($C487,$L$4,$J$7,$K$3)</f>
        <v>#NAME?</v>
      </c>
      <c r="K487" s="7" t="e">
        <f ca="1">_xll.xlqhClose($C487,K$8,$K$3)</f>
        <v>#NAME?</v>
      </c>
      <c r="L487" s="7" t="e">
        <f ca="1">_xll.xlqhClose($C487,L$8,$K$3)</f>
        <v>#NAME?</v>
      </c>
      <c r="N487" s="9">
        <f t="shared" ca="1" si="77"/>
        <v>1</v>
      </c>
      <c r="O487" s="9">
        <f t="shared" ca="1" si="78"/>
        <v>1</v>
      </c>
      <c r="P487" s="9">
        <f t="shared" ca="1" si="79"/>
        <v>1</v>
      </c>
      <c r="Q487" s="9">
        <f t="shared" ca="1" si="80"/>
        <v>1</v>
      </c>
      <c r="R487" s="9">
        <f t="shared" ca="1" si="81"/>
        <v>0</v>
      </c>
    </row>
    <row r="488" spans="2:18" x14ac:dyDescent="0.25">
      <c r="B488" t="s">
        <v>1201</v>
      </c>
      <c r="C488" s="39" t="s">
        <v>1202</v>
      </c>
      <c r="D488" s="7" t="e">
        <f ca="1">_xll.xlqPrice(C488)</f>
        <v>#NAME?</v>
      </c>
      <c r="E488" s="9" t="e">
        <f t="shared" ca="1" si="72"/>
        <v>#NAME?</v>
      </c>
      <c r="F488" s="9">
        <f t="shared" ca="1" si="73"/>
        <v>1</v>
      </c>
      <c r="G488" s="8">
        <f t="shared" ca="1" si="74"/>
        <v>0</v>
      </c>
      <c r="H488" s="8">
        <f t="shared" ca="1" si="75"/>
        <v>0</v>
      </c>
      <c r="I488" s="8">
        <f t="shared" ca="1" si="76"/>
        <v>0</v>
      </c>
      <c r="J488" s="6" t="e">
        <f ca="1">_xll.xlqxhSMA($C488,$L$4,$J$7,$K$3)</f>
        <v>#NAME?</v>
      </c>
      <c r="K488" s="7" t="e">
        <f ca="1">_xll.xlqhClose($C488,K$8,$K$3)</f>
        <v>#NAME?</v>
      </c>
      <c r="L488" s="7" t="e">
        <f ca="1">_xll.xlqhClose($C488,L$8,$K$3)</f>
        <v>#NAME?</v>
      </c>
      <c r="N488" s="9">
        <f t="shared" ca="1" si="77"/>
        <v>1</v>
      </c>
      <c r="O488" s="9">
        <f t="shared" ca="1" si="78"/>
        <v>1</v>
      </c>
      <c r="P488" s="9">
        <f t="shared" ca="1" si="79"/>
        <v>1</v>
      </c>
      <c r="Q488" s="9">
        <f t="shared" ca="1" si="80"/>
        <v>1</v>
      </c>
      <c r="R488" s="9">
        <f t="shared" ca="1" si="81"/>
        <v>0</v>
      </c>
    </row>
    <row r="489" spans="2:18" x14ac:dyDescent="0.25">
      <c r="B489" t="s">
        <v>1145</v>
      </c>
      <c r="C489" s="39" t="s">
        <v>1146</v>
      </c>
      <c r="D489" s="7" t="e">
        <f ca="1">_xll.xlqPrice(C489)</f>
        <v>#NAME?</v>
      </c>
      <c r="E489" s="9" t="e">
        <f t="shared" ca="1" si="72"/>
        <v>#NAME?</v>
      </c>
      <c r="F489" s="9">
        <f t="shared" ca="1" si="73"/>
        <v>1</v>
      </c>
      <c r="G489" s="8">
        <f t="shared" ca="1" si="74"/>
        <v>0</v>
      </c>
      <c r="H489" s="8">
        <f t="shared" ca="1" si="75"/>
        <v>0</v>
      </c>
      <c r="I489" s="8">
        <f t="shared" ca="1" si="76"/>
        <v>0</v>
      </c>
      <c r="J489" s="6" t="e">
        <f ca="1">_xll.xlqxhSMA($C489,$L$4,$J$7,$K$3)</f>
        <v>#NAME?</v>
      </c>
      <c r="K489" s="7" t="e">
        <f ca="1">_xll.xlqhClose($C489,K$8,$K$3)</f>
        <v>#NAME?</v>
      </c>
      <c r="L489" s="7" t="e">
        <f ca="1">_xll.xlqhClose($C489,L$8,$K$3)</f>
        <v>#NAME?</v>
      </c>
      <c r="N489" s="9">
        <f t="shared" ca="1" si="77"/>
        <v>1</v>
      </c>
      <c r="O489" s="9">
        <f t="shared" ca="1" si="78"/>
        <v>1</v>
      </c>
      <c r="P489" s="9">
        <f t="shared" ca="1" si="79"/>
        <v>1</v>
      </c>
      <c r="Q489" s="9">
        <f t="shared" ca="1" si="80"/>
        <v>1</v>
      </c>
      <c r="R489" s="9">
        <f t="shared" ca="1" si="81"/>
        <v>0</v>
      </c>
    </row>
    <row r="490" spans="2:18" x14ac:dyDescent="0.25">
      <c r="B490" s="17" t="s">
        <v>598</v>
      </c>
      <c r="C490" s="18" t="s">
        <v>599</v>
      </c>
      <c r="D490" s="7" t="e">
        <f ca="1">_xll.xlqPrice(C490)</f>
        <v>#NAME?</v>
      </c>
      <c r="E490" s="9" t="e">
        <f t="shared" ca="1" si="72"/>
        <v>#NAME?</v>
      </c>
      <c r="F490" s="9">
        <f t="shared" ca="1" si="73"/>
        <v>1</v>
      </c>
      <c r="G490" s="8">
        <f t="shared" ca="1" si="74"/>
        <v>0</v>
      </c>
      <c r="H490" s="8">
        <f t="shared" ca="1" si="75"/>
        <v>0</v>
      </c>
      <c r="I490" s="8">
        <f t="shared" ca="1" si="76"/>
        <v>0</v>
      </c>
      <c r="J490" s="6" t="e">
        <f ca="1">_xll.xlqxhSMA($C490,$L$4,$J$7,$K$3)</f>
        <v>#NAME?</v>
      </c>
      <c r="K490" s="7" t="e">
        <f ca="1">_xll.xlqhClose($C490,K$8,$K$3)</f>
        <v>#NAME?</v>
      </c>
      <c r="L490" s="7" t="e">
        <f ca="1">_xll.xlqhClose($C490,L$8,$K$3)</f>
        <v>#NAME?</v>
      </c>
      <c r="N490" s="9">
        <f t="shared" ca="1" si="77"/>
        <v>1</v>
      </c>
      <c r="O490" s="9">
        <f t="shared" ca="1" si="78"/>
        <v>1</v>
      </c>
      <c r="P490" s="9">
        <f t="shared" ca="1" si="79"/>
        <v>1</v>
      </c>
      <c r="Q490" s="9">
        <f t="shared" ca="1" si="80"/>
        <v>1</v>
      </c>
      <c r="R490" s="9">
        <f t="shared" ca="1" si="81"/>
        <v>0</v>
      </c>
    </row>
    <row r="491" spans="2:18" x14ac:dyDescent="0.25">
      <c r="B491" s="17" t="s">
        <v>462</v>
      </c>
      <c r="C491" s="18" t="s">
        <v>463</v>
      </c>
      <c r="D491" s="7" t="e">
        <f ca="1">_xll.xlqPrice(C491)</f>
        <v>#NAME?</v>
      </c>
      <c r="E491" s="9" t="e">
        <f t="shared" ca="1" si="72"/>
        <v>#NAME?</v>
      </c>
      <c r="F491" s="9">
        <f t="shared" ca="1" si="73"/>
        <v>1</v>
      </c>
      <c r="G491" s="8">
        <f t="shared" ca="1" si="74"/>
        <v>0</v>
      </c>
      <c r="H491" s="8">
        <f t="shared" ca="1" si="75"/>
        <v>0</v>
      </c>
      <c r="I491" s="8">
        <f t="shared" ca="1" si="76"/>
        <v>0</v>
      </c>
      <c r="J491" s="6" t="e">
        <f ca="1">_xll.xlqxhSMA($C491,$L$4,$J$7,$K$3)</f>
        <v>#NAME?</v>
      </c>
      <c r="K491" s="7" t="e">
        <f ca="1">_xll.xlqhClose($C491,K$8,$K$3)</f>
        <v>#NAME?</v>
      </c>
      <c r="L491" s="7" t="e">
        <f ca="1">_xll.xlqhClose($C491,L$8,$K$3)</f>
        <v>#NAME?</v>
      </c>
      <c r="N491" s="9">
        <f t="shared" ca="1" si="77"/>
        <v>1</v>
      </c>
      <c r="O491" s="9">
        <f t="shared" ca="1" si="78"/>
        <v>1</v>
      </c>
      <c r="P491" s="9">
        <f t="shared" ca="1" si="79"/>
        <v>1</v>
      </c>
      <c r="Q491" s="9">
        <f t="shared" ca="1" si="80"/>
        <v>1</v>
      </c>
      <c r="R491" s="9">
        <f t="shared" ca="1" si="81"/>
        <v>0</v>
      </c>
    </row>
    <row r="492" spans="2:18" x14ac:dyDescent="0.25">
      <c r="B492" t="s">
        <v>1365</v>
      </c>
      <c r="C492" s="39" t="s">
        <v>1366</v>
      </c>
      <c r="D492" s="7" t="e">
        <f ca="1">_xll.xlqPrice(C492)</f>
        <v>#NAME?</v>
      </c>
      <c r="E492" s="9" t="e">
        <f t="shared" ca="1" si="72"/>
        <v>#NAME?</v>
      </c>
      <c r="F492" s="9">
        <f t="shared" ca="1" si="73"/>
        <v>1</v>
      </c>
      <c r="G492" s="8">
        <f t="shared" ca="1" si="74"/>
        <v>0</v>
      </c>
      <c r="H492" s="8">
        <f t="shared" ca="1" si="75"/>
        <v>0</v>
      </c>
      <c r="I492" s="8">
        <f t="shared" ca="1" si="76"/>
        <v>0</v>
      </c>
      <c r="J492" s="6" t="e">
        <f ca="1">_xll.xlqxhSMA($C492,$L$4,$J$7,$K$3)</f>
        <v>#NAME?</v>
      </c>
      <c r="K492" s="7" t="e">
        <f ca="1">_xll.xlqhClose($C492,K$8,$K$3)</f>
        <v>#NAME?</v>
      </c>
      <c r="L492" s="7" t="e">
        <f ca="1">_xll.xlqhClose($C492,L$8,$K$3)</f>
        <v>#NAME?</v>
      </c>
      <c r="N492" s="9">
        <f t="shared" ca="1" si="77"/>
        <v>1</v>
      </c>
      <c r="O492" s="9">
        <f t="shared" ca="1" si="78"/>
        <v>1</v>
      </c>
      <c r="P492" s="9">
        <f t="shared" ca="1" si="79"/>
        <v>1</v>
      </c>
      <c r="Q492" s="9">
        <f t="shared" ca="1" si="80"/>
        <v>1</v>
      </c>
      <c r="R492" s="9">
        <f t="shared" ca="1" si="81"/>
        <v>0</v>
      </c>
    </row>
    <row r="493" spans="2:18" x14ac:dyDescent="0.25">
      <c r="B493" t="s">
        <v>252</v>
      </c>
      <c r="C493" s="39" t="s">
        <v>253</v>
      </c>
      <c r="D493" s="7" t="e">
        <f ca="1">_xll.xlqPrice(C493)</f>
        <v>#NAME?</v>
      </c>
      <c r="E493" s="9" t="e">
        <f t="shared" ca="1" si="72"/>
        <v>#NAME?</v>
      </c>
      <c r="F493" s="9">
        <f t="shared" ca="1" si="73"/>
        <v>1</v>
      </c>
      <c r="G493" s="8">
        <f t="shared" ca="1" si="74"/>
        <v>0</v>
      </c>
      <c r="H493" s="8">
        <f t="shared" ca="1" si="75"/>
        <v>0</v>
      </c>
      <c r="I493" s="8">
        <f t="shared" ca="1" si="76"/>
        <v>0</v>
      </c>
      <c r="J493" s="6" t="e">
        <f ca="1">_xll.xlqxhSMA($C493,$L$4,$J$7,$K$3)</f>
        <v>#NAME?</v>
      </c>
      <c r="K493" s="7" t="e">
        <f ca="1">_xll.xlqhClose($C493,K$8,$K$3)</f>
        <v>#NAME?</v>
      </c>
      <c r="L493" s="7" t="e">
        <f ca="1">_xll.xlqhClose($C493,L$8,$K$3)</f>
        <v>#NAME?</v>
      </c>
      <c r="N493" s="9">
        <f t="shared" ca="1" si="77"/>
        <v>1</v>
      </c>
      <c r="O493" s="9">
        <f t="shared" ca="1" si="78"/>
        <v>1</v>
      </c>
      <c r="P493" s="9">
        <f t="shared" ca="1" si="79"/>
        <v>1</v>
      </c>
      <c r="Q493" s="9">
        <f t="shared" ca="1" si="80"/>
        <v>1</v>
      </c>
      <c r="R493" s="9">
        <f t="shared" ca="1" si="81"/>
        <v>0</v>
      </c>
    </row>
    <row r="494" spans="2:18" x14ac:dyDescent="0.25">
      <c r="B494" s="17" t="s">
        <v>836</v>
      </c>
      <c r="C494" s="18" t="s">
        <v>837</v>
      </c>
      <c r="D494" s="7" t="e">
        <f ca="1">_xll.xlqPrice(C494)</f>
        <v>#NAME?</v>
      </c>
      <c r="E494" s="9" t="e">
        <f t="shared" ca="1" si="72"/>
        <v>#NAME?</v>
      </c>
      <c r="F494" s="9">
        <f t="shared" ca="1" si="73"/>
        <v>1</v>
      </c>
      <c r="G494" s="8">
        <f t="shared" ca="1" si="74"/>
        <v>0</v>
      </c>
      <c r="H494" s="8">
        <f t="shared" ca="1" si="75"/>
        <v>0</v>
      </c>
      <c r="I494" s="8">
        <f t="shared" ca="1" si="76"/>
        <v>0</v>
      </c>
      <c r="J494" s="6" t="e">
        <f ca="1">_xll.xlqxhSMA($C494,$L$4,$J$7,$K$3)</f>
        <v>#NAME?</v>
      </c>
      <c r="K494" s="7" t="e">
        <f ca="1">_xll.xlqhClose($C494,K$8,$K$3)</f>
        <v>#NAME?</v>
      </c>
      <c r="L494" s="7" t="e">
        <f ca="1">_xll.xlqhClose($C494,L$8,$K$3)</f>
        <v>#NAME?</v>
      </c>
      <c r="N494" s="9">
        <f t="shared" ca="1" si="77"/>
        <v>1</v>
      </c>
      <c r="O494" s="9">
        <f t="shared" ca="1" si="78"/>
        <v>1</v>
      </c>
      <c r="P494" s="9">
        <f t="shared" ca="1" si="79"/>
        <v>1</v>
      </c>
      <c r="Q494" s="9">
        <f t="shared" ca="1" si="80"/>
        <v>1</v>
      </c>
      <c r="R494" s="9">
        <f t="shared" ca="1" si="81"/>
        <v>0</v>
      </c>
    </row>
    <row r="495" spans="2:18" x14ac:dyDescent="0.25">
      <c r="B495" s="17" t="s">
        <v>392</v>
      </c>
      <c r="C495" s="18" t="s">
        <v>393</v>
      </c>
      <c r="D495" s="7" t="e">
        <f ca="1">_xll.xlqPrice(C495)</f>
        <v>#NAME?</v>
      </c>
      <c r="E495" s="9" t="e">
        <f t="shared" ca="1" si="72"/>
        <v>#NAME?</v>
      </c>
      <c r="F495" s="9">
        <f t="shared" ca="1" si="73"/>
        <v>1</v>
      </c>
      <c r="G495" s="8">
        <f t="shared" ca="1" si="74"/>
        <v>0</v>
      </c>
      <c r="H495" s="8">
        <f t="shared" ca="1" si="75"/>
        <v>0</v>
      </c>
      <c r="I495" s="8">
        <f t="shared" ca="1" si="76"/>
        <v>0</v>
      </c>
      <c r="J495" s="6" t="e">
        <f ca="1">_xll.xlqxhSMA($C495,$L$4,$J$7,$K$3)</f>
        <v>#NAME?</v>
      </c>
      <c r="K495" s="7" t="e">
        <f ca="1">_xll.xlqhClose($C495,K$8,$K$3)</f>
        <v>#NAME?</v>
      </c>
      <c r="L495" s="7" t="e">
        <f ca="1">_xll.xlqhClose($C495,L$8,$K$3)</f>
        <v>#NAME?</v>
      </c>
      <c r="N495" s="9">
        <f t="shared" ca="1" si="77"/>
        <v>1</v>
      </c>
      <c r="O495" s="9">
        <f t="shared" ca="1" si="78"/>
        <v>1</v>
      </c>
      <c r="P495" s="9">
        <f t="shared" ca="1" si="79"/>
        <v>1</v>
      </c>
      <c r="Q495" s="9">
        <f t="shared" ca="1" si="80"/>
        <v>1</v>
      </c>
      <c r="R495" s="9">
        <f t="shared" ca="1" si="81"/>
        <v>0</v>
      </c>
    </row>
    <row r="496" spans="2:18" x14ac:dyDescent="0.25">
      <c r="B496" t="s">
        <v>1267</v>
      </c>
      <c r="C496" s="39" t="s">
        <v>1268</v>
      </c>
      <c r="D496" s="7" t="e">
        <f ca="1">_xll.xlqPrice(C496)</f>
        <v>#NAME?</v>
      </c>
      <c r="E496" s="9" t="e">
        <f t="shared" ca="1" si="72"/>
        <v>#NAME?</v>
      </c>
      <c r="F496" s="9">
        <f t="shared" ca="1" si="73"/>
        <v>1</v>
      </c>
      <c r="G496" s="8">
        <f t="shared" ca="1" si="74"/>
        <v>0</v>
      </c>
      <c r="H496" s="8">
        <f t="shared" ca="1" si="75"/>
        <v>0</v>
      </c>
      <c r="I496" s="8">
        <f t="shared" ca="1" si="76"/>
        <v>0</v>
      </c>
      <c r="J496" s="6" t="e">
        <f ca="1">_xll.xlqxhSMA($C496,$L$4,$J$7,$K$3)</f>
        <v>#NAME?</v>
      </c>
      <c r="K496" s="7" t="e">
        <f ca="1">_xll.xlqhClose($C496,K$8,$K$3)</f>
        <v>#NAME?</v>
      </c>
      <c r="L496" s="7" t="e">
        <f ca="1">_xll.xlqhClose($C496,L$8,$K$3)</f>
        <v>#NAME?</v>
      </c>
      <c r="N496" s="9">
        <f t="shared" ca="1" si="77"/>
        <v>1</v>
      </c>
      <c r="O496" s="9">
        <f t="shared" ca="1" si="78"/>
        <v>1</v>
      </c>
      <c r="P496" s="9">
        <f t="shared" ca="1" si="79"/>
        <v>1</v>
      </c>
      <c r="Q496" s="9">
        <f t="shared" ca="1" si="80"/>
        <v>1</v>
      </c>
      <c r="R496" s="9">
        <f t="shared" ca="1" si="81"/>
        <v>0</v>
      </c>
    </row>
    <row r="497" spans="2:18" x14ac:dyDescent="0.25">
      <c r="B497" t="s">
        <v>2061</v>
      </c>
      <c r="C497" s="39" t="s">
        <v>2062</v>
      </c>
      <c r="D497" s="7" t="e">
        <f ca="1">_xll.xlqPrice(C497)</f>
        <v>#NAME?</v>
      </c>
      <c r="E497" s="9" t="e">
        <f t="shared" ca="1" si="72"/>
        <v>#NAME?</v>
      </c>
      <c r="F497" s="9">
        <f t="shared" ca="1" si="73"/>
        <v>1</v>
      </c>
      <c r="G497" s="8">
        <f t="shared" ca="1" si="74"/>
        <v>0</v>
      </c>
      <c r="H497" s="8">
        <f t="shared" ca="1" si="75"/>
        <v>0</v>
      </c>
      <c r="I497" s="8">
        <f t="shared" ca="1" si="76"/>
        <v>0</v>
      </c>
      <c r="J497" s="6" t="e">
        <f ca="1">_xll.xlqxhSMA($C497,$L$4,$J$7,$K$3)</f>
        <v>#NAME?</v>
      </c>
      <c r="K497" s="7" t="e">
        <f ca="1">_xll.xlqhClose($C497,K$8,$K$3)</f>
        <v>#NAME?</v>
      </c>
      <c r="L497" s="7" t="e">
        <f ca="1">_xll.xlqhClose($C497,L$8,$K$3)</f>
        <v>#NAME?</v>
      </c>
      <c r="N497" s="9">
        <f t="shared" ca="1" si="77"/>
        <v>1</v>
      </c>
      <c r="O497" s="9">
        <f t="shared" ca="1" si="78"/>
        <v>1</v>
      </c>
      <c r="P497" s="9">
        <f t="shared" ca="1" si="79"/>
        <v>1</v>
      </c>
      <c r="Q497" s="9">
        <f t="shared" ca="1" si="80"/>
        <v>1</v>
      </c>
      <c r="R497" s="9">
        <f t="shared" ca="1" si="81"/>
        <v>0</v>
      </c>
    </row>
    <row r="498" spans="2:18" x14ac:dyDescent="0.25">
      <c r="B498" s="17" t="s">
        <v>256</v>
      </c>
      <c r="C498" s="18" t="s">
        <v>257</v>
      </c>
      <c r="D498" s="7" t="e">
        <f ca="1">_xll.xlqPrice(C498)</f>
        <v>#NAME?</v>
      </c>
      <c r="E498" s="9" t="e">
        <f t="shared" ca="1" si="72"/>
        <v>#NAME?</v>
      </c>
      <c r="F498" s="9">
        <f t="shared" ca="1" si="73"/>
        <v>1</v>
      </c>
      <c r="G498" s="8">
        <f t="shared" ca="1" si="74"/>
        <v>0</v>
      </c>
      <c r="H498" s="8">
        <f t="shared" ca="1" si="75"/>
        <v>0</v>
      </c>
      <c r="I498" s="8">
        <f t="shared" ca="1" si="76"/>
        <v>0</v>
      </c>
      <c r="J498" s="6" t="e">
        <f ca="1">_xll.xlqxhSMA($C498,$L$4,$J$7,$K$3)</f>
        <v>#NAME?</v>
      </c>
      <c r="K498" s="7" t="e">
        <f ca="1">_xll.xlqhClose($C498,K$8,$K$3)</f>
        <v>#NAME?</v>
      </c>
      <c r="L498" s="7" t="e">
        <f ca="1">_xll.xlqhClose($C498,L$8,$K$3)</f>
        <v>#NAME?</v>
      </c>
      <c r="N498" s="9">
        <f t="shared" ca="1" si="77"/>
        <v>1</v>
      </c>
      <c r="O498" s="9">
        <f t="shared" ca="1" si="78"/>
        <v>1</v>
      </c>
      <c r="P498" s="9">
        <f t="shared" ca="1" si="79"/>
        <v>1</v>
      </c>
      <c r="Q498" s="9">
        <f t="shared" ca="1" si="80"/>
        <v>1</v>
      </c>
      <c r="R498" s="9">
        <f t="shared" ca="1" si="81"/>
        <v>0</v>
      </c>
    </row>
    <row r="499" spans="2:18" x14ac:dyDescent="0.25">
      <c r="B499" s="17" t="s">
        <v>1699</v>
      </c>
      <c r="C499" s="18" t="s">
        <v>1700</v>
      </c>
      <c r="D499" s="7" t="e">
        <f ca="1">_xll.xlqPrice(C499)</f>
        <v>#NAME?</v>
      </c>
      <c r="E499" s="9" t="e">
        <f t="shared" ca="1" si="72"/>
        <v>#NAME?</v>
      </c>
      <c r="F499" s="9">
        <f t="shared" ca="1" si="73"/>
        <v>1</v>
      </c>
      <c r="G499" s="8">
        <f t="shared" ca="1" si="74"/>
        <v>0</v>
      </c>
      <c r="H499" s="8">
        <f t="shared" ca="1" si="75"/>
        <v>0</v>
      </c>
      <c r="I499" s="8">
        <f t="shared" ca="1" si="76"/>
        <v>0</v>
      </c>
      <c r="J499" s="6" t="e">
        <f ca="1">_xll.xlqxhSMA($C499,$L$4,$J$7,$K$3)</f>
        <v>#NAME?</v>
      </c>
      <c r="K499" s="7" t="e">
        <f ca="1">_xll.xlqhClose($C499,K$8,$K$3)</f>
        <v>#NAME?</v>
      </c>
      <c r="L499" s="7" t="e">
        <f ca="1">_xll.xlqhClose($C499,L$8,$K$3)</f>
        <v>#NAME?</v>
      </c>
      <c r="N499" s="9">
        <f t="shared" ca="1" si="77"/>
        <v>1</v>
      </c>
      <c r="O499" s="9">
        <f t="shared" ca="1" si="78"/>
        <v>1</v>
      </c>
      <c r="P499" s="9">
        <f t="shared" ca="1" si="79"/>
        <v>1</v>
      </c>
      <c r="Q499" s="9">
        <f t="shared" ca="1" si="80"/>
        <v>1</v>
      </c>
      <c r="R499" s="9">
        <f t="shared" ca="1" si="81"/>
        <v>0</v>
      </c>
    </row>
    <row r="500" spans="2:18" x14ac:dyDescent="0.25">
      <c r="B500" s="17" t="s">
        <v>322</v>
      </c>
      <c r="C500" s="18" t="s">
        <v>323</v>
      </c>
      <c r="D500" s="7" t="e">
        <f ca="1">_xll.xlqPrice(C500)</f>
        <v>#NAME?</v>
      </c>
      <c r="E500" s="9" t="e">
        <f t="shared" ca="1" si="72"/>
        <v>#NAME?</v>
      </c>
      <c r="F500" s="9">
        <f t="shared" ca="1" si="73"/>
        <v>1</v>
      </c>
      <c r="G500" s="8">
        <f t="shared" ca="1" si="74"/>
        <v>0</v>
      </c>
      <c r="H500" s="8">
        <f t="shared" ca="1" si="75"/>
        <v>0</v>
      </c>
      <c r="I500" s="8">
        <f t="shared" ca="1" si="76"/>
        <v>0</v>
      </c>
      <c r="J500" s="6" t="e">
        <f ca="1">_xll.xlqxhSMA($C500,$L$4,$J$7,$K$3)</f>
        <v>#NAME?</v>
      </c>
      <c r="K500" s="7" t="e">
        <f ca="1">_xll.xlqhClose($C500,K$8,$K$3)</f>
        <v>#NAME?</v>
      </c>
      <c r="L500" s="7" t="e">
        <f ca="1">_xll.xlqhClose($C500,L$8,$K$3)</f>
        <v>#NAME?</v>
      </c>
      <c r="N500" s="9">
        <f t="shared" ca="1" si="77"/>
        <v>1</v>
      </c>
      <c r="O500" s="9">
        <f t="shared" ca="1" si="78"/>
        <v>1</v>
      </c>
      <c r="P500" s="9">
        <f t="shared" ca="1" si="79"/>
        <v>1</v>
      </c>
      <c r="Q500" s="9">
        <f t="shared" ca="1" si="80"/>
        <v>1</v>
      </c>
      <c r="R500" s="9">
        <f t="shared" ca="1" si="81"/>
        <v>0</v>
      </c>
    </row>
    <row r="501" spans="2:18" x14ac:dyDescent="0.25">
      <c r="B501" s="17" t="s">
        <v>1707</v>
      </c>
      <c r="C501" s="18" t="s">
        <v>1708</v>
      </c>
      <c r="D501" s="7" t="e">
        <f ca="1">_xll.xlqPrice(C501)</f>
        <v>#NAME?</v>
      </c>
      <c r="E501" s="9" t="e">
        <f t="shared" ca="1" si="72"/>
        <v>#NAME?</v>
      </c>
      <c r="F501" s="9">
        <f t="shared" ca="1" si="73"/>
        <v>1</v>
      </c>
      <c r="G501" s="8">
        <f t="shared" ca="1" si="74"/>
        <v>0</v>
      </c>
      <c r="H501" s="8">
        <f t="shared" ca="1" si="75"/>
        <v>0</v>
      </c>
      <c r="I501" s="8">
        <f t="shared" ca="1" si="76"/>
        <v>0</v>
      </c>
      <c r="J501" s="6" t="e">
        <f ca="1">_xll.xlqxhSMA($C501,$L$4,$J$7,$K$3)</f>
        <v>#NAME?</v>
      </c>
      <c r="K501" s="7" t="e">
        <f ca="1">_xll.xlqhClose($C501,K$8,$K$3)</f>
        <v>#NAME?</v>
      </c>
      <c r="L501" s="7" t="e">
        <f ca="1">_xll.xlqhClose($C501,L$8,$K$3)</f>
        <v>#NAME?</v>
      </c>
      <c r="N501" s="9">
        <f t="shared" ca="1" si="77"/>
        <v>1</v>
      </c>
      <c r="O501" s="9">
        <f t="shared" ca="1" si="78"/>
        <v>1</v>
      </c>
      <c r="P501" s="9">
        <f t="shared" ca="1" si="79"/>
        <v>1</v>
      </c>
      <c r="Q501" s="9">
        <f t="shared" ca="1" si="80"/>
        <v>1</v>
      </c>
      <c r="R501" s="9">
        <f t="shared" ca="1" si="81"/>
        <v>0</v>
      </c>
    </row>
    <row r="502" spans="2:18" x14ac:dyDescent="0.25">
      <c r="B502" s="17" t="s">
        <v>1733</v>
      </c>
      <c r="C502" s="18" t="s">
        <v>1734</v>
      </c>
      <c r="D502" s="7" t="e">
        <f ca="1">_xll.xlqPrice(C502)</f>
        <v>#NAME?</v>
      </c>
      <c r="E502" s="9" t="e">
        <f t="shared" ca="1" si="72"/>
        <v>#NAME?</v>
      </c>
      <c r="F502" s="9">
        <f t="shared" ca="1" si="73"/>
        <v>1</v>
      </c>
      <c r="G502" s="8">
        <f t="shared" ca="1" si="74"/>
        <v>0</v>
      </c>
      <c r="H502" s="8">
        <f t="shared" ca="1" si="75"/>
        <v>0</v>
      </c>
      <c r="I502" s="8">
        <f t="shared" ca="1" si="76"/>
        <v>0</v>
      </c>
      <c r="J502" s="6" t="e">
        <f ca="1">_xll.xlqxhSMA($C502,$L$4,$J$7,$K$3)</f>
        <v>#NAME?</v>
      </c>
      <c r="K502" s="7" t="e">
        <f ca="1">_xll.xlqhClose($C502,K$8,$K$3)</f>
        <v>#NAME?</v>
      </c>
      <c r="L502" s="7" t="e">
        <f ca="1">_xll.xlqhClose($C502,L$8,$K$3)</f>
        <v>#NAME?</v>
      </c>
      <c r="N502" s="9">
        <f t="shared" ca="1" si="77"/>
        <v>1</v>
      </c>
      <c r="O502" s="9">
        <f t="shared" ca="1" si="78"/>
        <v>1</v>
      </c>
      <c r="P502" s="9">
        <f t="shared" ca="1" si="79"/>
        <v>1</v>
      </c>
      <c r="Q502" s="9">
        <f t="shared" ca="1" si="80"/>
        <v>1</v>
      </c>
      <c r="R502" s="9">
        <f t="shared" ca="1" si="81"/>
        <v>0</v>
      </c>
    </row>
    <row r="503" spans="2:18" x14ac:dyDescent="0.25">
      <c r="B503" t="s">
        <v>1987</v>
      </c>
      <c r="C503" s="39" t="s">
        <v>1988</v>
      </c>
      <c r="D503" s="7" t="e">
        <f ca="1">_xll.xlqPrice(C503)</f>
        <v>#NAME?</v>
      </c>
      <c r="E503" s="9" t="e">
        <f t="shared" ca="1" si="72"/>
        <v>#NAME?</v>
      </c>
      <c r="F503" s="9">
        <f t="shared" ca="1" si="73"/>
        <v>1</v>
      </c>
      <c r="G503" s="8">
        <f t="shared" ca="1" si="74"/>
        <v>0</v>
      </c>
      <c r="H503" s="8">
        <f t="shared" ca="1" si="75"/>
        <v>0</v>
      </c>
      <c r="I503" s="8">
        <f t="shared" ca="1" si="76"/>
        <v>0</v>
      </c>
      <c r="J503" s="6" t="e">
        <f ca="1">_xll.xlqxhSMA($C503,$L$4,$J$7,$K$3)</f>
        <v>#NAME?</v>
      </c>
      <c r="K503" s="7" t="e">
        <f ca="1">_xll.xlqhClose($C503,K$8,$K$3)</f>
        <v>#NAME?</v>
      </c>
      <c r="L503" s="7" t="e">
        <f ca="1">_xll.xlqhClose($C503,L$8,$K$3)</f>
        <v>#NAME?</v>
      </c>
      <c r="N503" s="9">
        <f t="shared" ca="1" si="77"/>
        <v>1</v>
      </c>
      <c r="O503" s="9">
        <f t="shared" ca="1" si="78"/>
        <v>1</v>
      </c>
      <c r="P503" s="9">
        <f t="shared" ca="1" si="79"/>
        <v>1</v>
      </c>
      <c r="Q503" s="9">
        <f t="shared" ca="1" si="80"/>
        <v>1</v>
      </c>
      <c r="R503" s="9">
        <f t="shared" ca="1" si="81"/>
        <v>0</v>
      </c>
    </row>
    <row r="504" spans="2:18" x14ac:dyDescent="0.25">
      <c r="B504" s="17" t="s">
        <v>1487</v>
      </c>
      <c r="C504" s="18" t="s">
        <v>1488</v>
      </c>
      <c r="D504" s="7" t="e">
        <f ca="1">_xll.xlqPrice(C504)</f>
        <v>#NAME?</v>
      </c>
      <c r="E504" s="9" t="e">
        <f t="shared" ca="1" si="72"/>
        <v>#NAME?</v>
      </c>
      <c r="F504" s="9">
        <f t="shared" ca="1" si="73"/>
        <v>1</v>
      </c>
      <c r="G504" s="8">
        <f t="shared" ca="1" si="74"/>
        <v>0</v>
      </c>
      <c r="H504" s="8">
        <f t="shared" ca="1" si="75"/>
        <v>0</v>
      </c>
      <c r="I504" s="8">
        <f t="shared" ca="1" si="76"/>
        <v>0</v>
      </c>
      <c r="J504" s="6" t="e">
        <f ca="1">_xll.xlqxhSMA($C504,$L$4,$J$7,$K$3)</f>
        <v>#NAME?</v>
      </c>
      <c r="K504" s="7" t="e">
        <f ca="1">_xll.xlqhClose($C504,K$8,$K$3)</f>
        <v>#NAME?</v>
      </c>
      <c r="L504" s="7" t="e">
        <f ca="1">_xll.xlqhClose($C504,L$8,$K$3)</f>
        <v>#NAME?</v>
      </c>
      <c r="N504" s="9">
        <f t="shared" ca="1" si="77"/>
        <v>1</v>
      </c>
      <c r="O504" s="9">
        <f t="shared" ca="1" si="78"/>
        <v>1</v>
      </c>
      <c r="P504" s="9">
        <f t="shared" ca="1" si="79"/>
        <v>1</v>
      </c>
      <c r="Q504" s="9">
        <f t="shared" ca="1" si="80"/>
        <v>1</v>
      </c>
      <c r="R504" s="9">
        <f t="shared" ca="1" si="81"/>
        <v>0</v>
      </c>
    </row>
    <row r="505" spans="2:18" x14ac:dyDescent="0.25">
      <c r="B505" t="s">
        <v>1235</v>
      </c>
      <c r="C505" s="39" t="s">
        <v>1236</v>
      </c>
      <c r="D505" s="7" t="e">
        <f ca="1">_xll.xlqPrice(C505)</f>
        <v>#NAME?</v>
      </c>
      <c r="E505" s="9" t="e">
        <f t="shared" ca="1" si="72"/>
        <v>#NAME?</v>
      </c>
      <c r="F505" s="9">
        <f t="shared" ca="1" si="73"/>
        <v>1</v>
      </c>
      <c r="G505" s="8">
        <f t="shared" ca="1" si="74"/>
        <v>0</v>
      </c>
      <c r="H505" s="8">
        <f t="shared" ca="1" si="75"/>
        <v>0</v>
      </c>
      <c r="I505" s="8">
        <f t="shared" ca="1" si="76"/>
        <v>0</v>
      </c>
      <c r="J505" s="6" t="e">
        <f ca="1">_xll.xlqxhSMA($C505,$L$4,$J$7,$K$3)</f>
        <v>#NAME?</v>
      </c>
      <c r="K505" s="7" t="e">
        <f ca="1">_xll.xlqhClose($C505,K$8,$K$3)</f>
        <v>#NAME?</v>
      </c>
      <c r="L505" s="7" t="e">
        <f ca="1">_xll.xlqhClose($C505,L$8,$K$3)</f>
        <v>#NAME?</v>
      </c>
      <c r="N505" s="9">
        <f t="shared" ca="1" si="77"/>
        <v>1</v>
      </c>
      <c r="O505" s="9">
        <f t="shared" ca="1" si="78"/>
        <v>1</v>
      </c>
      <c r="P505" s="9">
        <f t="shared" ca="1" si="79"/>
        <v>1</v>
      </c>
      <c r="Q505" s="9">
        <f t="shared" ca="1" si="80"/>
        <v>1</v>
      </c>
      <c r="R505" s="9">
        <f t="shared" ca="1" si="81"/>
        <v>0</v>
      </c>
    </row>
    <row r="506" spans="2:18" x14ac:dyDescent="0.25">
      <c r="B506" t="s">
        <v>144</v>
      </c>
      <c r="C506" s="39" t="s">
        <v>145</v>
      </c>
      <c r="D506" s="7" t="e">
        <f ca="1">_xll.xlqPrice(C506)</f>
        <v>#NAME?</v>
      </c>
      <c r="E506" s="9" t="e">
        <f t="shared" ca="1" si="72"/>
        <v>#NAME?</v>
      </c>
      <c r="F506" s="9">
        <f t="shared" ca="1" si="73"/>
        <v>1</v>
      </c>
      <c r="G506" s="8">
        <f t="shared" ca="1" si="74"/>
        <v>0</v>
      </c>
      <c r="H506" s="8">
        <f t="shared" ca="1" si="75"/>
        <v>0</v>
      </c>
      <c r="I506" s="8">
        <f t="shared" ca="1" si="76"/>
        <v>0</v>
      </c>
      <c r="J506" s="6" t="e">
        <f ca="1">_xll.xlqxhSMA($C506,$L$4,$J$7,$K$3)</f>
        <v>#NAME?</v>
      </c>
      <c r="K506" s="7" t="e">
        <f ca="1">_xll.xlqhClose($C506,K$8,$K$3)</f>
        <v>#NAME?</v>
      </c>
      <c r="L506" s="7" t="e">
        <f ca="1">_xll.xlqhClose($C506,L$8,$K$3)</f>
        <v>#NAME?</v>
      </c>
      <c r="N506" s="9">
        <f t="shared" ca="1" si="77"/>
        <v>1</v>
      </c>
      <c r="O506" s="9">
        <f t="shared" ca="1" si="78"/>
        <v>1</v>
      </c>
      <c r="P506" s="9">
        <f t="shared" ca="1" si="79"/>
        <v>1</v>
      </c>
      <c r="Q506" s="9">
        <f t="shared" ca="1" si="80"/>
        <v>1</v>
      </c>
      <c r="R506" s="9">
        <f t="shared" ca="1" si="81"/>
        <v>0</v>
      </c>
    </row>
    <row r="507" spans="2:18" x14ac:dyDescent="0.25">
      <c r="B507" s="17" t="s">
        <v>67</v>
      </c>
      <c r="C507" s="18" t="s">
        <v>68</v>
      </c>
      <c r="D507" s="7" t="e">
        <f ca="1">_xll.xlqPrice(C507)</f>
        <v>#NAME?</v>
      </c>
      <c r="E507" s="9" t="e">
        <f t="shared" ca="1" si="72"/>
        <v>#NAME?</v>
      </c>
      <c r="F507" s="9">
        <f t="shared" ca="1" si="73"/>
        <v>1</v>
      </c>
      <c r="G507" s="8">
        <f t="shared" ca="1" si="74"/>
        <v>0</v>
      </c>
      <c r="H507" s="8">
        <f t="shared" ca="1" si="75"/>
        <v>0</v>
      </c>
      <c r="I507" s="8">
        <f t="shared" ca="1" si="76"/>
        <v>0</v>
      </c>
      <c r="J507" s="6" t="e">
        <f ca="1">_xll.xlqxhSMA($C507,$L$4,$J$7,$K$3)</f>
        <v>#NAME?</v>
      </c>
      <c r="K507" s="7" t="e">
        <f ca="1">_xll.xlqhClose($C507,K$8,$K$3)</f>
        <v>#NAME?</v>
      </c>
      <c r="L507" s="7" t="e">
        <f ca="1">_xll.xlqhClose($C507,L$8,$K$3)</f>
        <v>#NAME?</v>
      </c>
      <c r="N507" s="9">
        <f t="shared" ca="1" si="77"/>
        <v>1</v>
      </c>
      <c r="O507" s="9">
        <f t="shared" ca="1" si="78"/>
        <v>1</v>
      </c>
      <c r="P507" s="9">
        <f t="shared" ca="1" si="79"/>
        <v>1</v>
      </c>
      <c r="Q507" s="9">
        <f t="shared" ca="1" si="80"/>
        <v>1</v>
      </c>
      <c r="R507" s="9">
        <f t="shared" ca="1" si="81"/>
        <v>0</v>
      </c>
    </row>
    <row r="508" spans="2:18" x14ac:dyDescent="0.25">
      <c r="B508" s="17" t="s">
        <v>1655</v>
      </c>
      <c r="C508" s="18" t="s">
        <v>1656</v>
      </c>
      <c r="D508" s="7" t="e">
        <f ca="1">_xll.xlqPrice(C508)</f>
        <v>#NAME?</v>
      </c>
      <c r="E508" s="9" t="e">
        <f t="shared" ca="1" si="72"/>
        <v>#NAME?</v>
      </c>
      <c r="F508" s="9">
        <f t="shared" ca="1" si="73"/>
        <v>1</v>
      </c>
      <c r="G508" s="8">
        <f t="shared" ca="1" si="74"/>
        <v>0</v>
      </c>
      <c r="H508" s="8">
        <f t="shared" ca="1" si="75"/>
        <v>0</v>
      </c>
      <c r="I508" s="8">
        <f t="shared" ca="1" si="76"/>
        <v>0</v>
      </c>
      <c r="J508" s="6" t="e">
        <f ca="1">_xll.xlqxhSMA($C508,$L$4,$J$7,$K$3)</f>
        <v>#NAME?</v>
      </c>
      <c r="K508" s="7" t="e">
        <f ca="1">_xll.xlqhClose($C508,K$8,$K$3)</f>
        <v>#NAME?</v>
      </c>
      <c r="L508" s="7" t="e">
        <f ca="1">_xll.xlqhClose($C508,L$8,$K$3)</f>
        <v>#NAME?</v>
      </c>
      <c r="N508" s="9">
        <f t="shared" ca="1" si="77"/>
        <v>1</v>
      </c>
      <c r="O508" s="9">
        <f t="shared" ca="1" si="78"/>
        <v>1</v>
      </c>
      <c r="P508" s="9">
        <f t="shared" ca="1" si="79"/>
        <v>1</v>
      </c>
      <c r="Q508" s="9">
        <f t="shared" ca="1" si="80"/>
        <v>1</v>
      </c>
      <c r="R508" s="9">
        <f t="shared" ca="1" si="81"/>
        <v>0</v>
      </c>
    </row>
    <row r="509" spans="2:18" x14ac:dyDescent="0.25">
      <c r="B509" s="17" t="s">
        <v>1969</v>
      </c>
      <c r="C509" s="18" t="s">
        <v>1970</v>
      </c>
      <c r="D509" s="7" t="e">
        <f ca="1">_xll.xlqPrice(C509)</f>
        <v>#NAME?</v>
      </c>
      <c r="E509" s="9" t="e">
        <f t="shared" ca="1" si="72"/>
        <v>#NAME?</v>
      </c>
      <c r="F509" s="9">
        <f t="shared" ca="1" si="73"/>
        <v>1</v>
      </c>
      <c r="G509" s="8">
        <f t="shared" ca="1" si="74"/>
        <v>0</v>
      </c>
      <c r="H509" s="8">
        <f t="shared" ca="1" si="75"/>
        <v>0</v>
      </c>
      <c r="I509" s="8">
        <f t="shared" ca="1" si="76"/>
        <v>0</v>
      </c>
      <c r="J509" s="6" t="e">
        <f ca="1">_xll.xlqxhSMA($C509,$L$4,$J$7,$K$3)</f>
        <v>#NAME?</v>
      </c>
      <c r="K509" s="7" t="e">
        <f ca="1">_xll.xlqhClose($C509,K$8,$K$3)</f>
        <v>#NAME?</v>
      </c>
      <c r="L509" s="7" t="e">
        <f ca="1">_xll.xlqhClose($C509,L$8,$K$3)</f>
        <v>#NAME?</v>
      </c>
      <c r="N509" s="9">
        <f t="shared" ca="1" si="77"/>
        <v>1</v>
      </c>
      <c r="O509" s="9">
        <f t="shared" ca="1" si="78"/>
        <v>1</v>
      </c>
      <c r="P509" s="9">
        <f t="shared" ca="1" si="79"/>
        <v>1</v>
      </c>
      <c r="Q509" s="9">
        <f t="shared" ca="1" si="80"/>
        <v>1</v>
      </c>
      <c r="R509" s="9">
        <f t="shared" ca="1" si="81"/>
        <v>0</v>
      </c>
    </row>
    <row r="510" spans="2:18" x14ac:dyDescent="0.25">
      <c r="B510" s="17" t="s">
        <v>268</v>
      </c>
      <c r="C510" s="18" t="s">
        <v>269</v>
      </c>
      <c r="D510" s="7" t="e">
        <f ca="1">_xll.xlqPrice(C510)</f>
        <v>#NAME?</v>
      </c>
      <c r="E510" s="9" t="e">
        <f t="shared" ca="1" si="72"/>
        <v>#NAME?</v>
      </c>
      <c r="F510" s="9">
        <f t="shared" ca="1" si="73"/>
        <v>1</v>
      </c>
      <c r="G510" s="8">
        <f t="shared" ca="1" si="74"/>
        <v>0</v>
      </c>
      <c r="H510" s="8">
        <f t="shared" ca="1" si="75"/>
        <v>0</v>
      </c>
      <c r="I510" s="8">
        <f t="shared" ca="1" si="76"/>
        <v>0</v>
      </c>
      <c r="J510" s="6" t="e">
        <f ca="1">_xll.xlqxhSMA($C510,$L$4,$J$7,$K$3)</f>
        <v>#NAME?</v>
      </c>
      <c r="K510" s="7" t="e">
        <f ca="1">_xll.xlqhClose($C510,K$8,$K$3)</f>
        <v>#NAME?</v>
      </c>
      <c r="L510" s="7" t="e">
        <f ca="1">_xll.xlqhClose($C510,L$8,$K$3)</f>
        <v>#NAME?</v>
      </c>
      <c r="N510" s="9">
        <f t="shared" ca="1" si="77"/>
        <v>1</v>
      </c>
      <c r="O510" s="9">
        <f t="shared" ca="1" si="78"/>
        <v>1</v>
      </c>
      <c r="P510" s="9">
        <f t="shared" ca="1" si="79"/>
        <v>1</v>
      </c>
      <c r="Q510" s="9">
        <f t="shared" ca="1" si="80"/>
        <v>1</v>
      </c>
      <c r="R510" s="9">
        <f t="shared" ca="1" si="81"/>
        <v>0</v>
      </c>
    </row>
    <row r="511" spans="2:18" x14ac:dyDescent="0.25">
      <c r="B511" s="17" t="s">
        <v>2001</v>
      </c>
      <c r="C511" s="18" t="s">
        <v>2002</v>
      </c>
      <c r="D511" s="7" t="e">
        <f ca="1">_xll.xlqPrice(C511)</f>
        <v>#NAME?</v>
      </c>
      <c r="E511" s="9" t="e">
        <f t="shared" ca="1" si="72"/>
        <v>#NAME?</v>
      </c>
      <c r="F511" s="9">
        <f t="shared" ca="1" si="73"/>
        <v>1</v>
      </c>
      <c r="G511" s="8">
        <f t="shared" ca="1" si="74"/>
        <v>0</v>
      </c>
      <c r="H511" s="8">
        <f t="shared" ca="1" si="75"/>
        <v>0</v>
      </c>
      <c r="I511" s="8">
        <f t="shared" ca="1" si="76"/>
        <v>0</v>
      </c>
      <c r="J511" s="6" t="e">
        <f ca="1">_xll.xlqxhSMA($C511,$L$4,$J$7,$K$3)</f>
        <v>#NAME?</v>
      </c>
      <c r="K511" s="7" t="e">
        <f ca="1">_xll.xlqhClose($C511,K$8,$K$3)</f>
        <v>#NAME?</v>
      </c>
      <c r="L511" s="7" t="e">
        <f ca="1">_xll.xlqhClose($C511,L$8,$K$3)</f>
        <v>#NAME?</v>
      </c>
      <c r="N511" s="9">
        <f t="shared" ca="1" si="77"/>
        <v>1</v>
      </c>
      <c r="O511" s="9">
        <f t="shared" ca="1" si="78"/>
        <v>1</v>
      </c>
      <c r="P511" s="9">
        <f t="shared" ca="1" si="79"/>
        <v>1</v>
      </c>
      <c r="Q511" s="9">
        <f t="shared" ca="1" si="80"/>
        <v>1</v>
      </c>
      <c r="R511" s="9">
        <f t="shared" ca="1" si="81"/>
        <v>0</v>
      </c>
    </row>
    <row r="512" spans="2:18" x14ac:dyDescent="0.25">
      <c r="B512" s="17" t="s">
        <v>1159</v>
      </c>
      <c r="C512" s="18" t="s">
        <v>1160</v>
      </c>
      <c r="D512" s="7" t="e">
        <f ca="1">_xll.xlqPrice(C512)</f>
        <v>#NAME?</v>
      </c>
      <c r="E512" s="9" t="e">
        <f t="shared" ca="1" si="72"/>
        <v>#NAME?</v>
      </c>
      <c r="F512" s="9">
        <f t="shared" ca="1" si="73"/>
        <v>1</v>
      </c>
      <c r="G512" s="8">
        <f t="shared" ca="1" si="74"/>
        <v>0</v>
      </c>
      <c r="H512" s="8">
        <f t="shared" ca="1" si="75"/>
        <v>0</v>
      </c>
      <c r="I512" s="8">
        <f t="shared" ca="1" si="76"/>
        <v>0</v>
      </c>
      <c r="J512" s="6" t="e">
        <f ca="1">_xll.xlqxhSMA($C512,$L$4,$J$7,$K$3)</f>
        <v>#NAME?</v>
      </c>
      <c r="K512" s="7" t="e">
        <f ca="1">_xll.xlqhClose($C512,K$8,$K$3)</f>
        <v>#NAME?</v>
      </c>
      <c r="L512" s="7" t="e">
        <f ca="1">_xll.xlqhClose($C512,L$8,$K$3)</f>
        <v>#NAME?</v>
      </c>
      <c r="N512" s="9">
        <f t="shared" ca="1" si="77"/>
        <v>1</v>
      </c>
      <c r="O512" s="9">
        <f t="shared" ca="1" si="78"/>
        <v>1</v>
      </c>
      <c r="P512" s="9">
        <f t="shared" ca="1" si="79"/>
        <v>1</v>
      </c>
      <c r="Q512" s="9">
        <f t="shared" ca="1" si="80"/>
        <v>1</v>
      </c>
      <c r="R512" s="9">
        <f t="shared" ca="1" si="81"/>
        <v>0</v>
      </c>
    </row>
    <row r="513" spans="2:18" x14ac:dyDescent="0.25">
      <c r="B513" t="s">
        <v>939</v>
      </c>
      <c r="C513" s="39" t="s">
        <v>940</v>
      </c>
      <c r="D513" s="7" t="e">
        <f ca="1">_xll.xlqPrice(C513)</f>
        <v>#NAME?</v>
      </c>
      <c r="E513" s="9" t="e">
        <f t="shared" ca="1" si="72"/>
        <v>#NAME?</v>
      </c>
      <c r="F513" s="9">
        <f t="shared" ca="1" si="73"/>
        <v>1</v>
      </c>
      <c r="G513" s="8">
        <f t="shared" ca="1" si="74"/>
        <v>0</v>
      </c>
      <c r="H513" s="8">
        <f t="shared" ca="1" si="75"/>
        <v>0</v>
      </c>
      <c r="I513" s="8">
        <f t="shared" ca="1" si="76"/>
        <v>0</v>
      </c>
      <c r="J513" s="6" t="e">
        <f ca="1">_xll.xlqxhSMA($C513,$L$4,$J$7,$K$3)</f>
        <v>#NAME?</v>
      </c>
      <c r="K513" s="7" t="e">
        <f ca="1">_xll.xlqhClose($C513,K$8,$K$3)</f>
        <v>#NAME?</v>
      </c>
      <c r="L513" s="7" t="e">
        <f ca="1">_xll.xlqhClose($C513,L$8,$K$3)</f>
        <v>#NAME?</v>
      </c>
      <c r="N513" s="9">
        <f t="shared" ca="1" si="77"/>
        <v>1</v>
      </c>
      <c r="O513" s="9">
        <f t="shared" ca="1" si="78"/>
        <v>1</v>
      </c>
      <c r="P513" s="9">
        <f t="shared" ca="1" si="79"/>
        <v>1</v>
      </c>
      <c r="Q513" s="9">
        <f t="shared" ca="1" si="80"/>
        <v>1</v>
      </c>
      <c r="R513" s="9">
        <f t="shared" ca="1" si="81"/>
        <v>0</v>
      </c>
    </row>
    <row r="514" spans="2:18" x14ac:dyDescent="0.25">
      <c r="B514" s="17" t="s">
        <v>504</v>
      </c>
      <c r="C514" s="18" t="s">
        <v>505</v>
      </c>
      <c r="D514" s="7" t="e">
        <f ca="1">_xll.xlqPrice(C514)</f>
        <v>#NAME?</v>
      </c>
      <c r="E514" s="9" t="e">
        <f t="shared" ca="1" si="72"/>
        <v>#NAME?</v>
      </c>
      <c r="F514" s="9">
        <f t="shared" ca="1" si="73"/>
        <v>1</v>
      </c>
      <c r="G514" s="8">
        <f t="shared" ca="1" si="74"/>
        <v>0</v>
      </c>
      <c r="H514" s="8">
        <f t="shared" ca="1" si="75"/>
        <v>0</v>
      </c>
      <c r="I514" s="8">
        <f t="shared" ca="1" si="76"/>
        <v>0</v>
      </c>
      <c r="J514" s="6" t="e">
        <f ca="1">_xll.xlqxhSMA($C514,$L$4,$J$7,$K$3)</f>
        <v>#NAME?</v>
      </c>
      <c r="K514" s="7" t="e">
        <f ca="1">_xll.xlqhClose($C514,K$8,$K$3)</f>
        <v>#NAME?</v>
      </c>
      <c r="L514" s="7" t="e">
        <f ca="1">_xll.xlqhClose($C514,L$8,$K$3)</f>
        <v>#NAME?</v>
      </c>
      <c r="N514" s="9">
        <f t="shared" ca="1" si="77"/>
        <v>1</v>
      </c>
      <c r="O514" s="9">
        <f t="shared" ca="1" si="78"/>
        <v>1</v>
      </c>
      <c r="P514" s="9">
        <f t="shared" ca="1" si="79"/>
        <v>1</v>
      </c>
      <c r="Q514" s="9">
        <f t="shared" ca="1" si="80"/>
        <v>1</v>
      </c>
      <c r="R514" s="9">
        <f t="shared" ca="1" si="81"/>
        <v>0</v>
      </c>
    </row>
    <row r="515" spans="2:18" x14ac:dyDescent="0.25">
      <c r="B515" s="17" t="s">
        <v>2161</v>
      </c>
      <c r="C515" s="18" t="s">
        <v>2162</v>
      </c>
      <c r="D515" s="7" t="e">
        <f ca="1">_xll.xlqPrice(C515)</f>
        <v>#NAME?</v>
      </c>
      <c r="E515" s="9" t="e">
        <f t="shared" ca="1" si="72"/>
        <v>#NAME?</v>
      </c>
      <c r="F515" s="9">
        <f t="shared" ca="1" si="73"/>
        <v>1</v>
      </c>
      <c r="G515" s="8">
        <f t="shared" ca="1" si="74"/>
        <v>0</v>
      </c>
      <c r="H515" s="8">
        <f t="shared" ca="1" si="75"/>
        <v>0</v>
      </c>
      <c r="I515" s="8">
        <f t="shared" ca="1" si="76"/>
        <v>0</v>
      </c>
      <c r="J515" s="6" t="e">
        <f ca="1">_xll.xlqxhSMA($C515,$L$4,$J$7,$K$3)</f>
        <v>#NAME?</v>
      </c>
      <c r="K515" s="7" t="e">
        <f ca="1">_xll.xlqhClose($C515,K$8,$K$3)</f>
        <v>#NAME?</v>
      </c>
      <c r="L515" s="7" t="e">
        <f ca="1">_xll.xlqhClose($C515,L$8,$K$3)</f>
        <v>#NAME?</v>
      </c>
      <c r="N515" s="9">
        <f t="shared" ca="1" si="77"/>
        <v>1</v>
      </c>
      <c r="O515" s="9">
        <f t="shared" ca="1" si="78"/>
        <v>1</v>
      </c>
      <c r="P515" s="9">
        <f t="shared" ca="1" si="79"/>
        <v>1</v>
      </c>
      <c r="Q515" s="9">
        <f t="shared" ca="1" si="80"/>
        <v>1</v>
      </c>
      <c r="R515" s="9">
        <f t="shared" ca="1" si="81"/>
        <v>0</v>
      </c>
    </row>
    <row r="516" spans="2:18" x14ac:dyDescent="0.25">
      <c r="B516" t="s">
        <v>1215</v>
      </c>
      <c r="C516" s="39" t="s">
        <v>1216</v>
      </c>
      <c r="D516" s="7" t="e">
        <f ca="1">_xll.xlqPrice(C516)</f>
        <v>#NAME?</v>
      </c>
      <c r="E516" s="9" t="e">
        <f t="shared" ca="1" si="72"/>
        <v>#NAME?</v>
      </c>
      <c r="F516" s="9">
        <f t="shared" ca="1" si="73"/>
        <v>1</v>
      </c>
      <c r="G516" s="8">
        <f t="shared" ca="1" si="74"/>
        <v>0</v>
      </c>
      <c r="H516" s="8">
        <f t="shared" ca="1" si="75"/>
        <v>0</v>
      </c>
      <c r="I516" s="8">
        <f t="shared" ca="1" si="76"/>
        <v>0</v>
      </c>
      <c r="J516" s="6" t="e">
        <f ca="1">_xll.xlqxhSMA($C516,$L$4,$J$7,$K$3)</f>
        <v>#NAME?</v>
      </c>
      <c r="K516" s="7" t="e">
        <f ca="1">_xll.xlqhClose($C516,K$8,$K$3)</f>
        <v>#NAME?</v>
      </c>
      <c r="L516" s="7" t="e">
        <f ca="1">_xll.xlqhClose($C516,L$8,$K$3)</f>
        <v>#NAME?</v>
      </c>
      <c r="N516" s="9">
        <f t="shared" ca="1" si="77"/>
        <v>1</v>
      </c>
      <c r="O516" s="9">
        <f t="shared" ca="1" si="78"/>
        <v>1</v>
      </c>
      <c r="P516" s="9">
        <f t="shared" ca="1" si="79"/>
        <v>1</v>
      </c>
      <c r="Q516" s="9">
        <f t="shared" ca="1" si="80"/>
        <v>1</v>
      </c>
      <c r="R516" s="9">
        <f t="shared" ca="1" si="81"/>
        <v>0</v>
      </c>
    </row>
    <row r="517" spans="2:18" x14ac:dyDescent="0.25">
      <c r="B517" s="17" t="s">
        <v>1389</v>
      </c>
      <c r="C517" s="18" t="s">
        <v>1390</v>
      </c>
      <c r="D517" s="7" t="e">
        <f ca="1">_xll.xlqPrice(C517)</f>
        <v>#NAME?</v>
      </c>
      <c r="E517" s="9" t="e">
        <f t="shared" ca="1" si="72"/>
        <v>#NAME?</v>
      </c>
      <c r="F517" s="9">
        <f t="shared" ca="1" si="73"/>
        <v>1</v>
      </c>
      <c r="G517" s="8">
        <f t="shared" ca="1" si="74"/>
        <v>0</v>
      </c>
      <c r="H517" s="8">
        <f t="shared" ca="1" si="75"/>
        <v>0</v>
      </c>
      <c r="I517" s="8">
        <f t="shared" ca="1" si="76"/>
        <v>0</v>
      </c>
      <c r="J517" s="6" t="e">
        <f ca="1">_xll.xlqxhSMA($C517,$L$4,$J$7,$K$3)</f>
        <v>#NAME?</v>
      </c>
      <c r="K517" s="7" t="e">
        <f ca="1">_xll.xlqhClose($C517,K$8,$K$3)</f>
        <v>#NAME?</v>
      </c>
      <c r="L517" s="7" t="e">
        <f ca="1">_xll.xlqhClose($C517,L$8,$K$3)</f>
        <v>#NAME?</v>
      </c>
      <c r="N517" s="9">
        <f t="shared" ca="1" si="77"/>
        <v>1</v>
      </c>
      <c r="O517" s="9">
        <f t="shared" ca="1" si="78"/>
        <v>1</v>
      </c>
      <c r="P517" s="9">
        <f t="shared" ca="1" si="79"/>
        <v>1</v>
      </c>
      <c r="Q517" s="9">
        <f t="shared" ca="1" si="80"/>
        <v>1</v>
      </c>
      <c r="R517" s="9">
        <f t="shared" ca="1" si="81"/>
        <v>0</v>
      </c>
    </row>
    <row r="518" spans="2:18" x14ac:dyDescent="0.25">
      <c r="B518" t="s">
        <v>1635</v>
      </c>
      <c r="C518" s="39" t="s">
        <v>1636</v>
      </c>
      <c r="D518" s="7" t="e">
        <f ca="1">_xll.xlqPrice(C518)</f>
        <v>#NAME?</v>
      </c>
      <c r="E518" s="9" t="e">
        <f t="shared" ca="1" si="72"/>
        <v>#NAME?</v>
      </c>
      <c r="F518" s="9">
        <f t="shared" ca="1" si="73"/>
        <v>1</v>
      </c>
      <c r="G518" s="8">
        <f t="shared" ca="1" si="74"/>
        <v>0</v>
      </c>
      <c r="H518" s="8">
        <f t="shared" ca="1" si="75"/>
        <v>0</v>
      </c>
      <c r="I518" s="8">
        <f t="shared" ca="1" si="76"/>
        <v>0</v>
      </c>
      <c r="J518" s="6" t="e">
        <f ca="1">_xll.xlqxhSMA($C518,$L$4,$J$7,$K$3)</f>
        <v>#NAME?</v>
      </c>
      <c r="K518" s="7" t="e">
        <f ca="1">_xll.xlqhClose($C518,K$8,$K$3)</f>
        <v>#NAME?</v>
      </c>
      <c r="L518" s="7" t="e">
        <f ca="1">_xll.xlqhClose($C518,L$8,$K$3)</f>
        <v>#NAME?</v>
      </c>
      <c r="N518" s="9">
        <f t="shared" ca="1" si="77"/>
        <v>1</v>
      </c>
      <c r="O518" s="9">
        <f t="shared" ca="1" si="78"/>
        <v>1</v>
      </c>
      <c r="P518" s="9">
        <f t="shared" ca="1" si="79"/>
        <v>1</v>
      </c>
      <c r="Q518" s="9">
        <f t="shared" ca="1" si="80"/>
        <v>1</v>
      </c>
      <c r="R518" s="9">
        <f t="shared" ca="1" si="81"/>
        <v>0</v>
      </c>
    </row>
    <row r="519" spans="2:18" x14ac:dyDescent="0.25">
      <c r="B519" s="17" t="s">
        <v>564</v>
      </c>
      <c r="C519" s="18" t="s">
        <v>565</v>
      </c>
      <c r="D519" s="7" t="e">
        <f ca="1">_xll.xlqPrice(C519)</f>
        <v>#NAME?</v>
      </c>
      <c r="E519" s="9" t="e">
        <f t="shared" ca="1" si="72"/>
        <v>#NAME?</v>
      </c>
      <c r="F519" s="9">
        <f t="shared" ca="1" si="73"/>
        <v>1</v>
      </c>
      <c r="G519" s="8">
        <f t="shared" ca="1" si="74"/>
        <v>0</v>
      </c>
      <c r="H519" s="8">
        <f t="shared" ca="1" si="75"/>
        <v>0</v>
      </c>
      <c r="I519" s="8">
        <f t="shared" ca="1" si="76"/>
        <v>0</v>
      </c>
      <c r="J519" s="6" t="e">
        <f ca="1">_xll.xlqxhSMA($C519,$L$4,$J$7,$K$3)</f>
        <v>#NAME?</v>
      </c>
      <c r="K519" s="7" t="e">
        <f ca="1">_xll.xlqhClose($C519,K$8,$K$3)</f>
        <v>#NAME?</v>
      </c>
      <c r="L519" s="7" t="e">
        <f ca="1">_xll.xlqhClose($C519,L$8,$K$3)</f>
        <v>#NAME?</v>
      </c>
      <c r="N519" s="9">
        <f t="shared" ca="1" si="77"/>
        <v>1</v>
      </c>
      <c r="O519" s="9">
        <f t="shared" ca="1" si="78"/>
        <v>1</v>
      </c>
      <c r="P519" s="9">
        <f t="shared" ca="1" si="79"/>
        <v>1</v>
      </c>
      <c r="Q519" s="9">
        <f t="shared" ca="1" si="80"/>
        <v>1</v>
      </c>
      <c r="R519" s="9">
        <f t="shared" ca="1" si="81"/>
        <v>0</v>
      </c>
    </row>
    <row r="520" spans="2:18" x14ac:dyDescent="0.25">
      <c r="B520" s="17" t="s">
        <v>300</v>
      </c>
      <c r="C520" s="18" t="s">
        <v>301</v>
      </c>
      <c r="D520" s="7" t="e">
        <f ca="1">_xll.xlqPrice(C520)</f>
        <v>#NAME?</v>
      </c>
      <c r="E520" s="9" t="e">
        <f t="shared" ca="1" si="72"/>
        <v>#NAME?</v>
      </c>
      <c r="F520" s="9">
        <f t="shared" ca="1" si="73"/>
        <v>1</v>
      </c>
      <c r="G520" s="8">
        <f t="shared" ca="1" si="74"/>
        <v>0</v>
      </c>
      <c r="H520" s="8">
        <f t="shared" ca="1" si="75"/>
        <v>0</v>
      </c>
      <c r="I520" s="8">
        <f t="shared" ca="1" si="76"/>
        <v>0</v>
      </c>
      <c r="J520" s="6" t="e">
        <f ca="1">_xll.xlqxhSMA($C520,$L$4,$J$7,$K$3)</f>
        <v>#NAME?</v>
      </c>
      <c r="K520" s="7" t="e">
        <f ca="1">_xll.xlqhClose($C520,K$8,$K$3)</f>
        <v>#NAME?</v>
      </c>
      <c r="L520" s="7" t="e">
        <f ca="1">_xll.xlqhClose($C520,L$8,$K$3)</f>
        <v>#NAME?</v>
      </c>
      <c r="N520" s="9">
        <f t="shared" ca="1" si="77"/>
        <v>1</v>
      </c>
      <c r="O520" s="9">
        <f t="shared" ca="1" si="78"/>
        <v>1</v>
      </c>
      <c r="P520" s="9">
        <f t="shared" ca="1" si="79"/>
        <v>1</v>
      </c>
      <c r="Q520" s="9">
        <f t="shared" ca="1" si="80"/>
        <v>1</v>
      </c>
      <c r="R520" s="9">
        <f t="shared" ca="1" si="81"/>
        <v>0</v>
      </c>
    </row>
    <row r="521" spans="2:18" x14ac:dyDescent="0.25">
      <c r="B521" s="17" t="s">
        <v>1565</v>
      </c>
      <c r="C521" s="18" t="s">
        <v>1566</v>
      </c>
      <c r="D521" s="7" t="e">
        <f ca="1">_xll.xlqPrice(C521)</f>
        <v>#NAME?</v>
      </c>
      <c r="E521" s="9" t="e">
        <f t="shared" ca="1" si="72"/>
        <v>#NAME?</v>
      </c>
      <c r="F521" s="9">
        <f t="shared" ca="1" si="73"/>
        <v>1</v>
      </c>
      <c r="G521" s="8">
        <f t="shared" ca="1" si="74"/>
        <v>0</v>
      </c>
      <c r="H521" s="8">
        <f t="shared" ca="1" si="75"/>
        <v>0</v>
      </c>
      <c r="I521" s="8">
        <f t="shared" ca="1" si="76"/>
        <v>0</v>
      </c>
      <c r="J521" s="6" t="e">
        <f ca="1">_xll.xlqxhSMA($C521,$L$4,$J$7,$K$3)</f>
        <v>#NAME?</v>
      </c>
      <c r="K521" s="7" t="e">
        <f ca="1">_xll.xlqhClose($C521,K$8,$K$3)</f>
        <v>#NAME?</v>
      </c>
      <c r="L521" s="7" t="e">
        <f ca="1">_xll.xlqhClose($C521,L$8,$K$3)</f>
        <v>#NAME?</v>
      </c>
      <c r="N521" s="9">
        <f t="shared" ca="1" si="77"/>
        <v>1</v>
      </c>
      <c r="O521" s="9">
        <f t="shared" ca="1" si="78"/>
        <v>1</v>
      </c>
      <c r="P521" s="9">
        <f t="shared" ca="1" si="79"/>
        <v>1</v>
      </c>
      <c r="Q521" s="9">
        <f t="shared" ca="1" si="80"/>
        <v>1</v>
      </c>
      <c r="R521" s="9">
        <f t="shared" ca="1" si="81"/>
        <v>0</v>
      </c>
    </row>
    <row r="522" spans="2:18" x14ac:dyDescent="0.25">
      <c r="B522" s="17" t="s">
        <v>1393</v>
      </c>
      <c r="C522" s="18" t="s">
        <v>1394</v>
      </c>
      <c r="D522" s="7" t="e">
        <f ca="1">_xll.xlqPrice(C522)</f>
        <v>#NAME?</v>
      </c>
      <c r="E522" s="9" t="e">
        <f t="shared" ca="1" si="72"/>
        <v>#NAME?</v>
      </c>
      <c r="F522" s="9">
        <f t="shared" ca="1" si="73"/>
        <v>1</v>
      </c>
      <c r="G522" s="8">
        <f t="shared" ca="1" si="74"/>
        <v>0</v>
      </c>
      <c r="H522" s="8">
        <f t="shared" ca="1" si="75"/>
        <v>0</v>
      </c>
      <c r="I522" s="8">
        <f t="shared" ca="1" si="76"/>
        <v>0</v>
      </c>
      <c r="J522" s="6" t="e">
        <f ca="1">_xll.xlqxhSMA($C522,$L$4,$J$7,$K$3)</f>
        <v>#NAME?</v>
      </c>
      <c r="K522" s="7" t="e">
        <f ca="1">_xll.xlqhClose($C522,K$8,$K$3)</f>
        <v>#NAME?</v>
      </c>
      <c r="L522" s="7" t="e">
        <f ca="1">_xll.xlqhClose($C522,L$8,$K$3)</f>
        <v>#NAME?</v>
      </c>
      <c r="N522" s="9">
        <f t="shared" ca="1" si="77"/>
        <v>1</v>
      </c>
      <c r="O522" s="9">
        <f t="shared" ca="1" si="78"/>
        <v>1</v>
      </c>
      <c r="P522" s="9">
        <f t="shared" ca="1" si="79"/>
        <v>1</v>
      </c>
      <c r="Q522" s="9">
        <f t="shared" ca="1" si="80"/>
        <v>1</v>
      </c>
      <c r="R522" s="9">
        <f t="shared" ca="1" si="81"/>
        <v>0</v>
      </c>
    </row>
    <row r="523" spans="2:18" x14ac:dyDescent="0.25">
      <c r="B523" s="17" t="s">
        <v>918</v>
      </c>
      <c r="C523" s="18" t="s">
        <v>919</v>
      </c>
      <c r="D523" s="7" t="e">
        <f ca="1">_xll.xlqPrice(C523)</f>
        <v>#NAME?</v>
      </c>
      <c r="E523" s="9" t="e">
        <f t="shared" ref="E523:E586" ca="1" si="82">IF(D523&gt;J523, "Buy","Cash")</f>
        <v>#NAME?</v>
      </c>
      <c r="F523" s="9">
        <f t="shared" ref="F523:F586" ca="1" si="83">RANK(I523,$I$11:$I$1138,0)</f>
        <v>1</v>
      </c>
      <c r="G523" s="8">
        <f t="shared" ref="G523:G586" ca="1" si="84">IFERROR(($D523-K523)/K523,0)</f>
        <v>0</v>
      </c>
      <c r="H523" s="8">
        <f t="shared" ref="H523:H586" ca="1" si="85">IFERROR(($D523-L523)/L523,0)</f>
        <v>0</v>
      </c>
      <c r="I523" s="8">
        <f t="shared" ref="I523:I586" ca="1" si="86">IFERROR((G523*$G$8)+(H523*$H$8),0)</f>
        <v>0</v>
      </c>
      <c r="J523" s="6" t="e">
        <f ca="1">_xll.xlqxhSMA($C523,$L$4,$J$7,$K$3)</f>
        <v>#NAME?</v>
      </c>
      <c r="K523" s="7" t="e">
        <f ca="1">_xll.xlqhClose($C523,K$8,$K$3)</f>
        <v>#NAME?</v>
      </c>
      <c r="L523" s="7" t="e">
        <f ca="1">_xll.xlqhClose($C523,L$8,$K$3)</f>
        <v>#NAME?</v>
      </c>
      <c r="N523" s="9">
        <f t="shared" ref="N523:N586" ca="1" si="87">RANK($G523,G$11:G$1138,0)</f>
        <v>1</v>
      </c>
      <c r="O523" s="9">
        <f t="shared" ref="O523:O586" ca="1" si="88">RANK($H523,H$11:H$1138,0)</f>
        <v>1</v>
      </c>
      <c r="P523" s="9">
        <f t="shared" ref="P523:P586" ca="1" si="89">RANK($I523,I$11:I$1138,0)</f>
        <v>1</v>
      </c>
      <c r="Q523" s="9">
        <f t="shared" ref="Q523:Q586" ca="1" si="90">RANK($P523,P$11:P$1138,1)</f>
        <v>1</v>
      </c>
      <c r="R523" s="9">
        <f t="shared" ref="R523:R586" ca="1" si="91">F523-Q523</f>
        <v>0</v>
      </c>
    </row>
    <row r="524" spans="2:18" x14ac:dyDescent="0.25">
      <c r="B524" s="17" t="s">
        <v>1535</v>
      </c>
      <c r="C524" s="18" t="s">
        <v>1536</v>
      </c>
      <c r="D524" s="7" t="e">
        <f ca="1">_xll.xlqPrice(C524)</f>
        <v>#NAME?</v>
      </c>
      <c r="E524" s="9" t="e">
        <f t="shared" ca="1" si="82"/>
        <v>#NAME?</v>
      </c>
      <c r="F524" s="9">
        <f t="shared" ca="1" si="83"/>
        <v>1</v>
      </c>
      <c r="G524" s="8">
        <f t="shared" ca="1" si="84"/>
        <v>0</v>
      </c>
      <c r="H524" s="8">
        <f t="shared" ca="1" si="85"/>
        <v>0</v>
      </c>
      <c r="I524" s="8">
        <f t="shared" ca="1" si="86"/>
        <v>0</v>
      </c>
      <c r="J524" s="6" t="e">
        <f ca="1">_xll.xlqxhSMA($C524,$L$4,$J$7,$K$3)</f>
        <v>#NAME?</v>
      </c>
      <c r="K524" s="7" t="e">
        <f ca="1">_xll.xlqhClose($C524,K$8,$K$3)</f>
        <v>#NAME?</v>
      </c>
      <c r="L524" s="7" t="e">
        <f ca="1">_xll.xlqhClose($C524,L$8,$K$3)</f>
        <v>#NAME?</v>
      </c>
      <c r="N524" s="9">
        <f t="shared" ca="1" si="87"/>
        <v>1</v>
      </c>
      <c r="O524" s="9">
        <f t="shared" ca="1" si="88"/>
        <v>1</v>
      </c>
      <c r="P524" s="9">
        <f t="shared" ca="1" si="89"/>
        <v>1</v>
      </c>
      <c r="Q524" s="9">
        <f t="shared" ca="1" si="90"/>
        <v>1</v>
      </c>
      <c r="R524" s="9">
        <f t="shared" ca="1" si="91"/>
        <v>0</v>
      </c>
    </row>
    <row r="525" spans="2:18" x14ac:dyDescent="0.25">
      <c r="B525" t="s">
        <v>1205</v>
      </c>
      <c r="C525" s="39" t="s">
        <v>1206</v>
      </c>
      <c r="D525" s="7" t="e">
        <f ca="1">_xll.xlqPrice(C525)</f>
        <v>#NAME?</v>
      </c>
      <c r="E525" s="9" t="e">
        <f t="shared" ca="1" si="82"/>
        <v>#NAME?</v>
      </c>
      <c r="F525" s="9">
        <f t="shared" ca="1" si="83"/>
        <v>1</v>
      </c>
      <c r="G525" s="8">
        <f t="shared" ca="1" si="84"/>
        <v>0</v>
      </c>
      <c r="H525" s="8">
        <f t="shared" ca="1" si="85"/>
        <v>0</v>
      </c>
      <c r="I525" s="8">
        <f t="shared" ca="1" si="86"/>
        <v>0</v>
      </c>
      <c r="J525" s="6" t="e">
        <f ca="1">_xll.xlqxhSMA($C525,$L$4,$J$7,$K$3)</f>
        <v>#NAME?</v>
      </c>
      <c r="K525" s="7" t="e">
        <f ca="1">_xll.xlqhClose($C525,K$8,$K$3)</f>
        <v>#NAME?</v>
      </c>
      <c r="L525" s="7" t="e">
        <f ca="1">_xll.xlqhClose($C525,L$8,$K$3)</f>
        <v>#NAME?</v>
      </c>
      <c r="N525" s="9">
        <f t="shared" ca="1" si="87"/>
        <v>1</v>
      </c>
      <c r="O525" s="9">
        <f t="shared" ca="1" si="88"/>
        <v>1</v>
      </c>
      <c r="P525" s="9">
        <f t="shared" ca="1" si="89"/>
        <v>1</v>
      </c>
      <c r="Q525" s="9">
        <f t="shared" ca="1" si="90"/>
        <v>1</v>
      </c>
      <c r="R525" s="9">
        <f t="shared" ca="1" si="91"/>
        <v>0</v>
      </c>
    </row>
    <row r="526" spans="2:18" x14ac:dyDescent="0.25">
      <c r="B526" s="17" t="s">
        <v>744</v>
      </c>
      <c r="C526" s="18" t="s">
        <v>745</v>
      </c>
      <c r="D526" s="7" t="e">
        <f ca="1">_xll.xlqPrice(C526)</f>
        <v>#NAME?</v>
      </c>
      <c r="E526" s="9" t="e">
        <f t="shared" ca="1" si="82"/>
        <v>#NAME?</v>
      </c>
      <c r="F526" s="9">
        <f t="shared" ca="1" si="83"/>
        <v>1</v>
      </c>
      <c r="G526" s="8">
        <f t="shared" ca="1" si="84"/>
        <v>0</v>
      </c>
      <c r="H526" s="8">
        <f t="shared" ca="1" si="85"/>
        <v>0</v>
      </c>
      <c r="I526" s="8">
        <f t="shared" ca="1" si="86"/>
        <v>0</v>
      </c>
      <c r="J526" s="6" t="e">
        <f ca="1">_xll.xlqxhSMA($C526,$L$4,$J$7,$K$3)</f>
        <v>#NAME?</v>
      </c>
      <c r="K526" s="7" t="e">
        <f ca="1">_xll.xlqhClose($C526,K$8,$K$3)</f>
        <v>#NAME?</v>
      </c>
      <c r="L526" s="7" t="e">
        <f ca="1">_xll.xlqhClose($C526,L$8,$K$3)</f>
        <v>#NAME?</v>
      </c>
      <c r="N526" s="9">
        <f t="shared" ca="1" si="87"/>
        <v>1</v>
      </c>
      <c r="O526" s="9">
        <f t="shared" ca="1" si="88"/>
        <v>1</v>
      </c>
      <c r="P526" s="9">
        <f t="shared" ca="1" si="89"/>
        <v>1</v>
      </c>
      <c r="Q526" s="9">
        <f t="shared" ca="1" si="90"/>
        <v>1</v>
      </c>
      <c r="R526" s="9">
        <f t="shared" ca="1" si="91"/>
        <v>0</v>
      </c>
    </row>
    <row r="527" spans="2:18" x14ac:dyDescent="0.25">
      <c r="B527" s="17" t="s">
        <v>2113</v>
      </c>
      <c r="C527" s="18" t="s">
        <v>2114</v>
      </c>
      <c r="D527" s="7" t="e">
        <f ca="1">_xll.xlqPrice(C527)</f>
        <v>#NAME?</v>
      </c>
      <c r="E527" s="9" t="e">
        <f t="shared" ca="1" si="82"/>
        <v>#NAME?</v>
      </c>
      <c r="F527" s="9">
        <f t="shared" ca="1" si="83"/>
        <v>1</v>
      </c>
      <c r="G527" s="8">
        <f t="shared" ca="1" si="84"/>
        <v>0</v>
      </c>
      <c r="H527" s="8">
        <f t="shared" ca="1" si="85"/>
        <v>0</v>
      </c>
      <c r="I527" s="8">
        <f t="shared" ca="1" si="86"/>
        <v>0</v>
      </c>
      <c r="J527" s="6" t="e">
        <f ca="1">_xll.xlqxhSMA($C527,$L$4,$J$7,$K$3)</f>
        <v>#NAME?</v>
      </c>
      <c r="K527" s="7" t="e">
        <f ca="1">_xll.xlqhClose($C527,K$8,$K$3)</f>
        <v>#NAME?</v>
      </c>
      <c r="L527" s="7" t="e">
        <f ca="1">_xll.xlqhClose($C527,L$8,$K$3)</f>
        <v>#NAME?</v>
      </c>
      <c r="N527" s="9">
        <f t="shared" ca="1" si="87"/>
        <v>1</v>
      </c>
      <c r="O527" s="9">
        <f t="shared" ca="1" si="88"/>
        <v>1</v>
      </c>
      <c r="P527" s="9">
        <f t="shared" ca="1" si="89"/>
        <v>1</v>
      </c>
      <c r="Q527" s="9">
        <f t="shared" ca="1" si="90"/>
        <v>1</v>
      </c>
      <c r="R527" s="9">
        <f t="shared" ca="1" si="91"/>
        <v>0</v>
      </c>
    </row>
    <row r="528" spans="2:18" x14ac:dyDescent="0.25">
      <c r="B528" t="s">
        <v>1827</v>
      </c>
      <c r="C528" s="39" t="s">
        <v>1828</v>
      </c>
      <c r="D528" s="7" t="e">
        <f ca="1">_xll.xlqPrice(C528)</f>
        <v>#NAME?</v>
      </c>
      <c r="E528" s="9" t="e">
        <f t="shared" ca="1" si="82"/>
        <v>#NAME?</v>
      </c>
      <c r="F528" s="9">
        <f t="shared" ca="1" si="83"/>
        <v>1</v>
      </c>
      <c r="G528" s="8">
        <f t="shared" ca="1" si="84"/>
        <v>0</v>
      </c>
      <c r="H528" s="8">
        <f t="shared" ca="1" si="85"/>
        <v>0</v>
      </c>
      <c r="I528" s="8">
        <f t="shared" ca="1" si="86"/>
        <v>0</v>
      </c>
      <c r="J528" s="6" t="e">
        <f ca="1">_xll.xlqxhSMA($C528,$L$4,$J$7,$K$3)</f>
        <v>#NAME?</v>
      </c>
      <c r="K528" s="7" t="e">
        <f ca="1">_xll.xlqhClose($C528,K$8,$K$3)</f>
        <v>#NAME?</v>
      </c>
      <c r="L528" s="7" t="e">
        <f ca="1">_xll.xlqhClose($C528,L$8,$K$3)</f>
        <v>#NAME?</v>
      </c>
      <c r="N528" s="9">
        <f t="shared" ca="1" si="87"/>
        <v>1</v>
      </c>
      <c r="O528" s="9">
        <f t="shared" ca="1" si="88"/>
        <v>1</v>
      </c>
      <c r="P528" s="9">
        <f t="shared" ca="1" si="89"/>
        <v>1</v>
      </c>
      <c r="Q528" s="9">
        <f t="shared" ca="1" si="90"/>
        <v>1</v>
      </c>
      <c r="R528" s="9">
        <f t="shared" ca="1" si="91"/>
        <v>0</v>
      </c>
    </row>
    <row r="529" spans="2:18" x14ac:dyDescent="0.25">
      <c r="B529" s="17" t="s">
        <v>232</v>
      </c>
      <c r="C529" s="18" t="s">
        <v>233</v>
      </c>
      <c r="D529" s="7" t="e">
        <f ca="1">_xll.xlqPrice(C529)</f>
        <v>#NAME?</v>
      </c>
      <c r="E529" s="9" t="e">
        <f t="shared" ca="1" si="82"/>
        <v>#NAME?</v>
      </c>
      <c r="F529" s="9">
        <f t="shared" ca="1" si="83"/>
        <v>1</v>
      </c>
      <c r="G529" s="8">
        <f t="shared" ca="1" si="84"/>
        <v>0</v>
      </c>
      <c r="H529" s="8">
        <f t="shared" ca="1" si="85"/>
        <v>0</v>
      </c>
      <c r="I529" s="8">
        <f t="shared" ca="1" si="86"/>
        <v>0</v>
      </c>
      <c r="J529" s="6" t="e">
        <f ca="1">_xll.xlqxhSMA($C529,$L$4,$J$7,$K$3)</f>
        <v>#NAME?</v>
      </c>
      <c r="K529" s="7" t="e">
        <f ca="1">_xll.xlqhClose($C529,K$8,$K$3)</f>
        <v>#NAME?</v>
      </c>
      <c r="L529" s="7" t="e">
        <f ca="1">_xll.xlqhClose($C529,L$8,$K$3)</f>
        <v>#NAME?</v>
      </c>
      <c r="N529" s="9">
        <f t="shared" ca="1" si="87"/>
        <v>1</v>
      </c>
      <c r="O529" s="9">
        <f t="shared" ca="1" si="88"/>
        <v>1</v>
      </c>
      <c r="P529" s="9">
        <f t="shared" ca="1" si="89"/>
        <v>1</v>
      </c>
      <c r="Q529" s="9">
        <f t="shared" ca="1" si="90"/>
        <v>1</v>
      </c>
      <c r="R529" s="9">
        <f t="shared" ca="1" si="91"/>
        <v>0</v>
      </c>
    </row>
    <row r="530" spans="2:18" x14ac:dyDescent="0.25">
      <c r="B530" s="17" t="s">
        <v>2325</v>
      </c>
      <c r="C530" s="18" t="s">
        <v>2326</v>
      </c>
      <c r="D530" s="7" t="e">
        <f ca="1">_xll.xlqPrice(C530)</f>
        <v>#NAME?</v>
      </c>
      <c r="E530" s="9" t="e">
        <f t="shared" ca="1" si="82"/>
        <v>#NAME?</v>
      </c>
      <c r="F530" s="9">
        <f t="shared" ca="1" si="83"/>
        <v>1</v>
      </c>
      <c r="G530" s="8">
        <f t="shared" ca="1" si="84"/>
        <v>0</v>
      </c>
      <c r="H530" s="8">
        <f t="shared" ca="1" si="85"/>
        <v>0</v>
      </c>
      <c r="I530" s="8">
        <f t="shared" ca="1" si="86"/>
        <v>0</v>
      </c>
      <c r="J530" s="6" t="e">
        <f ca="1">_xll.xlqxhSMA($C530,$L$4,$J$7,$K$3)</f>
        <v>#NAME?</v>
      </c>
      <c r="K530" s="7" t="e">
        <f ca="1">_xll.xlqhClose($C530,K$8,$K$3)</f>
        <v>#NAME?</v>
      </c>
      <c r="L530" s="7" t="e">
        <f ca="1">_xll.xlqhClose($C530,L$8,$K$3)</f>
        <v>#NAME?</v>
      </c>
      <c r="N530" s="9">
        <f t="shared" ca="1" si="87"/>
        <v>1</v>
      </c>
      <c r="O530" s="9">
        <f t="shared" ca="1" si="88"/>
        <v>1</v>
      </c>
      <c r="P530" s="9">
        <f t="shared" ca="1" si="89"/>
        <v>1</v>
      </c>
      <c r="Q530" s="9">
        <f t="shared" ca="1" si="90"/>
        <v>1</v>
      </c>
      <c r="R530" s="9">
        <f t="shared" ca="1" si="91"/>
        <v>0</v>
      </c>
    </row>
    <row r="531" spans="2:18" x14ac:dyDescent="0.25">
      <c r="B531" s="17" t="s">
        <v>2195</v>
      </c>
      <c r="C531" s="18" t="s">
        <v>2196</v>
      </c>
      <c r="D531" s="7" t="e">
        <f ca="1">_xll.xlqPrice(C531)</f>
        <v>#NAME?</v>
      </c>
      <c r="E531" s="9" t="e">
        <f t="shared" ca="1" si="82"/>
        <v>#NAME?</v>
      </c>
      <c r="F531" s="9">
        <f t="shared" ca="1" si="83"/>
        <v>1</v>
      </c>
      <c r="G531" s="8">
        <f t="shared" ca="1" si="84"/>
        <v>0</v>
      </c>
      <c r="H531" s="8">
        <f t="shared" ca="1" si="85"/>
        <v>0</v>
      </c>
      <c r="I531" s="8">
        <f t="shared" ca="1" si="86"/>
        <v>0</v>
      </c>
      <c r="J531" s="6" t="e">
        <f ca="1">_xll.xlqxhSMA($C531,$L$4,$J$7,$K$3)</f>
        <v>#NAME?</v>
      </c>
      <c r="K531" s="7" t="e">
        <f ca="1">_xll.xlqhClose($C531,K$8,$K$3)</f>
        <v>#NAME?</v>
      </c>
      <c r="L531" s="7" t="e">
        <f ca="1">_xll.xlqhClose($C531,L$8,$K$3)</f>
        <v>#NAME?</v>
      </c>
      <c r="N531" s="9">
        <f t="shared" ca="1" si="87"/>
        <v>1</v>
      </c>
      <c r="O531" s="9">
        <f t="shared" ca="1" si="88"/>
        <v>1</v>
      </c>
      <c r="P531" s="9">
        <f t="shared" ca="1" si="89"/>
        <v>1</v>
      </c>
      <c r="Q531" s="9">
        <f t="shared" ca="1" si="90"/>
        <v>1</v>
      </c>
      <c r="R531" s="9">
        <f t="shared" ca="1" si="91"/>
        <v>0</v>
      </c>
    </row>
    <row r="532" spans="2:18" x14ac:dyDescent="0.25">
      <c r="B532" s="17" t="s">
        <v>1391</v>
      </c>
      <c r="C532" s="18" t="s">
        <v>1392</v>
      </c>
      <c r="D532" s="7" t="e">
        <f ca="1">_xll.xlqPrice(C532)</f>
        <v>#NAME?</v>
      </c>
      <c r="E532" s="9" t="e">
        <f t="shared" ca="1" si="82"/>
        <v>#NAME?</v>
      </c>
      <c r="F532" s="9">
        <f t="shared" ca="1" si="83"/>
        <v>1</v>
      </c>
      <c r="G532" s="8">
        <f t="shared" ca="1" si="84"/>
        <v>0</v>
      </c>
      <c r="H532" s="8">
        <f t="shared" ca="1" si="85"/>
        <v>0</v>
      </c>
      <c r="I532" s="8">
        <f t="shared" ca="1" si="86"/>
        <v>0</v>
      </c>
      <c r="J532" s="6" t="e">
        <f ca="1">_xll.xlqxhSMA($C532,$L$4,$J$7,$K$3)</f>
        <v>#NAME?</v>
      </c>
      <c r="K532" s="7" t="e">
        <f ca="1">_xll.xlqhClose($C532,K$8,$K$3)</f>
        <v>#NAME?</v>
      </c>
      <c r="L532" s="7" t="e">
        <f ca="1">_xll.xlqhClose($C532,L$8,$K$3)</f>
        <v>#NAME?</v>
      </c>
      <c r="N532" s="9">
        <f t="shared" ca="1" si="87"/>
        <v>1</v>
      </c>
      <c r="O532" s="9">
        <f t="shared" ca="1" si="88"/>
        <v>1</v>
      </c>
      <c r="P532" s="9">
        <f t="shared" ca="1" si="89"/>
        <v>1</v>
      </c>
      <c r="Q532" s="9">
        <f t="shared" ca="1" si="90"/>
        <v>1</v>
      </c>
      <c r="R532" s="9">
        <f t="shared" ca="1" si="91"/>
        <v>0</v>
      </c>
    </row>
    <row r="533" spans="2:18" x14ac:dyDescent="0.25">
      <c r="B533" s="17" t="s">
        <v>540</v>
      </c>
      <c r="C533" s="18" t="s">
        <v>541</v>
      </c>
      <c r="D533" s="7" t="e">
        <f ca="1">_xll.xlqPrice(C533)</f>
        <v>#NAME?</v>
      </c>
      <c r="E533" s="9" t="e">
        <f t="shared" ca="1" si="82"/>
        <v>#NAME?</v>
      </c>
      <c r="F533" s="9">
        <f t="shared" ca="1" si="83"/>
        <v>1</v>
      </c>
      <c r="G533" s="8">
        <f t="shared" ca="1" si="84"/>
        <v>0</v>
      </c>
      <c r="H533" s="8">
        <f t="shared" ca="1" si="85"/>
        <v>0</v>
      </c>
      <c r="I533" s="8">
        <f t="shared" ca="1" si="86"/>
        <v>0</v>
      </c>
      <c r="J533" s="6" t="e">
        <f ca="1">_xll.xlqxhSMA($C533,$L$4,$J$7,$K$3)</f>
        <v>#NAME?</v>
      </c>
      <c r="K533" s="7" t="e">
        <f ca="1">_xll.xlqhClose($C533,K$8,$K$3)</f>
        <v>#NAME?</v>
      </c>
      <c r="L533" s="7" t="e">
        <f ca="1">_xll.xlqhClose($C533,L$8,$K$3)</f>
        <v>#NAME?</v>
      </c>
      <c r="N533" s="9">
        <f t="shared" ca="1" si="87"/>
        <v>1</v>
      </c>
      <c r="O533" s="9">
        <f t="shared" ca="1" si="88"/>
        <v>1</v>
      </c>
      <c r="P533" s="9">
        <f t="shared" ca="1" si="89"/>
        <v>1</v>
      </c>
      <c r="Q533" s="9">
        <f t="shared" ca="1" si="90"/>
        <v>1</v>
      </c>
      <c r="R533" s="9">
        <f t="shared" ca="1" si="91"/>
        <v>0</v>
      </c>
    </row>
    <row r="534" spans="2:18" x14ac:dyDescent="0.25">
      <c r="B534" s="17" t="s">
        <v>2069</v>
      </c>
      <c r="C534" s="18" t="s">
        <v>2070</v>
      </c>
      <c r="D534" s="7" t="e">
        <f ca="1">_xll.xlqPrice(C534)</f>
        <v>#NAME?</v>
      </c>
      <c r="E534" s="9" t="e">
        <f t="shared" ca="1" si="82"/>
        <v>#NAME?</v>
      </c>
      <c r="F534" s="9">
        <f t="shared" ca="1" si="83"/>
        <v>1</v>
      </c>
      <c r="G534" s="8">
        <f t="shared" ca="1" si="84"/>
        <v>0</v>
      </c>
      <c r="H534" s="8">
        <f t="shared" ca="1" si="85"/>
        <v>0</v>
      </c>
      <c r="I534" s="8">
        <f t="shared" ca="1" si="86"/>
        <v>0</v>
      </c>
      <c r="J534" s="6" t="e">
        <f ca="1">_xll.xlqxhSMA($C534,$L$4,$J$7,$K$3)</f>
        <v>#NAME?</v>
      </c>
      <c r="K534" s="7" t="e">
        <f ca="1">_xll.xlqhClose($C534,K$8,$K$3)</f>
        <v>#NAME?</v>
      </c>
      <c r="L534" s="7" t="e">
        <f ca="1">_xll.xlqhClose($C534,L$8,$K$3)</f>
        <v>#NAME?</v>
      </c>
      <c r="N534" s="9">
        <f t="shared" ca="1" si="87"/>
        <v>1</v>
      </c>
      <c r="O534" s="9">
        <f t="shared" ca="1" si="88"/>
        <v>1</v>
      </c>
      <c r="P534" s="9">
        <f t="shared" ca="1" si="89"/>
        <v>1</v>
      </c>
      <c r="Q534" s="9">
        <f t="shared" ca="1" si="90"/>
        <v>1</v>
      </c>
      <c r="R534" s="9">
        <f t="shared" ca="1" si="91"/>
        <v>0</v>
      </c>
    </row>
    <row r="535" spans="2:18" x14ac:dyDescent="0.25">
      <c r="B535" t="s">
        <v>1287</v>
      </c>
      <c r="C535" s="39" t="s">
        <v>1288</v>
      </c>
      <c r="D535" s="7" t="e">
        <f ca="1">_xll.xlqPrice(C535)</f>
        <v>#NAME?</v>
      </c>
      <c r="E535" s="9" t="e">
        <f t="shared" ca="1" si="82"/>
        <v>#NAME?</v>
      </c>
      <c r="F535" s="9">
        <f t="shared" ca="1" si="83"/>
        <v>1</v>
      </c>
      <c r="G535" s="8">
        <f t="shared" ca="1" si="84"/>
        <v>0</v>
      </c>
      <c r="H535" s="8">
        <f t="shared" ca="1" si="85"/>
        <v>0</v>
      </c>
      <c r="I535" s="8">
        <f t="shared" ca="1" si="86"/>
        <v>0</v>
      </c>
      <c r="J535" s="6" t="e">
        <f ca="1">_xll.xlqxhSMA($C535,$L$4,$J$7,$K$3)</f>
        <v>#NAME?</v>
      </c>
      <c r="K535" s="7" t="e">
        <f ca="1">_xll.xlqhClose($C535,K$8,$K$3)</f>
        <v>#NAME?</v>
      </c>
      <c r="L535" s="7" t="e">
        <f ca="1">_xll.xlqhClose($C535,L$8,$K$3)</f>
        <v>#NAME?</v>
      </c>
      <c r="N535" s="9">
        <f t="shared" ca="1" si="87"/>
        <v>1</v>
      </c>
      <c r="O535" s="9">
        <f t="shared" ca="1" si="88"/>
        <v>1</v>
      </c>
      <c r="P535" s="9">
        <f t="shared" ca="1" si="89"/>
        <v>1</v>
      </c>
      <c r="Q535" s="9">
        <f t="shared" ca="1" si="90"/>
        <v>1</v>
      </c>
      <c r="R535" s="9">
        <f t="shared" ca="1" si="91"/>
        <v>0</v>
      </c>
    </row>
    <row r="536" spans="2:18" x14ac:dyDescent="0.25">
      <c r="B536" s="17" t="s">
        <v>1907</v>
      </c>
      <c r="C536" s="18" t="s">
        <v>1908</v>
      </c>
      <c r="D536" s="7" t="e">
        <f ca="1">_xll.xlqPrice(C536)</f>
        <v>#NAME?</v>
      </c>
      <c r="E536" s="9" t="e">
        <f t="shared" ca="1" si="82"/>
        <v>#NAME?</v>
      </c>
      <c r="F536" s="9">
        <f t="shared" ca="1" si="83"/>
        <v>1</v>
      </c>
      <c r="G536" s="8">
        <f t="shared" ca="1" si="84"/>
        <v>0</v>
      </c>
      <c r="H536" s="8">
        <f t="shared" ca="1" si="85"/>
        <v>0</v>
      </c>
      <c r="I536" s="8">
        <f t="shared" ca="1" si="86"/>
        <v>0</v>
      </c>
      <c r="J536" s="6" t="e">
        <f ca="1">_xll.xlqxhSMA($C536,$L$4,$J$7,$K$3)</f>
        <v>#NAME?</v>
      </c>
      <c r="K536" s="7" t="e">
        <f ca="1">_xll.xlqhClose($C536,K$8,$K$3)</f>
        <v>#NAME?</v>
      </c>
      <c r="L536" s="7" t="e">
        <f ca="1">_xll.xlqhClose($C536,L$8,$K$3)</f>
        <v>#NAME?</v>
      </c>
      <c r="N536" s="9">
        <f t="shared" ca="1" si="87"/>
        <v>1</v>
      </c>
      <c r="O536" s="9">
        <f t="shared" ca="1" si="88"/>
        <v>1</v>
      </c>
      <c r="P536" s="9">
        <f t="shared" ca="1" si="89"/>
        <v>1</v>
      </c>
      <c r="Q536" s="9">
        <f t="shared" ca="1" si="90"/>
        <v>1</v>
      </c>
      <c r="R536" s="9">
        <f t="shared" ca="1" si="91"/>
        <v>0</v>
      </c>
    </row>
    <row r="537" spans="2:18" x14ac:dyDescent="0.25">
      <c r="B537" t="s">
        <v>1001</v>
      </c>
      <c r="C537" s="39" t="s">
        <v>1002</v>
      </c>
      <c r="D537" s="7" t="e">
        <f ca="1">_xll.xlqPrice(C537)</f>
        <v>#NAME?</v>
      </c>
      <c r="E537" s="9" t="e">
        <f t="shared" ca="1" si="82"/>
        <v>#NAME?</v>
      </c>
      <c r="F537" s="9">
        <f t="shared" ca="1" si="83"/>
        <v>1</v>
      </c>
      <c r="G537" s="8">
        <f t="shared" ca="1" si="84"/>
        <v>0</v>
      </c>
      <c r="H537" s="8">
        <f t="shared" ca="1" si="85"/>
        <v>0</v>
      </c>
      <c r="I537" s="8">
        <f t="shared" ca="1" si="86"/>
        <v>0</v>
      </c>
      <c r="J537" s="6" t="e">
        <f ca="1">_xll.xlqxhSMA($C537,$L$4,$J$7,$K$3)</f>
        <v>#NAME?</v>
      </c>
      <c r="K537" s="7" t="e">
        <f ca="1">_xll.xlqhClose($C537,K$8,$K$3)</f>
        <v>#NAME?</v>
      </c>
      <c r="L537" s="7" t="e">
        <f ca="1">_xll.xlqhClose($C537,L$8,$K$3)</f>
        <v>#NAME?</v>
      </c>
      <c r="N537" s="9">
        <f t="shared" ca="1" si="87"/>
        <v>1</v>
      </c>
      <c r="O537" s="9">
        <f t="shared" ca="1" si="88"/>
        <v>1</v>
      </c>
      <c r="P537" s="9">
        <f t="shared" ca="1" si="89"/>
        <v>1</v>
      </c>
      <c r="Q537" s="9">
        <f t="shared" ca="1" si="90"/>
        <v>1</v>
      </c>
      <c r="R537" s="9">
        <f t="shared" ca="1" si="91"/>
        <v>0</v>
      </c>
    </row>
    <row r="538" spans="2:18" x14ac:dyDescent="0.25">
      <c r="B538" s="17" t="s">
        <v>570</v>
      </c>
      <c r="C538" s="18" t="s">
        <v>571</v>
      </c>
      <c r="D538" s="7" t="e">
        <f ca="1">_xll.xlqPrice(C538)</f>
        <v>#NAME?</v>
      </c>
      <c r="E538" s="9" t="e">
        <f t="shared" ca="1" si="82"/>
        <v>#NAME?</v>
      </c>
      <c r="F538" s="9">
        <f t="shared" ca="1" si="83"/>
        <v>1</v>
      </c>
      <c r="G538" s="8">
        <f t="shared" ca="1" si="84"/>
        <v>0</v>
      </c>
      <c r="H538" s="8">
        <f t="shared" ca="1" si="85"/>
        <v>0</v>
      </c>
      <c r="I538" s="8">
        <f t="shared" ca="1" si="86"/>
        <v>0</v>
      </c>
      <c r="J538" s="6" t="e">
        <f ca="1">_xll.xlqxhSMA($C538,$L$4,$J$7,$K$3)</f>
        <v>#NAME?</v>
      </c>
      <c r="K538" s="7" t="e">
        <f ca="1">_xll.xlqhClose($C538,K$8,$K$3)</f>
        <v>#NAME?</v>
      </c>
      <c r="L538" s="7" t="e">
        <f ca="1">_xll.xlqhClose($C538,L$8,$K$3)</f>
        <v>#NAME?</v>
      </c>
      <c r="N538" s="9">
        <f t="shared" ca="1" si="87"/>
        <v>1</v>
      </c>
      <c r="O538" s="9">
        <f t="shared" ca="1" si="88"/>
        <v>1</v>
      </c>
      <c r="P538" s="9">
        <f t="shared" ca="1" si="89"/>
        <v>1</v>
      </c>
      <c r="Q538" s="9">
        <f t="shared" ca="1" si="90"/>
        <v>1</v>
      </c>
      <c r="R538" s="9">
        <f t="shared" ca="1" si="91"/>
        <v>0</v>
      </c>
    </row>
    <row r="539" spans="2:18" x14ac:dyDescent="0.25">
      <c r="B539" s="17" t="s">
        <v>808</v>
      </c>
      <c r="C539" s="18" t="s">
        <v>809</v>
      </c>
      <c r="D539" s="7" t="e">
        <f ca="1">_xll.xlqPrice(C539)</f>
        <v>#NAME?</v>
      </c>
      <c r="E539" s="9" t="e">
        <f t="shared" ca="1" si="82"/>
        <v>#NAME?</v>
      </c>
      <c r="F539" s="9">
        <f t="shared" ca="1" si="83"/>
        <v>1</v>
      </c>
      <c r="G539" s="8">
        <f t="shared" ca="1" si="84"/>
        <v>0</v>
      </c>
      <c r="H539" s="8">
        <f t="shared" ca="1" si="85"/>
        <v>0</v>
      </c>
      <c r="I539" s="8">
        <f t="shared" ca="1" si="86"/>
        <v>0</v>
      </c>
      <c r="J539" s="6" t="e">
        <f ca="1">_xll.xlqxhSMA($C539,$L$4,$J$7,$K$3)</f>
        <v>#NAME?</v>
      </c>
      <c r="K539" s="7" t="e">
        <f ca="1">_xll.xlqhClose($C539,K$8,$K$3)</f>
        <v>#NAME?</v>
      </c>
      <c r="L539" s="7" t="e">
        <f ca="1">_xll.xlqhClose($C539,L$8,$K$3)</f>
        <v>#NAME?</v>
      </c>
      <c r="N539" s="9">
        <f t="shared" ca="1" si="87"/>
        <v>1</v>
      </c>
      <c r="O539" s="9">
        <f t="shared" ca="1" si="88"/>
        <v>1</v>
      </c>
      <c r="P539" s="9">
        <f t="shared" ca="1" si="89"/>
        <v>1</v>
      </c>
      <c r="Q539" s="9">
        <f t="shared" ca="1" si="90"/>
        <v>1</v>
      </c>
      <c r="R539" s="9">
        <f t="shared" ca="1" si="91"/>
        <v>0</v>
      </c>
    </row>
    <row r="540" spans="2:18" x14ac:dyDescent="0.25">
      <c r="B540" t="s">
        <v>1275</v>
      </c>
      <c r="C540" s="39" t="s">
        <v>1276</v>
      </c>
      <c r="D540" s="7" t="e">
        <f ca="1">_xll.xlqPrice(C540)</f>
        <v>#NAME?</v>
      </c>
      <c r="E540" s="9" t="e">
        <f t="shared" ca="1" si="82"/>
        <v>#NAME?</v>
      </c>
      <c r="F540" s="9">
        <f t="shared" ca="1" si="83"/>
        <v>1</v>
      </c>
      <c r="G540" s="8">
        <f t="shared" ca="1" si="84"/>
        <v>0</v>
      </c>
      <c r="H540" s="8">
        <f t="shared" ca="1" si="85"/>
        <v>0</v>
      </c>
      <c r="I540" s="8">
        <f t="shared" ca="1" si="86"/>
        <v>0</v>
      </c>
      <c r="J540" s="6" t="e">
        <f ca="1">_xll.xlqxhSMA($C540,$L$4,$J$7,$K$3)</f>
        <v>#NAME?</v>
      </c>
      <c r="K540" s="7" t="e">
        <f ca="1">_xll.xlqhClose($C540,K$8,$K$3)</f>
        <v>#NAME?</v>
      </c>
      <c r="L540" s="7" t="e">
        <f ca="1">_xll.xlqhClose($C540,L$8,$K$3)</f>
        <v>#NAME?</v>
      </c>
      <c r="N540" s="9">
        <f t="shared" ca="1" si="87"/>
        <v>1</v>
      </c>
      <c r="O540" s="9">
        <f t="shared" ca="1" si="88"/>
        <v>1</v>
      </c>
      <c r="P540" s="9">
        <f t="shared" ca="1" si="89"/>
        <v>1</v>
      </c>
      <c r="Q540" s="9">
        <f t="shared" ca="1" si="90"/>
        <v>1</v>
      </c>
      <c r="R540" s="9">
        <f t="shared" ca="1" si="91"/>
        <v>0</v>
      </c>
    </row>
    <row r="541" spans="2:18" x14ac:dyDescent="0.25">
      <c r="B541" t="s">
        <v>1317</v>
      </c>
      <c r="C541" s="39" t="s">
        <v>1318</v>
      </c>
      <c r="D541" s="7" t="e">
        <f ca="1">_xll.xlqPrice(C541)</f>
        <v>#NAME?</v>
      </c>
      <c r="E541" s="9" t="e">
        <f t="shared" ca="1" si="82"/>
        <v>#NAME?</v>
      </c>
      <c r="F541" s="9">
        <f t="shared" ca="1" si="83"/>
        <v>1</v>
      </c>
      <c r="G541" s="8">
        <f t="shared" ca="1" si="84"/>
        <v>0</v>
      </c>
      <c r="H541" s="8">
        <f t="shared" ca="1" si="85"/>
        <v>0</v>
      </c>
      <c r="I541" s="8">
        <f t="shared" ca="1" si="86"/>
        <v>0</v>
      </c>
      <c r="J541" s="6" t="e">
        <f ca="1">_xll.xlqxhSMA($C541,$L$4,$J$7,$K$3)</f>
        <v>#NAME?</v>
      </c>
      <c r="K541" s="7" t="e">
        <f ca="1">_xll.xlqhClose($C541,K$8,$K$3)</f>
        <v>#NAME?</v>
      </c>
      <c r="L541" s="7" t="e">
        <f ca="1">_xll.xlqhClose($C541,L$8,$K$3)</f>
        <v>#NAME?</v>
      </c>
      <c r="N541" s="9">
        <f t="shared" ca="1" si="87"/>
        <v>1</v>
      </c>
      <c r="O541" s="9">
        <f t="shared" ca="1" si="88"/>
        <v>1</v>
      </c>
      <c r="P541" s="9">
        <f t="shared" ca="1" si="89"/>
        <v>1</v>
      </c>
      <c r="Q541" s="9">
        <f t="shared" ca="1" si="90"/>
        <v>1</v>
      </c>
      <c r="R541" s="9">
        <f t="shared" ca="1" si="91"/>
        <v>0</v>
      </c>
    </row>
    <row r="542" spans="2:18" x14ac:dyDescent="0.25">
      <c r="B542" s="17" t="s">
        <v>1439</v>
      </c>
      <c r="C542" s="18" t="s">
        <v>1440</v>
      </c>
      <c r="D542" s="7" t="e">
        <f ca="1">_xll.xlqPrice(C542)</f>
        <v>#NAME?</v>
      </c>
      <c r="E542" s="9" t="e">
        <f t="shared" ca="1" si="82"/>
        <v>#NAME?</v>
      </c>
      <c r="F542" s="9">
        <f t="shared" ca="1" si="83"/>
        <v>1</v>
      </c>
      <c r="G542" s="8">
        <f t="shared" ca="1" si="84"/>
        <v>0</v>
      </c>
      <c r="H542" s="8">
        <f t="shared" ca="1" si="85"/>
        <v>0</v>
      </c>
      <c r="I542" s="8">
        <f t="shared" ca="1" si="86"/>
        <v>0</v>
      </c>
      <c r="J542" s="6" t="e">
        <f ca="1">_xll.xlqxhSMA($C542,$L$4,$J$7,$K$3)</f>
        <v>#NAME?</v>
      </c>
      <c r="K542" s="7" t="e">
        <f ca="1">_xll.xlqhClose($C542,K$8,$K$3)</f>
        <v>#NAME?</v>
      </c>
      <c r="L542" s="7" t="e">
        <f ca="1">_xll.xlqhClose($C542,L$8,$K$3)</f>
        <v>#NAME?</v>
      </c>
      <c r="N542" s="9">
        <f t="shared" ca="1" si="87"/>
        <v>1</v>
      </c>
      <c r="O542" s="9">
        <f t="shared" ca="1" si="88"/>
        <v>1</v>
      </c>
      <c r="P542" s="9">
        <f t="shared" ca="1" si="89"/>
        <v>1</v>
      </c>
      <c r="Q542" s="9">
        <f t="shared" ca="1" si="90"/>
        <v>1</v>
      </c>
      <c r="R542" s="9">
        <f t="shared" ca="1" si="91"/>
        <v>0</v>
      </c>
    </row>
    <row r="543" spans="2:18" x14ac:dyDescent="0.25">
      <c r="B543" s="17" t="s">
        <v>1247</v>
      </c>
      <c r="C543" s="18" t="s">
        <v>1248</v>
      </c>
      <c r="D543" s="7" t="e">
        <f ca="1">_xll.xlqPrice(C543)</f>
        <v>#NAME?</v>
      </c>
      <c r="E543" s="9" t="e">
        <f t="shared" ca="1" si="82"/>
        <v>#NAME?</v>
      </c>
      <c r="F543" s="9">
        <f t="shared" ca="1" si="83"/>
        <v>1</v>
      </c>
      <c r="G543" s="8">
        <f t="shared" ca="1" si="84"/>
        <v>0</v>
      </c>
      <c r="H543" s="8">
        <f t="shared" ca="1" si="85"/>
        <v>0</v>
      </c>
      <c r="I543" s="8">
        <f t="shared" ca="1" si="86"/>
        <v>0</v>
      </c>
      <c r="J543" s="6" t="e">
        <f ca="1">_xll.xlqxhSMA($C543,$L$4,$J$7,$K$3)</f>
        <v>#NAME?</v>
      </c>
      <c r="K543" s="7" t="e">
        <f ca="1">_xll.xlqhClose($C543,K$8,$K$3)</f>
        <v>#NAME?</v>
      </c>
      <c r="L543" s="7" t="e">
        <f ca="1">_xll.xlqhClose($C543,L$8,$K$3)</f>
        <v>#NAME?</v>
      </c>
      <c r="N543" s="9">
        <f t="shared" ca="1" si="87"/>
        <v>1</v>
      </c>
      <c r="O543" s="9">
        <f t="shared" ca="1" si="88"/>
        <v>1</v>
      </c>
      <c r="P543" s="9">
        <f t="shared" ca="1" si="89"/>
        <v>1</v>
      </c>
      <c r="Q543" s="9">
        <f t="shared" ca="1" si="90"/>
        <v>1</v>
      </c>
      <c r="R543" s="9">
        <f t="shared" ca="1" si="91"/>
        <v>0</v>
      </c>
    </row>
    <row r="544" spans="2:18" x14ac:dyDescent="0.25">
      <c r="B544" s="17" t="s">
        <v>424</v>
      </c>
      <c r="C544" s="18" t="s">
        <v>425</v>
      </c>
      <c r="D544" s="7" t="e">
        <f ca="1">_xll.xlqPrice(C544)</f>
        <v>#NAME?</v>
      </c>
      <c r="E544" s="9" t="e">
        <f t="shared" ca="1" si="82"/>
        <v>#NAME?</v>
      </c>
      <c r="F544" s="9">
        <f t="shared" ca="1" si="83"/>
        <v>1</v>
      </c>
      <c r="G544" s="8">
        <f t="shared" ca="1" si="84"/>
        <v>0</v>
      </c>
      <c r="H544" s="8">
        <f t="shared" ca="1" si="85"/>
        <v>0</v>
      </c>
      <c r="I544" s="8">
        <f t="shared" ca="1" si="86"/>
        <v>0</v>
      </c>
      <c r="J544" s="6" t="e">
        <f ca="1">_xll.xlqxhSMA($C544,$L$4,$J$7,$K$3)</f>
        <v>#NAME?</v>
      </c>
      <c r="K544" s="7" t="e">
        <f ca="1">_xll.xlqhClose($C544,K$8,$K$3)</f>
        <v>#NAME?</v>
      </c>
      <c r="L544" s="7" t="e">
        <f ca="1">_xll.xlqhClose($C544,L$8,$K$3)</f>
        <v>#NAME?</v>
      </c>
      <c r="N544" s="9">
        <f t="shared" ca="1" si="87"/>
        <v>1</v>
      </c>
      <c r="O544" s="9">
        <f t="shared" ca="1" si="88"/>
        <v>1</v>
      </c>
      <c r="P544" s="9">
        <f t="shared" ca="1" si="89"/>
        <v>1</v>
      </c>
      <c r="Q544" s="9">
        <f t="shared" ca="1" si="90"/>
        <v>1</v>
      </c>
      <c r="R544" s="9">
        <f t="shared" ca="1" si="91"/>
        <v>0</v>
      </c>
    </row>
    <row r="545" spans="2:18" x14ac:dyDescent="0.25">
      <c r="B545" t="s">
        <v>1975</v>
      </c>
      <c r="C545" s="39" t="s">
        <v>1976</v>
      </c>
      <c r="D545" s="7" t="e">
        <f ca="1">_xll.xlqPrice(C545)</f>
        <v>#NAME?</v>
      </c>
      <c r="E545" s="9" t="e">
        <f t="shared" ca="1" si="82"/>
        <v>#NAME?</v>
      </c>
      <c r="F545" s="9">
        <f t="shared" ca="1" si="83"/>
        <v>1</v>
      </c>
      <c r="G545" s="8">
        <f t="shared" ca="1" si="84"/>
        <v>0</v>
      </c>
      <c r="H545" s="8">
        <f t="shared" ca="1" si="85"/>
        <v>0</v>
      </c>
      <c r="I545" s="8">
        <f t="shared" ca="1" si="86"/>
        <v>0</v>
      </c>
      <c r="J545" s="6" t="e">
        <f ca="1">_xll.xlqxhSMA($C545,$L$4,$J$7,$K$3)</f>
        <v>#NAME?</v>
      </c>
      <c r="K545" s="7" t="e">
        <f ca="1">_xll.xlqhClose($C545,K$8,$K$3)</f>
        <v>#NAME?</v>
      </c>
      <c r="L545" s="7" t="e">
        <f ca="1">_xll.xlqhClose($C545,L$8,$K$3)</f>
        <v>#NAME?</v>
      </c>
      <c r="N545" s="9">
        <f t="shared" ca="1" si="87"/>
        <v>1</v>
      </c>
      <c r="O545" s="9">
        <f t="shared" ca="1" si="88"/>
        <v>1</v>
      </c>
      <c r="P545" s="9">
        <f t="shared" ca="1" si="89"/>
        <v>1</v>
      </c>
      <c r="Q545" s="9">
        <f t="shared" ca="1" si="90"/>
        <v>1</v>
      </c>
      <c r="R545" s="9">
        <f t="shared" ca="1" si="91"/>
        <v>0</v>
      </c>
    </row>
    <row r="546" spans="2:18" x14ac:dyDescent="0.25">
      <c r="B546" s="17" t="s">
        <v>40</v>
      </c>
      <c r="C546" s="18" t="s">
        <v>16</v>
      </c>
      <c r="D546" s="7" t="e">
        <f ca="1">_xll.xlqPrice(C546)</f>
        <v>#NAME?</v>
      </c>
      <c r="E546" s="9" t="e">
        <f t="shared" ca="1" si="82"/>
        <v>#NAME?</v>
      </c>
      <c r="F546" s="9">
        <f t="shared" ca="1" si="83"/>
        <v>1</v>
      </c>
      <c r="G546" s="8">
        <f t="shared" ca="1" si="84"/>
        <v>0</v>
      </c>
      <c r="H546" s="8">
        <f t="shared" ca="1" si="85"/>
        <v>0</v>
      </c>
      <c r="I546" s="8">
        <f t="shared" ca="1" si="86"/>
        <v>0</v>
      </c>
      <c r="J546" s="6" t="e">
        <f ca="1">_xll.xlqxhSMA($C546,$L$4,$J$7,$K$3)</f>
        <v>#NAME?</v>
      </c>
      <c r="K546" s="7" t="e">
        <f ca="1">_xll.xlqhClose($C546,K$8,$K$3)</f>
        <v>#NAME?</v>
      </c>
      <c r="L546" s="7" t="e">
        <f ca="1">_xll.xlqhClose($C546,L$8,$K$3)</f>
        <v>#NAME?</v>
      </c>
      <c r="N546" s="9">
        <f t="shared" ca="1" si="87"/>
        <v>1</v>
      </c>
      <c r="O546" s="9">
        <f t="shared" ca="1" si="88"/>
        <v>1</v>
      </c>
      <c r="P546" s="9">
        <f t="shared" ca="1" si="89"/>
        <v>1</v>
      </c>
      <c r="Q546" s="9">
        <f t="shared" ca="1" si="90"/>
        <v>1</v>
      </c>
      <c r="R546" s="9">
        <f t="shared" ca="1" si="91"/>
        <v>0</v>
      </c>
    </row>
    <row r="547" spans="2:18" x14ac:dyDescent="0.25">
      <c r="B547" s="17" t="s">
        <v>628</v>
      </c>
      <c r="C547" s="18" t="s">
        <v>629</v>
      </c>
      <c r="D547" s="7" t="e">
        <f ca="1">_xll.xlqPrice(C547)</f>
        <v>#NAME?</v>
      </c>
      <c r="E547" s="9" t="e">
        <f t="shared" ca="1" si="82"/>
        <v>#NAME?</v>
      </c>
      <c r="F547" s="9">
        <f t="shared" ca="1" si="83"/>
        <v>1</v>
      </c>
      <c r="G547" s="8">
        <f t="shared" ca="1" si="84"/>
        <v>0</v>
      </c>
      <c r="H547" s="8">
        <f t="shared" ca="1" si="85"/>
        <v>0</v>
      </c>
      <c r="I547" s="8">
        <f t="shared" ca="1" si="86"/>
        <v>0</v>
      </c>
      <c r="J547" s="6" t="e">
        <f ca="1">_xll.xlqxhSMA($C547,$L$4,$J$7,$K$3)</f>
        <v>#NAME?</v>
      </c>
      <c r="K547" s="7" t="e">
        <f ca="1">_xll.xlqhClose($C547,K$8,$K$3)</f>
        <v>#NAME?</v>
      </c>
      <c r="L547" s="7" t="e">
        <f ca="1">_xll.xlqhClose($C547,L$8,$K$3)</f>
        <v>#NAME?</v>
      </c>
      <c r="N547" s="9">
        <f t="shared" ca="1" si="87"/>
        <v>1</v>
      </c>
      <c r="O547" s="9">
        <f t="shared" ca="1" si="88"/>
        <v>1</v>
      </c>
      <c r="P547" s="9">
        <f t="shared" ca="1" si="89"/>
        <v>1</v>
      </c>
      <c r="Q547" s="9">
        <f t="shared" ca="1" si="90"/>
        <v>1</v>
      </c>
      <c r="R547" s="9">
        <f t="shared" ca="1" si="91"/>
        <v>0</v>
      </c>
    </row>
    <row r="548" spans="2:18" x14ac:dyDescent="0.25">
      <c r="B548" t="s">
        <v>1323</v>
      </c>
      <c r="C548" s="39" t="s">
        <v>1324</v>
      </c>
      <c r="D548" s="7" t="e">
        <f ca="1">_xll.xlqPrice(C548)</f>
        <v>#NAME?</v>
      </c>
      <c r="E548" s="9" t="e">
        <f t="shared" ca="1" si="82"/>
        <v>#NAME?</v>
      </c>
      <c r="F548" s="9">
        <f t="shared" ca="1" si="83"/>
        <v>1</v>
      </c>
      <c r="G548" s="8">
        <f t="shared" ca="1" si="84"/>
        <v>0</v>
      </c>
      <c r="H548" s="8">
        <f t="shared" ca="1" si="85"/>
        <v>0</v>
      </c>
      <c r="I548" s="8">
        <f t="shared" ca="1" si="86"/>
        <v>0</v>
      </c>
      <c r="J548" s="6" t="e">
        <f ca="1">_xll.xlqxhSMA($C548,$L$4,$J$7,$K$3)</f>
        <v>#NAME?</v>
      </c>
      <c r="K548" s="7" t="e">
        <f ca="1">_xll.xlqhClose($C548,K$8,$K$3)</f>
        <v>#NAME?</v>
      </c>
      <c r="L548" s="7" t="e">
        <f ca="1">_xll.xlqhClose($C548,L$8,$K$3)</f>
        <v>#NAME?</v>
      </c>
      <c r="N548" s="9">
        <f t="shared" ca="1" si="87"/>
        <v>1</v>
      </c>
      <c r="O548" s="9">
        <f t="shared" ca="1" si="88"/>
        <v>1</v>
      </c>
      <c r="P548" s="9">
        <f t="shared" ca="1" si="89"/>
        <v>1</v>
      </c>
      <c r="Q548" s="9">
        <f t="shared" ca="1" si="90"/>
        <v>1</v>
      </c>
      <c r="R548" s="9">
        <f t="shared" ca="1" si="91"/>
        <v>0</v>
      </c>
    </row>
    <row r="549" spans="2:18" x14ac:dyDescent="0.25">
      <c r="B549" s="17" t="s">
        <v>1327</v>
      </c>
      <c r="C549" s="18" t="s">
        <v>1328</v>
      </c>
      <c r="D549" s="7" t="e">
        <f ca="1">_xll.xlqPrice(C549)</f>
        <v>#NAME?</v>
      </c>
      <c r="E549" s="9" t="e">
        <f t="shared" ca="1" si="82"/>
        <v>#NAME?</v>
      </c>
      <c r="F549" s="9">
        <f t="shared" ca="1" si="83"/>
        <v>1</v>
      </c>
      <c r="G549" s="8">
        <f t="shared" ca="1" si="84"/>
        <v>0</v>
      </c>
      <c r="H549" s="8">
        <f t="shared" ca="1" si="85"/>
        <v>0</v>
      </c>
      <c r="I549" s="8">
        <f t="shared" ca="1" si="86"/>
        <v>0</v>
      </c>
      <c r="J549" s="6" t="e">
        <f ca="1">_xll.xlqxhSMA($C549,$L$4,$J$7,$K$3)</f>
        <v>#NAME?</v>
      </c>
      <c r="K549" s="7" t="e">
        <f ca="1">_xll.xlqhClose($C549,K$8,$K$3)</f>
        <v>#NAME?</v>
      </c>
      <c r="L549" s="7" t="e">
        <f ca="1">_xll.xlqhClose($C549,L$8,$K$3)</f>
        <v>#NAME?</v>
      </c>
      <c r="N549" s="9">
        <f t="shared" ca="1" si="87"/>
        <v>1</v>
      </c>
      <c r="O549" s="9">
        <f t="shared" ca="1" si="88"/>
        <v>1</v>
      </c>
      <c r="P549" s="9">
        <f t="shared" ca="1" si="89"/>
        <v>1</v>
      </c>
      <c r="Q549" s="9">
        <f t="shared" ca="1" si="90"/>
        <v>1</v>
      </c>
      <c r="R549" s="9">
        <f t="shared" ca="1" si="91"/>
        <v>0</v>
      </c>
    </row>
    <row r="550" spans="2:18" x14ac:dyDescent="0.25">
      <c r="B550" s="17" t="s">
        <v>578</v>
      </c>
      <c r="C550" s="18" t="s">
        <v>579</v>
      </c>
      <c r="D550" s="7" t="e">
        <f ca="1">_xll.xlqPrice(C550)</f>
        <v>#NAME?</v>
      </c>
      <c r="E550" s="9" t="e">
        <f t="shared" ca="1" si="82"/>
        <v>#NAME?</v>
      </c>
      <c r="F550" s="9">
        <f t="shared" ca="1" si="83"/>
        <v>1</v>
      </c>
      <c r="G550" s="8">
        <f t="shared" ca="1" si="84"/>
        <v>0</v>
      </c>
      <c r="H550" s="8">
        <f t="shared" ca="1" si="85"/>
        <v>0</v>
      </c>
      <c r="I550" s="8">
        <f t="shared" ca="1" si="86"/>
        <v>0</v>
      </c>
      <c r="J550" s="6" t="e">
        <f ca="1">_xll.xlqxhSMA($C550,$L$4,$J$7,$K$3)</f>
        <v>#NAME?</v>
      </c>
      <c r="K550" s="7" t="e">
        <f ca="1">_xll.xlqhClose($C550,K$8,$K$3)</f>
        <v>#NAME?</v>
      </c>
      <c r="L550" s="7" t="e">
        <f ca="1">_xll.xlqhClose($C550,L$8,$K$3)</f>
        <v>#NAME?</v>
      </c>
      <c r="N550" s="9">
        <f t="shared" ca="1" si="87"/>
        <v>1</v>
      </c>
      <c r="O550" s="9">
        <f t="shared" ca="1" si="88"/>
        <v>1</v>
      </c>
      <c r="P550" s="9">
        <f t="shared" ca="1" si="89"/>
        <v>1</v>
      </c>
      <c r="Q550" s="9">
        <f t="shared" ca="1" si="90"/>
        <v>1</v>
      </c>
      <c r="R550" s="9">
        <f t="shared" ca="1" si="91"/>
        <v>0</v>
      </c>
    </row>
    <row r="551" spans="2:18" x14ac:dyDescent="0.25">
      <c r="B551" s="17" t="s">
        <v>172</v>
      </c>
      <c r="C551" s="18" t="s">
        <v>173</v>
      </c>
      <c r="D551" s="7" t="e">
        <f ca="1">_xll.xlqPrice(C551)</f>
        <v>#NAME?</v>
      </c>
      <c r="E551" s="9" t="e">
        <f t="shared" ca="1" si="82"/>
        <v>#NAME?</v>
      </c>
      <c r="F551" s="9">
        <f t="shared" ca="1" si="83"/>
        <v>1</v>
      </c>
      <c r="G551" s="8">
        <f t="shared" ca="1" si="84"/>
        <v>0</v>
      </c>
      <c r="H551" s="8">
        <f t="shared" ca="1" si="85"/>
        <v>0</v>
      </c>
      <c r="I551" s="8">
        <f t="shared" ca="1" si="86"/>
        <v>0</v>
      </c>
      <c r="J551" s="6" t="e">
        <f ca="1">_xll.xlqxhSMA($C551,$L$4,$J$7,$K$3)</f>
        <v>#NAME?</v>
      </c>
      <c r="K551" s="7" t="e">
        <f ca="1">_xll.xlqhClose($C551,K$8,$K$3)</f>
        <v>#NAME?</v>
      </c>
      <c r="L551" s="7" t="e">
        <f ca="1">_xll.xlqhClose($C551,L$8,$K$3)</f>
        <v>#NAME?</v>
      </c>
      <c r="N551" s="9">
        <f t="shared" ca="1" si="87"/>
        <v>1</v>
      </c>
      <c r="O551" s="9">
        <f t="shared" ca="1" si="88"/>
        <v>1</v>
      </c>
      <c r="P551" s="9">
        <f t="shared" ca="1" si="89"/>
        <v>1</v>
      </c>
      <c r="Q551" s="9">
        <f t="shared" ca="1" si="90"/>
        <v>1</v>
      </c>
      <c r="R551" s="9">
        <f t="shared" ca="1" si="91"/>
        <v>0</v>
      </c>
    </row>
    <row r="552" spans="2:18" x14ac:dyDescent="0.25">
      <c r="B552" s="17" t="s">
        <v>334</v>
      </c>
      <c r="C552" s="18" t="s">
        <v>335</v>
      </c>
      <c r="D552" s="7" t="e">
        <f ca="1">_xll.xlqPrice(C552)</f>
        <v>#NAME?</v>
      </c>
      <c r="E552" s="9" t="e">
        <f t="shared" ca="1" si="82"/>
        <v>#NAME?</v>
      </c>
      <c r="F552" s="9">
        <f t="shared" ca="1" si="83"/>
        <v>1</v>
      </c>
      <c r="G552" s="8">
        <f t="shared" ca="1" si="84"/>
        <v>0</v>
      </c>
      <c r="H552" s="8">
        <f t="shared" ca="1" si="85"/>
        <v>0</v>
      </c>
      <c r="I552" s="8">
        <f t="shared" ca="1" si="86"/>
        <v>0</v>
      </c>
      <c r="J552" s="6" t="e">
        <f ca="1">_xll.xlqxhSMA($C552,$L$4,$J$7,$K$3)</f>
        <v>#NAME?</v>
      </c>
      <c r="K552" s="7" t="e">
        <f ca="1">_xll.xlqhClose($C552,K$8,$K$3)</f>
        <v>#NAME?</v>
      </c>
      <c r="L552" s="7" t="e">
        <f ca="1">_xll.xlqhClose($C552,L$8,$K$3)</f>
        <v>#NAME?</v>
      </c>
      <c r="N552" s="9">
        <f t="shared" ca="1" si="87"/>
        <v>1</v>
      </c>
      <c r="O552" s="9">
        <f t="shared" ca="1" si="88"/>
        <v>1</v>
      </c>
      <c r="P552" s="9">
        <f t="shared" ca="1" si="89"/>
        <v>1</v>
      </c>
      <c r="Q552" s="9">
        <f t="shared" ca="1" si="90"/>
        <v>1</v>
      </c>
      <c r="R552" s="9">
        <f t="shared" ca="1" si="91"/>
        <v>0</v>
      </c>
    </row>
    <row r="553" spans="2:18" x14ac:dyDescent="0.25">
      <c r="B553" s="17" t="s">
        <v>1149</v>
      </c>
      <c r="C553" s="18" t="s">
        <v>1150</v>
      </c>
      <c r="D553" s="7" t="e">
        <f ca="1">_xll.xlqPrice(C553)</f>
        <v>#NAME?</v>
      </c>
      <c r="E553" s="9" t="e">
        <f t="shared" ca="1" si="82"/>
        <v>#NAME?</v>
      </c>
      <c r="F553" s="9">
        <f t="shared" ca="1" si="83"/>
        <v>1</v>
      </c>
      <c r="G553" s="8">
        <f t="shared" ca="1" si="84"/>
        <v>0</v>
      </c>
      <c r="H553" s="8">
        <f t="shared" ca="1" si="85"/>
        <v>0</v>
      </c>
      <c r="I553" s="8">
        <f t="shared" ca="1" si="86"/>
        <v>0</v>
      </c>
      <c r="J553" s="6" t="e">
        <f ca="1">_xll.xlqxhSMA($C553,$L$4,$J$7,$K$3)</f>
        <v>#NAME?</v>
      </c>
      <c r="K553" s="7" t="e">
        <f ca="1">_xll.xlqhClose($C553,K$8,$K$3)</f>
        <v>#NAME?</v>
      </c>
      <c r="L553" s="7" t="e">
        <f ca="1">_xll.xlqhClose($C553,L$8,$K$3)</f>
        <v>#NAME?</v>
      </c>
      <c r="N553" s="9">
        <f t="shared" ca="1" si="87"/>
        <v>1</v>
      </c>
      <c r="O553" s="9">
        <f t="shared" ca="1" si="88"/>
        <v>1</v>
      </c>
      <c r="P553" s="9">
        <f t="shared" ca="1" si="89"/>
        <v>1</v>
      </c>
      <c r="Q553" s="9">
        <f t="shared" ca="1" si="90"/>
        <v>1</v>
      </c>
      <c r="R553" s="9">
        <f t="shared" ca="1" si="91"/>
        <v>0</v>
      </c>
    </row>
    <row r="554" spans="2:18" x14ac:dyDescent="0.25">
      <c r="B554" s="17" t="s">
        <v>2263</v>
      </c>
      <c r="C554" s="18" t="s">
        <v>2264</v>
      </c>
      <c r="D554" s="7" t="e">
        <f ca="1">_xll.xlqPrice(C554)</f>
        <v>#NAME?</v>
      </c>
      <c r="E554" s="9" t="e">
        <f t="shared" ca="1" si="82"/>
        <v>#NAME?</v>
      </c>
      <c r="F554" s="9">
        <f t="shared" ca="1" si="83"/>
        <v>1</v>
      </c>
      <c r="G554" s="8">
        <f t="shared" ca="1" si="84"/>
        <v>0</v>
      </c>
      <c r="H554" s="8">
        <f t="shared" ca="1" si="85"/>
        <v>0</v>
      </c>
      <c r="I554" s="8">
        <f t="shared" ca="1" si="86"/>
        <v>0</v>
      </c>
      <c r="J554" s="6" t="e">
        <f ca="1">_xll.xlqxhSMA($C554,$L$4,$J$7,$K$3)</f>
        <v>#NAME?</v>
      </c>
      <c r="K554" s="7" t="e">
        <f ca="1">_xll.xlqhClose($C554,K$8,$K$3)</f>
        <v>#NAME?</v>
      </c>
      <c r="L554" s="7" t="e">
        <f ca="1">_xll.xlqhClose($C554,L$8,$K$3)</f>
        <v>#NAME?</v>
      </c>
      <c r="N554" s="9">
        <f t="shared" ca="1" si="87"/>
        <v>1</v>
      </c>
      <c r="O554" s="9">
        <f t="shared" ca="1" si="88"/>
        <v>1</v>
      </c>
      <c r="P554" s="9">
        <f t="shared" ca="1" si="89"/>
        <v>1</v>
      </c>
      <c r="Q554" s="9">
        <f t="shared" ca="1" si="90"/>
        <v>1</v>
      </c>
      <c r="R554" s="9">
        <f t="shared" ca="1" si="91"/>
        <v>0</v>
      </c>
    </row>
    <row r="555" spans="2:18" x14ac:dyDescent="0.25">
      <c r="B555" s="17" t="s">
        <v>1825</v>
      </c>
      <c r="C555" s="18" t="s">
        <v>1826</v>
      </c>
      <c r="D555" s="7" t="e">
        <f ca="1">_xll.xlqPrice(C555)</f>
        <v>#NAME?</v>
      </c>
      <c r="E555" s="9" t="e">
        <f t="shared" ca="1" si="82"/>
        <v>#NAME?</v>
      </c>
      <c r="F555" s="9">
        <f t="shared" ca="1" si="83"/>
        <v>1</v>
      </c>
      <c r="G555" s="8">
        <f t="shared" ca="1" si="84"/>
        <v>0</v>
      </c>
      <c r="H555" s="8">
        <f t="shared" ca="1" si="85"/>
        <v>0</v>
      </c>
      <c r="I555" s="8">
        <f t="shared" ca="1" si="86"/>
        <v>0</v>
      </c>
      <c r="J555" s="6" t="e">
        <f ca="1">_xll.xlqxhSMA($C555,$L$4,$J$7,$K$3)</f>
        <v>#NAME?</v>
      </c>
      <c r="K555" s="7" t="e">
        <f ca="1">_xll.xlqhClose($C555,K$8,$K$3)</f>
        <v>#NAME?</v>
      </c>
      <c r="L555" s="7" t="e">
        <f ca="1">_xll.xlqhClose($C555,L$8,$K$3)</f>
        <v>#NAME?</v>
      </c>
      <c r="N555" s="9">
        <f t="shared" ca="1" si="87"/>
        <v>1</v>
      </c>
      <c r="O555" s="9">
        <f t="shared" ca="1" si="88"/>
        <v>1</v>
      </c>
      <c r="P555" s="9">
        <f t="shared" ca="1" si="89"/>
        <v>1</v>
      </c>
      <c r="Q555" s="9">
        <f t="shared" ca="1" si="90"/>
        <v>1</v>
      </c>
      <c r="R555" s="9">
        <f t="shared" ca="1" si="91"/>
        <v>0</v>
      </c>
    </row>
    <row r="556" spans="2:18" x14ac:dyDescent="0.25">
      <c r="B556" s="17" t="s">
        <v>1491</v>
      </c>
      <c r="C556" s="18" t="s">
        <v>1492</v>
      </c>
      <c r="D556" s="7" t="e">
        <f ca="1">_xll.xlqPrice(C556)</f>
        <v>#NAME?</v>
      </c>
      <c r="E556" s="9" t="e">
        <f t="shared" ca="1" si="82"/>
        <v>#NAME?</v>
      </c>
      <c r="F556" s="9">
        <f t="shared" ca="1" si="83"/>
        <v>1</v>
      </c>
      <c r="G556" s="8">
        <f t="shared" ca="1" si="84"/>
        <v>0</v>
      </c>
      <c r="H556" s="8">
        <f t="shared" ca="1" si="85"/>
        <v>0</v>
      </c>
      <c r="I556" s="8">
        <f t="shared" ca="1" si="86"/>
        <v>0</v>
      </c>
      <c r="J556" s="6" t="e">
        <f ca="1">_xll.xlqxhSMA($C556,$L$4,$J$7,$K$3)</f>
        <v>#NAME?</v>
      </c>
      <c r="K556" s="7" t="e">
        <f ca="1">_xll.xlqhClose($C556,K$8,$K$3)</f>
        <v>#NAME?</v>
      </c>
      <c r="L556" s="7" t="e">
        <f ca="1">_xll.xlqhClose($C556,L$8,$K$3)</f>
        <v>#NAME?</v>
      </c>
      <c r="N556" s="9">
        <f t="shared" ca="1" si="87"/>
        <v>1</v>
      </c>
      <c r="O556" s="9">
        <f t="shared" ca="1" si="88"/>
        <v>1</v>
      </c>
      <c r="P556" s="9">
        <f t="shared" ca="1" si="89"/>
        <v>1</v>
      </c>
      <c r="Q556" s="9">
        <f t="shared" ca="1" si="90"/>
        <v>1</v>
      </c>
      <c r="R556" s="9">
        <f t="shared" ca="1" si="91"/>
        <v>0</v>
      </c>
    </row>
    <row r="557" spans="2:18" x14ac:dyDescent="0.25">
      <c r="B557" s="17" t="s">
        <v>2159</v>
      </c>
      <c r="C557" s="18" t="s">
        <v>2160</v>
      </c>
      <c r="D557" s="7" t="e">
        <f ca="1">_xll.xlqPrice(C557)</f>
        <v>#NAME?</v>
      </c>
      <c r="E557" s="9" t="e">
        <f t="shared" ca="1" si="82"/>
        <v>#NAME?</v>
      </c>
      <c r="F557" s="9">
        <f t="shared" ca="1" si="83"/>
        <v>1</v>
      </c>
      <c r="G557" s="8">
        <f t="shared" ca="1" si="84"/>
        <v>0</v>
      </c>
      <c r="H557" s="8">
        <f t="shared" ca="1" si="85"/>
        <v>0</v>
      </c>
      <c r="I557" s="8">
        <f t="shared" ca="1" si="86"/>
        <v>0</v>
      </c>
      <c r="J557" s="6" t="e">
        <f ca="1">_xll.xlqxhSMA($C557,$L$4,$J$7,$K$3)</f>
        <v>#NAME?</v>
      </c>
      <c r="K557" s="7" t="e">
        <f ca="1">_xll.xlqhClose($C557,K$8,$K$3)</f>
        <v>#NAME?</v>
      </c>
      <c r="L557" s="7" t="e">
        <f ca="1">_xll.xlqhClose($C557,L$8,$K$3)</f>
        <v>#NAME?</v>
      </c>
      <c r="N557" s="9">
        <f t="shared" ca="1" si="87"/>
        <v>1</v>
      </c>
      <c r="O557" s="9">
        <f t="shared" ca="1" si="88"/>
        <v>1</v>
      </c>
      <c r="P557" s="9">
        <f t="shared" ca="1" si="89"/>
        <v>1</v>
      </c>
      <c r="Q557" s="9">
        <f t="shared" ca="1" si="90"/>
        <v>1</v>
      </c>
      <c r="R557" s="9">
        <f t="shared" ca="1" si="91"/>
        <v>0</v>
      </c>
    </row>
    <row r="558" spans="2:18" x14ac:dyDescent="0.25">
      <c r="B558" t="s">
        <v>286</v>
      </c>
      <c r="C558" s="39" t="s">
        <v>287</v>
      </c>
      <c r="D558" s="7" t="e">
        <f ca="1">_xll.xlqPrice(C558)</f>
        <v>#NAME?</v>
      </c>
      <c r="E558" s="9" t="e">
        <f t="shared" ca="1" si="82"/>
        <v>#NAME?</v>
      </c>
      <c r="F558" s="9">
        <f t="shared" ca="1" si="83"/>
        <v>1</v>
      </c>
      <c r="G558" s="8">
        <f t="shared" ca="1" si="84"/>
        <v>0</v>
      </c>
      <c r="H558" s="8">
        <f t="shared" ca="1" si="85"/>
        <v>0</v>
      </c>
      <c r="I558" s="8">
        <f t="shared" ca="1" si="86"/>
        <v>0</v>
      </c>
      <c r="J558" s="6" t="e">
        <f ca="1">_xll.xlqxhSMA($C558,$L$4,$J$7,$K$3)</f>
        <v>#NAME?</v>
      </c>
      <c r="K558" s="7" t="e">
        <f ca="1">_xll.xlqhClose($C558,K$8,$K$3)</f>
        <v>#NAME?</v>
      </c>
      <c r="L558" s="7" t="e">
        <f ca="1">_xll.xlqhClose($C558,L$8,$K$3)</f>
        <v>#NAME?</v>
      </c>
      <c r="N558" s="9">
        <f t="shared" ca="1" si="87"/>
        <v>1</v>
      </c>
      <c r="O558" s="9">
        <f t="shared" ca="1" si="88"/>
        <v>1</v>
      </c>
      <c r="P558" s="9">
        <f t="shared" ca="1" si="89"/>
        <v>1</v>
      </c>
      <c r="Q558" s="9">
        <f t="shared" ca="1" si="90"/>
        <v>1</v>
      </c>
      <c r="R558" s="9">
        <f t="shared" ca="1" si="91"/>
        <v>0</v>
      </c>
    </row>
    <row r="559" spans="2:18" x14ac:dyDescent="0.25">
      <c r="B559" s="17" t="s">
        <v>214</v>
      </c>
      <c r="C559" s="18" t="s">
        <v>215</v>
      </c>
      <c r="D559" s="7" t="e">
        <f ca="1">_xll.xlqPrice(C559)</f>
        <v>#NAME?</v>
      </c>
      <c r="E559" s="9" t="e">
        <f t="shared" ca="1" si="82"/>
        <v>#NAME?</v>
      </c>
      <c r="F559" s="9">
        <f t="shared" ca="1" si="83"/>
        <v>1</v>
      </c>
      <c r="G559" s="8">
        <f t="shared" ca="1" si="84"/>
        <v>0</v>
      </c>
      <c r="H559" s="8">
        <f t="shared" ca="1" si="85"/>
        <v>0</v>
      </c>
      <c r="I559" s="8">
        <f t="shared" ca="1" si="86"/>
        <v>0</v>
      </c>
      <c r="J559" s="6" t="e">
        <f ca="1">_xll.xlqxhSMA($C559,$L$4,$J$7,$K$3)</f>
        <v>#NAME?</v>
      </c>
      <c r="K559" s="7" t="e">
        <f ca="1">_xll.xlqhClose($C559,K$8,$K$3)</f>
        <v>#NAME?</v>
      </c>
      <c r="L559" s="7" t="e">
        <f ca="1">_xll.xlqhClose($C559,L$8,$K$3)</f>
        <v>#NAME?</v>
      </c>
      <c r="N559" s="9">
        <f t="shared" ca="1" si="87"/>
        <v>1</v>
      </c>
      <c r="O559" s="9">
        <f t="shared" ca="1" si="88"/>
        <v>1</v>
      </c>
      <c r="P559" s="9">
        <f t="shared" ca="1" si="89"/>
        <v>1</v>
      </c>
      <c r="Q559" s="9">
        <f t="shared" ca="1" si="90"/>
        <v>1</v>
      </c>
      <c r="R559" s="9">
        <f t="shared" ca="1" si="91"/>
        <v>0</v>
      </c>
    </row>
    <row r="560" spans="2:18" x14ac:dyDescent="0.25">
      <c r="B560" s="17" t="s">
        <v>1249</v>
      </c>
      <c r="C560" s="18" t="s">
        <v>1250</v>
      </c>
      <c r="D560" s="7" t="e">
        <f ca="1">_xll.xlqPrice(C560)</f>
        <v>#NAME?</v>
      </c>
      <c r="E560" s="9" t="e">
        <f t="shared" ca="1" si="82"/>
        <v>#NAME?</v>
      </c>
      <c r="F560" s="9">
        <f t="shared" ca="1" si="83"/>
        <v>1</v>
      </c>
      <c r="G560" s="8">
        <f t="shared" ca="1" si="84"/>
        <v>0</v>
      </c>
      <c r="H560" s="8">
        <f t="shared" ca="1" si="85"/>
        <v>0</v>
      </c>
      <c r="I560" s="8">
        <f t="shared" ca="1" si="86"/>
        <v>0</v>
      </c>
      <c r="J560" s="6" t="e">
        <f ca="1">_xll.xlqxhSMA($C560,$L$4,$J$7,$K$3)</f>
        <v>#NAME?</v>
      </c>
      <c r="K560" s="7" t="e">
        <f ca="1">_xll.xlqhClose($C560,K$8,$K$3)</f>
        <v>#NAME?</v>
      </c>
      <c r="L560" s="7" t="e">
        <f ca="1">_xll.xlqhClose($C560,L$8,$K$3)</f>
        <v>#NAME?</v>
      </c>
      <c r="N560" s="9">
        <f t="shared" ca="1" si="87"/>
        <v>1</v>
      </c>
      <c r="O560" s="9">
        <f t="shared" ca="1" si="88"/>
        <v>1</v>
      </c>
      <c r="P560" s="9">
        <f t="shared" ca="1" si="89"/>
        <v>1</v>
      </c>
      <c r="Q560" s="9">
        <f t="shared" ca="1" si="90"/>
        <v>1</v>
      </c>
      <c r="R560" s="9">
        <f t="shared" ca="1" si="91"/>
        <v>0</v>
      </c>
    </row>
    <row r="561" spans="2:18" x14ac:dyDescent="0.25">
      <c r="B561" s="17" t="s">
        <v>1799</v>
      </c>
      <c r="C561" s="18" t="s">
        <v>1800</v>
      </c>
      <c r="D561" s="7" t="e">
        <f ca="1">_xll.xlqPrice(C561)</f>
        <v>#NAME?</v>
      </c>
      <c r="E561" s="9" t="e">
        <f t="shared" ca="1" si="82"/>
        <v>#NAME?</v>
      </c>
      <c r="F561" s="9">
        <f t="shared" ca="1" si="83"/>
        <v>1</v>
      </c>
      <c r="G561" s="8">
        <f t="shared" ca="1" si="84"/>
        <v>0</v>
      </c>
      <c r="H561" s="8">
        <f t="shared" ca="1" si="85"/>
        <v>0</v>
      </c>
      <c r="I561" s="8">
        <f t="shared" ca="1" si="86"/>
        <v>0</v>
      </c>
      <c r="J561" s="6" t="e">
        <f ca="1">_xll.xlqxhSMA($C561,$L$4,$J$7,$K$3)</f>
        <v>#NAME?</v>
      </c>
      <c r="K561" s="7" t="e">
        <f ca="1">_xll.xlqhClose($C561,K$8,$K$3)</f>
        <v>#NAME?</v>
      </c>
      <c r="L561" s="7" t="e">
        <f ca="1">_xll.xlqhClose($C561,L$8,$K$3)</f>
        <v>#NAME?</v>
      </c>
      <c r="N561" s="9">
        <f t="shared" ca="1" si="87"/>
        <v>1</v>
      </c>
      <c r="O561" s="9">
        <f t="shared" ca="1" si="88"/>
        <v>1</v>
      </c>
      <c r="P561" s="9">
        <f t="shared" ca="1" si="89"/>
        <v>1</v>
      </c>
      <c r="Q561" s="9">
        <f t="shared" ca="1" si="90"/>
        <v>1</v>
      </c>
      <c r="R561" s="9">
        <f t="shared" ca="1" si="91"/>
        <v>0</v>
      </c>
    </row>
    <row r="562" spans="2:18" x14ac:dyDescent="0.25">
      <c r="B562" s="17" t="s">
        <v>1597</v>
      </c>
      <c r="C562" s="18" t="s">
        <v>1598</v>
      </c>
      <c r="D562" s="7" t="e">
        <f ca="1">_xll.xlqPrice(C562)</f>
        <v>#NAME?</v>
      </c>
      <c r="E562" s="9" t="e">
        <f t="shared" ca="1" si="82"/>
        <v>#NAME?</v>
      </c>
      <c r="F562" s="9">
        <f t="shared" ca="1" si="83"/>
        <v>1</v>
      </c>
      <c r="G562" s="8">
        <f t="shared" ca="1" si="84"/>
        <v>0</v>
      </c>
      <c r="H562" s="8">
        <f t="shared" ca="1" si="85"/>
        <v>0</v>
      </c>
      <c r="I562" s="8">
        <f t="shared" ca="1" si="86"/>
        <v>0</v>
      </c>
      <c r="J562" s="6" t="e">
        <f ca="1">_xll.xlqxhSMA($C562,$L$4,$J$7,$K$3)</f>
        <v>#NAME?</v>
      </c>
      <c r="K562" s="7" t="e">
        <f ca="1">_xll.xlqhClose($C562,K$8,$K$3)</f>
        <v>#NAME?</v>
      </c>
      <c r="L562" s="7" t="e">
        <f ca="1">_xll.xlqhClose($C562,L$8,$K$3)</f>
        <v>#NAME?</v>
      </c>
      <c r="N562" s="9">
        <f t="shared" ca="1" si="87"/>
        <v>1</v>
      </c>
      <c r="O562" s="9">
        <f t="shared" ca="1" si="88"/>
        <v>1</v>
      </c>
      <c r="P562" s="9">
        <f t="shared" ca="1" si="89"/>
        <v>1</v>
      </c>
      <c r="Q562" s="9">
        <f t="shared" ca="1" si="90"/>
        <v>1</v>
      </c>
      <c r="R562" s="9">
        <f t="shared" ca="1" si="91"/>
        <v>0</v>
      </c>
    </row>
    <row r="563" spans="2:18" x14ac:dyDescent="0.25">
      <c r="B563" s="17" t="s">
        <v>626</v>
      </c>
      <c r="C563" s="18" t="s">
        <v>627</v>
      </c>
      <c r="D563" s="7" t="e">
        <f ca="1">_xll.xlqPrice(C563)</f>
        <v>#NAME?</v>
      </c>
      <c r="E563" s="9" t="e">
        <f t="shared" ca="1" si="82"/>
        <v>#NAME?</v>
      </c>
      <c r="F563" s="9">
        <f t="shared" ca="1" si="83"/>
        <v>1</v>
      </c>
      <c r="G563" s="8">
        <f t="shared" ca="1" si="84"/>
        <v>0</v>
      </c>
      <c r="H563" s="8">
        <f t="shared" ca="1" si="85"/>
        <v>0</v>
      </c>
      <c r="I563" s="8">
        <f t="shared" ca="1" si="86"/>
        <v>0</v>
      </c>
      <c r="J563" s="6" t="e">
        <f ca="1">_xll.xlqxhSMA($C563,$L$4,$J$7,$K$3)</f>
        <v>#NAME?</v>
      </c>
      <c r="K563" s="7" t="e">
        <f ca="1">_xll.xlqhClose($C563,K$8,$K$3)</f>
        <v>#NAME?</v>
      </c>
      <c r="L563" s="7" t="e">
        <f ca="1">_xll.xlqhClose($C563,L$8,$K$3)</f>
        <v>#NAME?</v>
      </c>
      <c r="N563" s="9">
        <f t="shared" ca="1" si="87"/>
        <v>1</v>
      </c>
      <c r="O563" s="9">
        <f t="shared" ca="1" si="88"/>
        <v>1</v>
      </c>
      <c r="P563" s="9">
        <f t="shared" ca="1" si="89"/>
        <v>1</v>
      </c>
      <c r="Q563" s="9">
        <f t="shared" ca="1" si="90"/>
        <v>1</v>
      </c>
      <c r="R563" s="9">
        <f t="shared" ca="1" si="91"/>
        <v>0</v>
      </c>
    </row>
    <row r="564" spans="2:18" x14ac:dyDescent="0.25">
      <c r="B564" s="17" t="s">
        <v>2201</v>
      </c>
      <c r="C564" s="18" t="s">
        <v>2202</v>
      </c>
      <c r="D564" s="7" t="e">
        <f ca="1">_xll.xlqPrice(C564)</f>
        <v>#NAME?</v>
      </c>
      <c r="E564" s="9" t="e">
        <f t="shared" ca="1" si="82"/>
        <v>#NAME?</v>
      </c>
      <c r="F564" s="9">
        <f t="shared" ca="1" si="83"/>
        <v>1</v>
      </c>
      <c r="G564" s="8">
        <f t="shared" ca="1" si="84"/>
        <v>0</v>
      </c>
      <c r="H564" s="8">
        <f t="shared" ca="1" si="85"/>
        <v>0</v>
      </c>
      <c r="I564" s="8">
        <f t="shared" ca="1" si="86"/>
        <v>0</v>
      </c>
      <c r="J564" s="6" t="e">
        <f ca="1">_xll.xlqxhSMA($C564,$L$4,$J$7,$K$3)</f>
        <v>#NAME?</v>
      </c>
      <c r="K564" s="7" t="e">
        <f ca="1">_xll.xlqhClose($C564,K$8,$K$3)</f>
        <v>#NAME?</v>
      </c>
      <c r="L564" s="7" t="e">
        <f ca="1">_xll.xlqhClose($C564,L$8,$K$3)</f>
        <v>#NAME?</v>
      </c>
      <c r="N564" s="9">
        <f t="shared" ca="1" si="87"/>
        <v>1</v>
      </c>
      <c r="O564" s="9">
        <f t="shared" ca="1" si="88"/>
        <v>1</v>
      </c>
      <c r="P564" s="9">
        <f t="shared" ca="1" si="89"/>
        <v>1</v>
      </c>
      <c r="Q564" s="9">
        <f t="shared" ca="1" si="90"/>
        <v>1</v>
      </c>
      <c r="R564" s="9">
        <f t="shared" ca="1" si="91"/>
        <v>0</v>
      </c>
    </row>
    <row r="565" spans="2:18" x14ac:dyDescent="0.25">
      <c r="B565" s="17" t="s">
        <v>590</v>
      </c>
      <c r="C565" s="18" t="s">
        <v>591</v>
      </c>
      <c r="D565" s="7" t="e">
        <f ca="1">_xll.xlqPrice(C565)</f>
        <v>#NAME?</v>
      </c>
      <c r="E565" s="9" t="e">
        <f t="shared" ca="1" si="82"/>
        <v>#NAME?</v>
      </c>
      <c r="F565" s="9">
        <f t="shared" ca="1" si="83"/>
        <v>1</v>
      </c>
      <c r="G565" s="8">
        <f t="shared" ca="1" si="84"/>
        <v>0</v>
      </c>
      <c r="H565" s="8">
        <f t="shared" ca="1" si="85"/>
        <v>0</v>
      </c>
      <c r="I565" s="8">
        <f t="shared" ca="1" si="86"/>
        <v>0</v>
      </c>
      <c r="J565" s="6" t="e">
        <f ca="1">_xll.xlqxhSMA($C565,$L$4,$J$7,$K$3)</f>
        <v>#NAME?</v>
      </c>
      <c r="K565" s="7" t="e">
        <f ca="1">_xll.xlqhClose($C565,K$8,$K$3)</f>
        <v>#NAME?</v>
      </c>
      <c r="L565" s="7" t="e">
        <f ca="1">_xll.xlqhClose($C565,L$8,$K$3)</f>
        <v>#NAME?</v>
      </c>
      <c r="N565" s="9">
        <f t="shared" ca="1" si="87"/>
        <v>1</v>
      </c>
      <c r="O565" s="9">
        <f t="shared" ca="1" si="88"/>
        <v>1</v>
      </c>
      <c r="P565" s="9">
        <f t="shared" ca="1" si="89"/>
        <v>1</v>
      </c>
      <c r="Q565" s="9">
        <f t="shared" ca="1" si="90"/>
        <v>1</v>
      </c>
      <c r="R565" s="9">
        <f t="shared" ca="1" si="91"/>
        <v>0</v>
      </c>
    </row>
    <row r="566" spans="2:18" x14ac:dyDescent="0.25">
      <c r="B566" t="s">
        <v>1385</v>
      </c>
      <c r="C566" s="39" t="s">
        <v>1386</v>
      </c>
      <c r="D566" s="7" t="e">
        <f ca="1">_xll.xlqPrice(C566)</f>
        <v>#NAME?</v>
      </c>
      <c r="E566" s="9" t="e">
        <f t="shared" ca="1" si="82"/>
        <v>#NAME?</v>
      </c>
      <c r="F566" s="9">
        <f t="shared" ca="1" si="83"/>
        <v>1</v>
      </c>
      <c r="G566" s="8">
        <f t="shared" ca="1" si="84"/>
        <v>0</v>
      </c>
      <c r="H566" s="8">
        <f t="shared" ca="1" si="85"/>
        <v>0</v>
      </c>
      <c r="I566" s="8">
        <f t="shared" ca="1" si="86"/>
        <v>0</v>
      </c>
      <c r="J566" s="6" t="e">
        <f ca="1">_xll.xlqxhSMA($C566,$L$4,$J$7,$K$3)</f>
        <v>#NAME?</v>
      </c>
      <c r="K566" s="7" t="e">
        <f ca="1">_xll.xlqhClose($C566,K$8,$K$3)</f>
        <v>#NAME?</v>
      </c>
      <c r="L566" s="7" t="e">
        <f ca="1">_xll.xlqhClose($C566,L$8,$K$3)</f>
        <v>#NAME?</v>
      </c>
      <c r="N566" s="9">
        <f t="shared" ca="1" si="87"/>
        <v>1</v>
      </c>
      <c r="O566" s="9">
        <f t="shared" ca="1" si="88"/>
        <v>1</v>
      </c>
      <c r="P566" s="9">
        <f t="shared" ca="1" si="89"/>
        <v>1</v>
      </c>
      <c r="Q566" s="9">
        <f t="shared" ca="1" si="90"/>
        <v>1</v>
      </c>
      <c r="R566" s="9">
        <f t="shared" ca="1" si="91"/>
        <v>0</v>
      </c>
    </row>
    <row r="567" spans="2:18" x14ac:dyDescent="0.25">
      <c r="B567" t="s">
        <v>1141</v>
      </c>
      <c r="C567" s="39" t="s">
        <v>1142</v>
      </c>
      <c r="D567" s="7" t="e">
        <f ca="1">_xll.xlqPrice(C567)</f>
        <v>#NAME?</v>
      </c>
      <c r="E567" s="9" t="e">
        <f t="shared" ca="1" si="82"/>
        <v>#NAME?</v>
      </c>
      <c r="F567" s="9">
        <f t="shared" ca="1" si="83"/>
        <v>1</v>
      </c>
      <c r="G567" s="8">
        <f t="shared" ca="1" si="84"/>
        <v>0</v>
      </c>
      <c r="H567" s="8">
        <f t="shared" ca="1" si="85"/>
        <v>0</v>
      </c>
      <c r="I567" s="8">
        <f t="shared" ca="1" si="86"/>
        <v>0</v>
      </c>
      <c r="J567" s="6" t="e">
        <f ca="1">_xll.xlqxhSMA($C567,$L$4,$J$7,$K$3)</f>
        <v>#NAME?</v>
      </c>
      <c r="K567" s="7" t="e">
        <f ca="1">_xll.xlqhClose($C567,K$8,$K$3)</f>
        <v>#NAME?</v>
      </c>
      <c r="L567" s="7" t="e">
        <f ca="1">_xll.xlqhClose($C567,L$8,$K$3)</f>
        <v>#NAME?</v>
      </c>
      <c r="N567" s="9">
        <f t="shared" ca="1" si="87"/>
        <v>1</v>
      </c>
      <c r="O567" s="9">
        <f t="shared" ca="1" si="88"/>
        <v>1</v>
      </c>
      <c r="P567" s="9">
        <f t="shared" ca="1" si="89"/>
        <v>1</v>
      </c>
      <c r="Q567" s="9">
        <f t="shared" ca="1" si="90"/>
        <v>1</v>
      </c>
      <c r="R567" s="9">
        <f t="shared" ca="1" si="91"/>
        <v>0</v>
      </c>
    </row>
    <row r="568" spans="2:18" x14ac:dyDescent="0.25">
      <c r="B568" s="17" t="s">
        <v>1951</v>
      </c>
      <c r="C568" s="18" t="s">
        <v>1952</v>
      </c>
      <c r="D568" s="7" t="e">
        <f ca="1">_xll.xlqPrice(C568)</f>
        <v>#NAME?</v>
      </c>
      <c r="E568" s="9" t="e">
        <f t="shared" ca="1" si="82"/>
        <v>#NAME?</v>
      </c>
      <c r="F568" s="9">
        <f t="shared" ca="1" si="83"/>
        <v>1</v>
      </c>
      <c r="G568" s="8">
        <f t="shared" ca="1" si="84"/>
        <v>0</v>
      </c>
      <c r="H568" s="8">
        <f t="shared" ca="1" si="85"/>
        <v>0</v>
      </c>
      <c r="I568" s="8">
        <f t="shared" ca="1" si="86"/>
        <v>0</v>
      </c>
      <c r="J568" s="6" t="e">
        <f ca="1">_xll.xlqxhSMA($C568,$L$4,$J$7,$K$3)</f>
        <v>#NAME?</v>
      </c>
      <c r="K568" s="7" t="e">
        <f ca="1">_xll.xlqhClose($C568,K$8,$K$3)</f>
        <v>#NAME?</v>
      </c>
      <c r="L568" s="7" t="e">
        <f ca="1">_xll.xlqhClose($C568,L$8,$K$3)</f>
        <v>#NAME?</v>
      </c>
      <c r="N568" s="9">
        <f t="shared" ca="1" si="87"/>
        <v>1</v>
      </c>
      <c r="O568" s="9">
        <f t="shared" ca="1" si="88"/>
        <v>1</v>
      </c>
      <c r="P568" s="9">
        <f t="shared" ca="1" si="89"/>
        <v>1</v>
      </c>
      <c r="Q568" s="9">
        <f t="shared" ca="1" si="90"/>
        <v>1</v>
      </c>
      <c r="R568" s="9">
        <f t="shared" ca="1" si="91"/>
        <v>0</v>
      </c>
    </row>
    <row r="569" spans="2:18" x14ac:dyDescent="0.25">
      <c r="B569" s="17" t="s">
        <v>2075</v>
      </c>
      <c r="C569" s="18" t="s">
        <v>2076</v>
      </c>
      <c r="D569" s="7" t="e">
        <f ca="1">_xll.xlqPrice(C569)</f>
        <v>#NAME?</v>
      </c>
      <c r="E569" s="9" t="e">
        <f t="shared" ca="1" si="82"/>
        <v>#NAME?</v>
      </c>
      <c r="F569" s="9">
        <f t="shared" ca="1" si="83"/>
        <v>1</v>
      </c>
      <c r="G569" s="8">
        <f t="shared" ca="1" si="84"/>
        <v>0</v>
      </c>
      <c r="H569" s="8">
        <f t="shared" ca="1" si="85"/>
        <v>0</v>
      </c>
      <c r="I569" s="8">
        <f t="shared" ca="1" si="86"/>
        <v>0</v>
      </c>
      <c r="J569" s="6" t="e">
        <f ca="1">_xll.xlqxhSMA($C569,$L$4,$J$7,$K$3)</f>
        <v>#NAME?</v>
      </c>
      <c r="K569" s="7" t="e">
        <f ca="1">_xll.xlqhClose($C569,K$8,$K$3)</f>
        <v>#NAME?</v>
      </c>
      <c r="L569" s="7" t="e">
        <f ca="1">_xll.xlqhClose($C569,L$8,$K$3)</f>
        <v>#NAME?</v>
      </c>
      <c r="N569" s="9">
        <f t="shared" ca="1" si="87"/>
        <v>1</v>
      </c>
      <c r="O569" s="9">
        <f t="shared" ca="1" si="88"/>
        <v>1</v>
      </c>
      <c r="P569" s="9">
        <f t="shared" ca="1" si="89"/>
        <v>1</v>
      </c>
      <c r="Q569" s="9">
        <f t="shared" ca="1" si="90"/>
        <v>1</v>
      </c>
      <c r="R569" s="9">
        <f t="shared" ca="1" si="91"/>
        <v>0</v>
      </c>
    </row>
    <row r="570" spans="2:18" x14ac:dyDescent="0.25">
      <c r="B570" s="17" t="s">
        <v>2199</v>
      </c>
      <c r="C570" s="18" t="s">
        <v>2200</v>
      </c>
      <c r="D570" s="7" t="e">
        <f ca="1">_xll.xlqPrice(C570)</f>
        <v>#NAME?</v>
      </c>
      <c r="E570" s="9" t="e">
        <f t="shared" ca="1" si="82"/>
        <v>#NAME?</v>
      </c>
      <c r="F570" s="9">
        <f t="shared" ca="1" si="83"/>
        <v>1</v>
      </c>
      <c r="G570" s="8">
        <f t="shared" ca="1" si="84"/>
        <v>0</v>
      </c>
      <c r="H570" s="8">
        <f t="shared" ca="1" si="85"/>
        <v>0</v>
      </c>
      <c r="I570" s="8">
        <f t="shared" ca="1" si="86"/>
        <v>0</v>
      </c>
      <c r="J570" s="6" t="e">
        <f ca="1">_xll.xlqxhSMA($C570,$L$4,$J$7,$K$3)</f>
        <v>#NAME?</v>
      </c>
      <c r="K570" s="7" t="e">
        <f ca="1">_xll.xlqhClose($C570,K$8,$K$3)</f>
        <v>#NAME?</v>
      </c>
      <c r="L570" s="7" t="e">
        <f ca="1">_xll.xlqhClose($C570,L$8,$K$3)</f>
        <v>#NAME?</v>
      </c>
      <c r="N570" s="9">
        <f t="shared" ca="1" si="87"/>
        <v>1</v>
      </c>
      <c r="O570" s="9">
        <f t="shared" ca="1" si="88"/>
        <v>1</v>
      </c>
      <c r="P570" s="9">
        <f t="shared" ca="1" si="89"/>
        <v>1</v>
      </c>
      <c r="Q570" s="9">
        <f t="shared" ca="1" si="90"/>
        <v>1</v>
      </c>
      <c r="R570" s="9">
        <f t="shared" ca="1" si="91"/>
        <v>0</v>
      </c>
    </row>
    <row r="571" spans="2:18" x14ac:dyDescent="0.25">
      <c r="B571" s="17" t="s">
        <v>566</v>
      </c>
      <c r="C571" s="18" t="s">
        <v>567</v>
      </c>
      <c r="D571" s="7" t="e">
        <f ca="1">_xll.xlqPrice(C571)</f>
        <v>#NAME?</v>
      </c>
      <c r="E571" s="9" t="e">
        <f t="shared" ca="1" si="82"/>
        <v>#NAME?</v>
      </c>
      <c r="F571" s="9">
        <f t="shared" ca="1" si="83"/>
        <v>1</v>
      </c>
      <c r="G571" s="8">
        <f t="shared" ca="1" si="84"/>
        <v>0</v>
      </c>
      <c r="H571" s="8">
        <f t="shared" ca="1" si="85"/>
        <v>0</v>
      </c>
      <c r="I571" s="8">
        <f t="shared" ca="1" si="86"/>
        <v>0</v>
      </c>
      <c r="J571" s="6" t="e">
        <f ca="1">_xll.xlqxhSMA($C571,$L$4,$J$7,$K$3)</f>
        <v>#NAME?</v>
      </c>
      <c r="K571" s="7" t="e">
        <f ca="1">_xll.xlqhClose($C571,K$8,$K$3)</f>
        <v>#NAME?</v>
      </c>
      <c r="L571" s="7" t="e">
        <f ca="1">_xll.xlqhClose($C571,L$8,$K$3)</f>
        <v>#NAME?</v>
      </c>
      <c r="N571" s="9">
        <f t="shared" ca="1" si="87"/>
        <v>1</v>
      </c>
      <c r="O571" s="9">
        <f t="shared" ca="1" si="88"/>
        <v>1</v>
      </c>
      <c r="P571" s="9">
        <f t="shared" ca="1" si="89"/>
        <v>1</v>
      </c>
      <c r="Q571" s="9">
        <f t="shared" ca="1" si="90"/>
        <v>1</v>
      </c>
      <c r="R571" s="9">
        <f t="shared" ca="1" si="91"/>
        <v>0</v>
      </c>
    </row>
    <row r="572" spans="2:18" x14ac:dyDescent="0.25">
      <c r="B572" s="17" t="s">
        <v>1073</v>
      </c>
      <c r="C572" s="18" t="s">
        <v>1074</v>
      </c>
      <c r="D572" s="7" t="e">
        <f ca="1">_xll.xlqPrice(C572)</f>
        <v>#NAME?</v>
      </c>
      <c r="E572" s="9" t="e">
        <f t="shared" ca="1" si="82"/>
        <v>#NAME?</v>
      </c>
      <c r="F572" s="9">
        <f t="shared" ca="1" si="83"/>
        <v>1</v>
      </c>
      <c r="G572" s="8">
        <f t="shared" ca="1" si="84"/>
        <v>0</v>
      </c>
      <c r="H572" s="8">
        <f t="shared" ca="1" si="85"/>
        <v>0</v>
      </c>
      <c r="I572" s="8">
        <f t="shared" ca="1" si="86"/>
        <v>0</v>
      </c>
      <c r="J572" s="6" t="e">
        <f ca="1">_xll.xlqxhSMA($C572,$L$4,$J$7,$K$3)</f>
        <v>#NAME?</v>
      </c>
      <c r="K572" s="7" t="e">
        <f ca="1">_xll.xlqhClose($C572,K$8,$K$3)</f>
        <v>#NAME?</v>
      </c>
      <c r="L572" s="7" t="e">
        <f ca="1">_xll.xlqhClose($C572,L$8,$K$3)</f>
        <v>#NAME?</v>
      </c>
      <c r="N572" s="9">
        <f t="shared" ca="1" si="87"/>
        <v>1</v>
      </c>
      <c r="O572" s="9">
        <f t="shared" ca="1" si="88"/>
        <v>1</v>
      </c>
      <c r="P572" s="9">
        <f t="shared" ca="1" si="89"/>
        <v>1</v>
      </c>
      <c r="Q572" s="9">
        <f t="shared" ca="1" si="90"/>
        <v>1</v>
      </c>
      <c r="R572" s="9">
        <f t="shared" ca="1" si="91"/>
        <v>0</v>
      </c>
    </row>
    <row r="573" spans="2:18" x14ac:dyDescent="0.25">
      <c r="B573" s="17" t="s">
        <v>798</v>
      </c>
      <c r="C573" s="18" t="s">
        <v>799</v>
      </c>
      <c r="D573" s="7" t="e">
        <f ca="1">_xll.xlqPrice(C573)</f>
        <v>#NAME?</v>
      </c>
      <c r="E573" s="9" t="e">
        <f t="shared" ca="1" si="82"/>
        <v>#NAME?</v>
      </c>
      <c r="F573" s="9">
        <f t="shared" ca="1" si="83"/>
        <v>1</v>
      </c>
      <c r="G573" s="8">
        <f t="shared" ca="1" si="84"/>
        <v>0</v>
      </c>
      <c r="H573" s="8">
        <f t="shared" ca="1" si="85"/>
        <v>0</v>
      </c>
      <c r="I573" s="8">
        <f t="shared" ca="1" si="86"/>
        <v>0</v>
      </c>
      <c r="J573" s="6" t="e">
        <f ca="1">_xll.xlqxhSMA($C573,$L$4,$J$7,$K$3)</f>
        <v>#NAME?</v>
      </c>
      <c r="K573" s="7" t="e">
        <f ca="1">_xll.xlqhClose($C573,K$8,$K$3)</f>
        <v>#NAME?</v>
      </c>
      <c r="L573" s="7" t="e">
        <f ca="1">_xll.xlqhClose($C573,L$8,$K$3)</f>
        <v>#NAME?</v>
      </c>
      <c r="N573" s="9">
        <f t="shared" ca="1" si="87"/>
        <v>1</v>
      </c>
      <c r="O573" s="9">
        <f t="shared" ca="1" si="88"/>
        <v>1</v>
      </c>
      <c r="P573" s="9">
        <f t="shared" ca="1" si="89"/>
        <v>1</v>
      </c>
      <c r="Q573" s="9">
        <f t="shared" ca="1" si="90"/>
        <v>1</v>
      </c>
      <c r="R573" s="9">
        <f t="shared" ca="1" si="91"/>
        <v>0</v>
      </c>
    </row>
    <row r="574" spans="2:18" x14ac:dyDescent="0.25">
      <c r="B574" s="17" t="s">
        <v>916</v>
      </c>
      <c r="C574" s="18" t="s">
        <v>917</v>
      </c>
      <c r="D574" s="7" t="e">
        <f ca="1">_xll.xlqPrice(C574)</f>
        <v>#NAME?</v>
      </c>
      <c r="E574" s="9" t="e">
        <f t="shared" ca="1" si="82"/>
        <v>#NAME?</v>
      </c>
      <c r="F574" s="9">
        <f t="shared" ca="1" si="83"/>
        <v>1</v>
      </c>
      <c r="G574" s="8">
        <f t="shared" ca="1" si="84"/>
        <v>0</v>
      </c>
      <c r="H574" s="8">
        <f t="shared" ca="1" si="85"/>
        <v>0</v>
      </c>
      <c r="I574" s="8">
        <f t="shared" ca="1" si="86"/>
        <v>0</v>
      </c>
      <c r="J574" s="6" t="e">
        <f ca="1">_xll.xlqxhSMA($C574,$L$4,$J$7,$K$3)</f>
        <v>#NAME?</v>
      </c>
      <c r="K574" s="7" t="e">
        <f ca="1">_xll.xlqhClose($C574,K$8,$K$3)</f>
        <v>#NAME?</v>
      </c>
      <c r="L574" s="7" t="e">
        <f ca="1">_xll.xlqhClose($C574,L$8,$K$3)</f>
        <v>#NAME?</v>
      </c>
      <c r="N574" s="9">
        <f t="shared" ca="1" si="87"/>
        <v>1</v>
      </c>
      <c r="O574" s="9">
        <f t="shared" ca="1" si="88"/>
        <v>1</v>
      </c>
      <c r="P574" s="9">
        <f t="shared" ca="1" si="89"/>
        <v>1</v>
      </c>
      <c r="Q574" s="9">
        <f t="shared" ca="1" si="90"/>
        <v>1</v>
      </c>
      <c r="R574" s="9">
        <f t="shared" ca="1" si="91"/>
        <v>0</v>
      </c>
    </row>
    <row r="575" spans="2:18" x14ac:dyDescent="0.25">
      <c r="B575" t="s">
        <v>1303</v>
      </c>
      <c r="C575" s="39" t="s">
        <v>1304</v>
      </c>
      <c r="D575" s="7" t="e">
        <f ca="1">_xll.xlqPrice(C575)</f>
        <v>#NAME?</v>
      </c>
      <c r="E575" s="9" t="e">
        <f t="shared" ca="1" si="82"/>
        <v>#NAME?</v>
      </c>
      <c r="F575" s="9">
        <f t="shared" ca="1" si="83"/>
        <v>1</v>
      </c>
      <c r="G575" s="8">
        <f t="shared" ca="1" si="84"/>
        <v>0</v>
      </c>
      <c r="H575" s="8">
        <f t="shared" ca="1" si="85"/>
        <v>0</v>
      </c>
      <c r="I575" s="8">
        <f t="shared" ca="1" si="86"/>
        <v>0</v>
      </c>
      <c r="J575" s="6" t="e">
        <f ca="1">_xll.xlqxhSMA($C575,$L$4,$J$7,$K$3)</f>
        <v>#NAME?</v>
      </c>
      <c r="K575" s="7" t="e">
        <f ca="1">_xll.xlqhClose($C575,K$8,$K$3)</f>
        <v>#NAME?</v>
      </c>
      <c r="L575" s="7" t="e">
        <f ca="1">_xll.xlqhClose($C575,L$8,$K$3)</f>
        <v>#NAME?</v>
      </c>
      <c r="N575" s="9">
        <f t="shared" ca="1" si="87"/>
        <v>1</v>
      </c>
      <c r="O575" s="9">
        <f t="shared" ca="1" si="88"/>
        <v>1</v>
      </c>
      <c r="P575" s="9">
        <f t="shared" ca="1" si="89"/>
        <v>1</v>
      </c>
      <c r="Q575" s="9">
        <f t="shared" ca="1" si="90"/>
        <v>1</v>
      </c>
      <c r="R575" s="9">
        <f t="shared" ca="1" si="91"/>
        <v>0</v>
      </c>
    </row>
    <row r="576" spans="2:18" x14ac:dyDescent="0.25">
      <c r="B576" s="17" t="s">
        <v>1131</v>
      </c>
      <c r="C576" s="18" t="s">
        <v>1132</v>
      </c>
      <c r="D576" s="7" t="e">
        <f ca="1">_xll.xlqPrice(C576)</f>
        <v>#NAME?</v>
      </c>
      <c r="E576" s="9" t="e">
        <f t="shared" ca="1" si="82"/>
        <v>#NAME?</v>
      </c>
      <c r="F576" s="9">
        <f t="shared" ca="1" si="83"/>
        <v>1</v>
      </c>
      <c r="G576" s="8">
        <f t="shared" ca="1" si="84"/>
        <v>0</v>
      </c>
      <c r="H576" s="8">
        <f t="shared" ca="1" si="85"/>
        <v>0</v>
      </c>
      <c r="I576" s="8">
        <f t="shared" ca="1" si="86"/>
        <v>0</v>
      </c>
      <c r="J576" s="6" t="e">
        <f ca="1">_xll.xlqxhSMA($C576,$L$4,$J$7,$K$3)</f>
        <v>#NAME?</v>
      </c>
      <c r="K576" s="7" t="e">
        <f ca="1">_xll.xlqhClose($C576,K$8,$K$3)</f>
        <v>#NAME?</v>
      </c>
      <c r="L576" s="7" t="e">
        <f ca="1">_xll.xlqhClose($C576,L$8,$K$3)</f>
        <v>#NAME?</v>
      </c>
      <c r="N576" s="9">
        <f t="shared" ca="1" si="87"/>
        <v>1</v>
      </c>
      <c r="O576" s="9">
        <f t="shared" ca="1" si="88"/>
        <v>1</v>
      </c>
      <c r="P576" s="9">
        <f t="shared" ca="1" si="89"/>
        <v>1</v>
      </c>
      <c r="Q576" s="9">
        <f t="shared" ca="1" si="90"/>
        <v>1</v>
      </c>
      <c r="R576" s="9">
        <f t="shared" ca="1" si="91"/>
        <v>0</v>
      </c>
    </row>
    <row r="577" spans="2:18" x14ac:dyDescent="0.25">
      <c r="B577" s="17" t="s">
        <v>2029</v>
      </c>
      <c r="C577" s="18" t="s">
        <v>2030</v>
      </c>
      <c r="D577" s="7" t="e">
        <f ca="1">_xll.xlqPrice(C577)</f>
        <v>#NAME?</v>
      </c>
      <c r="E577" s="9" t="e">
        <f t="shared" ca="1" si="82"/>
        <v>#NAME?</v>
      </c>
      <c r="F577" s="9">
        <f t="shared" ca="1" si="83"/>
        <v>1</v>
      </c>
      <c r="G577" s="8">
        <f t="shared" ca="1" si="84"/>
        <v>0</v>
      </c>
      <c r="H577" s="8">
        <f t="shared" ca="1" si="85"/>
        <v>0</v>
      </c>
      <c r="I577" s="8">
        <f t="shared" ca="1" si="86"/>
        <v>0</v>
      </c>
      <c r="J577" s="6" t="e">
        <f ca="1">_xll.xlqxhSMA($C577,$L$4,$J$7,$K$3)</f>
        <v>#NAME?</v>
      </c>
      <c r="K577" s="7" t="e">
        <f ca="1">_xll.xlqhClose($C577,K$8,$K$3)</f>
        <v>#NAME?</v>
      </c>
      <c r="L577" s="7" t="e">
        <f ca="1">_xll.xlqhClose($C577,L$8,$K$3)</f>
        <v>#NAME?</v>
      </c>
      <c r="N577" s="9">
        <f t="shared" ca="1" si="87"/>
        <v>1</v>
      </c>
      <c r="O577" s="9">
        <f t="shared" ca="1" si="88"/>
        <v>1</v>
      </c>
      <c r="P577" s="9">
        <f t="shared" ca="1" si="89"/>
        <v>1</v>
      </c>
      <c r="Q577" s="9">
        <f t="shared" ca="1" si="90"/>
        <v>1</v>
      </c>
      <c r="R577" s="9">
        <f t="shared" ca="1" si="91"/>
        <v>0</v>
      </c>
    </row>
    <row r="578" spans="2:18" x14ac:dyDescent="0.25">
      <c r="B578" s="17" t="s">
        <v>468</v>
      </c>
      <c r="C578" s="18" t="s">
        <v>469</v>
      </c>
      <c r="D578" s="7" t="e">
        <f ca="1">_xll.xlqPrice(C578)</f>
        <v>#NAME?</v>
      </c>
      <c r="E578" s="9" t="e">
        <f t="shared" ca="1" si="82"/>
        <v>#NAME?</v>
      </c>
      <c r="F578" s="9">
        <f t="shared" ca="1" si="83"/>
        <v>1</v>
      </c>
      <c r="G578" s="8">
        <f t="shared" ca="1" si="84"/>
        <v>0</v>
      </c>
      <c r="H578" s="8">
        <f t="shared" ca="1" si="85"/>
        <v>0</v>
      </c>
      <c r="I578" s="8">
        <f t="shared" ca="1" si="86"/>
        <v>0</v>
      </c>
      <c r="J578" s="6" t="e">
        <f ca="1">_xll.xlqxhSMA($C578,$L$4,$J$7,$K$3)</f>
        <v>#NAME?</v>
      </c>
      <c r="K578" s="7" t="e">
        <f ca="1">_xll.xlqhClose($C578,K$8,$K$3)</f>
        <v>#NAME?</v>
      </c>
      <c r="L578" s="7" t="e">
        <f ca="1">_xll.xlqhClose($C578,L$8,$K$3)</f>
        <v>#NAME?</v>
      </c>
      <c r="N578" s="9">
        <f t="shared" ca="1" si="87"/>
        <v>1</v>
      </c>
      <c r="O578" s="9">
        <f t="shared" ca="1" si="88"/>
        <v>1</v>
      </c>
      <c r="P578" s="9">
        <f t="shared" ca="1" si="89"/>
        <v>1</v>
      </c>
      <c r="Q578" s="9">
        <f t="shared" ca="1" si="90"/>
        <v>1</v>
      </c>
      <c r="R578" s="9">
        <f t="shared" ca="1" si="91"/>
        <v>0</v>
      </c>
    </row>
    <row r="579" spans="2:18" x14ac:dyDescent="0.25">
      <c r="B579" s="17" t="s">
        <v>358</v>
      </c>
      <c r="C579" s="18" t="s">
        <v>359</v>
      </c>
      <c r="D579" s="7" t="e">
        <f ca="1">_xll.xlqPrice(C579)</f>
        <v>#NAME?</v>
      </c>
      <c r="E579" s="9" t="e">
        <f t="shared" ca="1" si="82"/>
        <v>#NAME?</v>
      </c>
      <c r="F579" s="9">
        <f t="shared" ca="1" si="83"/>
        <v>1</v>
      </c>
      <c r="G579" s="8">
        <f t="shared" ca="1" si="84"/>
        <v>0</v>
      </c>
      <c r="H579" s="8">
        <f t="shared" ca="1" si="85"/>
        <v>0</v>
      </c>
      <c r="I579" s="8">
        <f t="shared" ca="1" si="86"/>
        <v>0</v>
      </c>
      <c r="J579" s="6" t="e">
        <f ca="1">_xll.xlqxhSMA($C579,$L$4,$J$7,$K$3)</f>
        <v>#NAME?</v>
      </c>
      <c r="K579" s="7" t="e">
        <f ca="1">_xll.xlqhClose($C579,K$8,$K$3)</f>
        <v>#NAME?</v>
      </c>
      <c r="L579" s="7" t="e">
        <f ca="1">_xll.xlqhClose($C579,L$8,$K$3)</f>
        <v>#NAME?</v>
      </c>
      <c r="N579" s="9">
        <f t="shared" ca="1" si="87"/>
        <v>1</v>
      </c>
      <c r="O579" s="9">
        <f t="shared" ca="1" si="88"/>
        <v>1</v>
      </c>
      <c r="P579" s="9">
        <f t="shared" ca="1" si="89"/>
        <v>1</v>
      </c>
      <c r="Q579" s="9">
        <f t="shared" ca="1" si="90"/>
        <v>1</v>
      </c>
      <c r="R579" s="9">
        <f t="shared" ca="1" si="91"/>
        <v>0</v>
      </c>
    </row>
    <row r="580" spans="2:18" x14ac:dyDescent="0.25">
      <c r="B580" s="17" t="s">
        <v>1515</v>
      </c>
      <c r="C580" s="18" t="s">
        <v>1516</v>
      </c>
      <c r="D580" s="7" t="e">
        <f ca="1">_xll.xlqPrice(C580)</f>
        <v>#NAME?</v>
      </c>
      <c r="E580" s="9" t="e">
        <f t="shared" ca="1" si="82"/>
        <v>#NAME?</v>
      </c>
      <c r="F580" s="9">
        <f t="shared" ca="1" si="83"/>
        <v>1</v>
      </c>
      <c r="G580" s="8">
        <f t="shared" ca="1" si="84"/>
        <v>0</v>
      </c>
      <c r="H580" s="8">
        <f t="shared" ca="1" si="85"/>
        <v>0</v>
      </c>
      <c r="I580" s="8">
        <f t="shared" ca="1" si="86"/>
        <v>0</v>
      </c>
      <c r="J580" s="6" t="e">
        <f ca="1">_xll.xlqxhSMA($C580,$L$4,$J$7,$K$3)</f>
        <v>#NAME?</v>
      </c>
      <c r="K580" s="7" t="e">
        <f ca="1">_xll.xlqhClose($C580,K$8,$K$3)</f>
        <v>#NAME?</v>
      </c>
      <c r="L580" s="7" t="e">
        <f ca="1">_xll.xlqhClose($C580,L$8,$K$3)</f>
        <v>#NAME?</v>
      </c>
      <c r="N580" s="9">
        <f t="shared" ca="1" si="87"/>
        <v>1</v>
      </c>
      <c r="O580" s="9">
        <f t="shared" ca="1" si="88"/>
        <v>1</v>
      </c>
      <c r="P580" s="9">
        <f t="shared" ca="1" si="89"/>
        <v>1</v>
      </c>
      <c r="Q580" s="9">
        <f t="shared" ca="1" si="90"/>
        <v>1</v>
      </c>
      <c r="R580" s="9">
        <f t="shared" ca="1" si="91"/>
        <v>0</v>
      </c>
    </row>
    <row r="581" spans="2:18" x14ac:dyDescent="0.25">
      <c r="B581" s="17" t="s">
        <v>824</v>
      </c>
      <c r="C581" s="18" t="s">
        <v>825</v>
      </c>
      <c r="D581" s="7" t="e">
        <f ca="1">_xll.xlqPrice(C581)</f>
        <v>#NAME?</v>
      </c>
      <c r="E581" s="9" t="e">
        <f t="shared" ca="1" si="82"/>
        <v>#NAME?</v>
      </c>
      <c r="F581" s="9">
        <f t="shared" ca="1" si="83"/>
        <v>1</v>
      </c>
      <c r="G581" s="8">
        <f t="shared" ca="1" si="84"/>
        <v>0</v>
      </c>
      <c r="H581" s="8">
        <f t="shared" ca="1" si="85"/>
        <v>0</v>
      </c>
      <c r="I581" s="8">
        <f t="shared" ca="1" si="86"/>
        <v>0</v>
      </c>
      <c r="J581" s="6" t="e">
        <f ca="1">_xll.xlqxhSMA($C581,$L$4,$J$7,$K$3)</f>
        <v>#NAME?</v>
      </c>
      <c r="K581" s="7" t="e">
        <f ca="1">_xll.xlqhClose($C581,K$8,$K$3)</f>
        <v>#NAME?</v>
      </c>
      <c r="L581" s="7" t="e">
        <f ca="1">_xll.xlqhClose($C581,L$8,$K$3)</f>
        <v>#NAME?</v>
      </c>
      <c r="N581" s="9">
        <f t="shared" ca="1" si="87"/>
        <v>1</v>
      </c>
      <c r="O581" s="9">
        <f t="shared" ca="1" si="88"/>
        <v>1</v>
      </c>
      <c r="P581" s="9">
        <f t="shared" ca="1" si="89"/>
        <v>1</v>
      </c>
      <c r="Q581" s="9">
        <f t="shared" ca="1" si="90"/>
        <v>1</v>
      </c>
      <c r="R581" s="9">
        <f t="shared" ca="1" si="91"/>
        <v>0</v>
      </c>
    </row>
    <row r="582" spans="2:18" x14ac:dyDescent="0.25">
      <c r="B582" s="17" t="s">
        <v>2205</v>
      </c>
      <c r="C582" s="18" t="s">
        <v>2206</v>
      </c>
      <c r="D582" s="7" t="e">
        <f ca="1">_xll.xlqPrice(C582)</f>
        <v>#NAME?</v>
      </c>
      <c r="E582" s="9" t="e">
        <f t="shared" ca="1" si="82"/>
        <v>#NAME?</v>
      </c>
      <c r="F582" s="9">
        <f t="shared" ca="1" si="83"/>
        <v>1</v>
      </c>
      <c r="G582" s="8">
        <f t="shared" ca="1" si="84"/>
        <v>0</v>
      </c>
      <c r="H582" s="8">
        <f t="shared" ca="1" si="85"/>
        <v>0</v>
      </c>
      <c r="I582" s="8">
        <f t="shared" ca="1" si="86"/>
        <v>0</v>
      </c>
      <c r="J582" s="6" t="e">
        <f ca="1">_xll.xlqxhSMA($C582,$L$4,$J$7,$K$3)</f>
        <v>#NAME?</v>
      </c>
      <c r="K582" s="7" t="e">
        <f ca="1">_xll.xlqhClose($C582,K$8,$K$3)</f>
        <v>#NAME?</v>
      </c>
      <c r="L582" s="7" t="e">
        <f ca="1">_xll.xlqhClose($C582,L$8,$K$3)</f>
        <v>#NAME?</v>
      </c>
      <c r="N582" s="9">
        <f t="shared" ca="1" si="87"/>
        <v>1</v>
      </c>
      <c r="O582" s="9">
        <f t="shared" ca="1" si="88"/>
        <v>1</v>
      </c>
      <c r="P582" s="9">
        <f t="shared" ca="1" si="89"/>
        <v>1</v>
      </c>
      <c r="Q582" s="9">
        <f t="shared" ca="1" si="90"/>
        <v>1</v>
      </c>
      <c r="R582" s="9">
        <f t="shared" ca="1" si="91"/>
        <v>0</v>
      </c>
    </row>
    <row r="583" spans="2:18" x14ac:dyDescent="0.25">
      <c r="B583" s="17" t="s">
        <v>788</v>
      </c>
      <c r="C583" s="18" t="s">
        <v>789</v>
      </c>
      <c r="D583" s="7" t="e">
        <f ca="1">_xll.xlqPrice(C583)</f>
        <v>#NAME?</v>
      </c>
      <c r="E583" s="9" t="e">
        <f t="shared" ca="1" si="82"/>
        <v>#NAME?</v>
      </c>
      <c r="F583" s="9">
        <f t="shared" ca="1" si="83"/>
        <v>1</v>
      </c>
      <c r="G583" s="8">
        <f t="shared" ca="1" si="84"/>
        <v>0</v>
      </c>
      <c r="H583" s="8">
        <f t="shared" ca="1" si="85"/>
        <v>0</v>
      </c>
      <c r="I583" s="8">
        <f t="shared" ca="1" si="86"/>
        <v>0</v>
      </c>
      <c r="J583" s="6" t="e">
        <f ca="1">_xll.xlqxhSMA($C583,$L$4,$J$7,$K$3)</f>
        <v>#NAME?</v>
      </c>
      <c r="K583" s="7" t="e">
        <f ca="1">_xll.xlqhClose($C583,K$8,$K$3)</f>
        <v>#NAME?</v>
      </c>
      <c r="L583" s="7" t="e">
        <f ca="1">_xll.xlqhClose($C583,L$8,$K$3)</f>
        <v>#NAME?</v>
      </c>
      <c r="N583" s="9">
        <f t="shared" ca="1" si="87"/>
        <v>1</v>
      </c>
      <c r="O583" s="9">
        <f t="shared" ca="1" si="88"/>
        <v>1</v>
      </c>
      <c r="P583" s="9">
        <f t="shared" ca="1" si="89"/>
        <v>1</v>
      </c>
      <c r="Q583" s="9">
        <f t="shared" ca="1" si="90"/>
        <v>1</v>
      </c>
      <c r="R583" s="9">
        <f t="shared" ca="1" si="91"/>
        <v>0</v>
      </c>
    </row>
    <row r="584" spans="2:18" x14ac:dyDescent="0.25">
      <c r="B584" s="17" t="s">
        <v>1177</v>
      </c>
      <c r="C584" s="18" t="s">
        <v>1178</v>
      </c>
      <c r="D584" s="7" t="e">
        <f ca="1">_xll.xlqPrice(C584)</f>
        <v>#NAME?</v>
      </c>
      <c r="E584" s="9" t="e">
        <f t="shared" ca="1" si="82"/>
        <v>#NAME?</v>
      </c>
      <c r="F584" s="9">
        <f t="shared" ca="1" si="83"/>
        <v>1</v>
      </c>
      <c r="G584" s="8">
        <f t="shared" ca="1" si="84"/>
        <v>0</v>
      </c>
      <c r="H584" s="8">
        <f t="shared" ca="1" si="85"/>
        <v>0</v>
      </c>
      <c r="I584" s="8">
        <f t="shared" ca="1" si="86"/>
        <v>0</v>
      </c>
      <c r="J584" s="6" t="e">
        <f ca="1">_xll.xlqxhSMA($C584,$L$4,$J$7,$K$3)</f>
        <v>#NAME?</v>
      </c>
      <c r="K584" s="7" t="e">
        <f ca="1">_xll.xlqhClose($C584,K$8,$K$3)</f>
        <v>#NAME?</v>
      </c>
      <c r="L584" s="7" t="e">
        <f ca="1">_xll.xlqhClose($C584,L$8,$K$3)</f>
        <v>#NAME?</v>
      </c>
      <c r="N584" s="9">
        <f t="shared" ca="1" si="87"/>
        <v>1</v>
      </c>
      <c r="O584" s="9">
        <f t="shared" ca="1" si="88"/>
        <v>1</v>
      </c>
      <c r="P584" s="9">
        <f t="shared" ca="1" si="89"/>
        <v>1</v>
      </c>
      <c r="Q584" s="9">
        <f t="shared" ca="1" si="90"/>
        <v>1</v>
      </c>
      <c r="R584" s="9">
        <f t="shared" ca="1" si="91"/>
        <v>0</v>
      </c>
    </row>
    <row r="585" spans="2:18" x14ac:dyDescent="0.25">
      <c r="B585" s="17" t="s">
        <v>1959</v>
      </c>
      <c r="C585" s="18" t="s">
        <v>1960</v>
      </c>
      <c r="D585" s="7" t="e">
        <f ca="1">_xll.xlqPrice(C585)</f>
        <v>#NAME?</v>
      </c>
      <c r="E585" s="9" t="e">
        <f t="shared" ca="1" si="82"/>
        <v>#NAME?</v>
      </c>
      <c r="F585" s="9">
        <f t="shared" ca="1" si="83"/>
        <v>1</v>
      </c>
      <c r="G585" s="8">
        <f t="shared" ca="1" si="84"/>
        <v>0</v>
      </c>
      <c r="H585" s="8">
        <f t="shared" ca="1" si="85"/>
        <v>0</v>
      </c>
      <c r="I585" s="8">
        <f t="shared" ca="1" si="86"/>
        <v>0</v>
      </c>
      <c r="J585" s="6" t="e">
        <f ca="1">_xll.xlqxhSMA($C585,$L$4,$J$7,$K$3)</f>
        <v>#NAME?</v>
      </c>
      <c r="K585" s="7" t="e">
        <f ca="1">_xll.xlqhClose($C585,K$8,$K$3)</f>
        <v>#NAME?</v>
      </c>
      <c r="L585" s="7" t="e">
        <f ca="1">_xll.xlqhClose($C585,L$8,$K$3)</f>
        <v>#NAME?</v>
      </c>
      <c r="N585" s="9">
        <f t="shared" ca="1" si="87"/>
        <v>1</v>
      </c>
      <c r="O585" s="9">
        <f t="shared" ca="1" si="88"/>
        <v>1</v>
      </c>
      <c r="P585" s="9">
        <f t="shared" ca="1" si="89"/>
        <v>1</v>
      </c>
      <c r="Q585" s="9">
        <f t="shared" ca="1" si="90"/>
        <v>1</v>
      </c>
      <c r="R585" s="9">
        <f t="shared" ca="1" si="91"/>
        <v>0</v>
      </c>
    </row>
    <row r="586" spans="2:18" x14ac:dyDescent="0.25">
      <c r="B586" t="s">
        <v>1245</v>
      </c>
      <c r="C586" s="39" t="s">
        <v>1246</v>
      </c>
      <c r="D586" s="7" t="e">
        <f ca="1">_xll.xlqPrice(C586)</f>
        <v>#NAME?</v>
      </c>
      <c r="E586" s="9" t="e">
        <f t="shared" ca="1" si="82"/>
        <v>#NAME?</v>
      </c>
      <c r="F586" s="9">
        <f t="shared" ca="1" si="83"/>
        <v>1</v>
      </c>
      <c r="G586" s="8">
        <f t="shared" ca="1" si="84"/>
        <v>0</v>
      </c>
      <c r="H586" s="8">
        <f t="shared" ca="1" si="85"/>
        <v>0</v>
      </c>
      <c r="I586" s="8">
        <f t="shared" ca="1" si="86"/>
        <v>0</v>
      </c>
      <c r="J586" s="6" t="e">
        <f ca="1">_xll.xlqxhSMA($C586,$L$4,$J$7,$K$3)</f>
        <v>#NAME?</v>
      </c>
      <c r="K586" s="7" t="e">
        <f ca="1">_xll.xlqhClose($C586,K$8,$K$3)</f>
        <v>#NAME?</v>
      </c>
      <c r="L586" s="7" t="e">
        <f ca="1">_xll.xlqhClose($C586,L$8,$K$3)</f>
        <v>#NAME?</v>
      </c>
      <c r="N586" s="9">
        <f t="shared" ca="1" si="87"/>
        <v>1</v>
      </c>
      <c r="O586" s="9">
        <f t="shared" ca="1" si="88"/>
        <v>1</v>
      </c>
      <c r="P586" s="9">
        <f t="shared" ca="1" si="89"/>
        <v>1</v>
      </c>
      <c r="Q586" s="9">
        <f t="shared" ca="1" si="90"/>
        <v>1</v>
      </c>
      <c r="R586" s="9">
        <f t="shared" ca="1" si="91"/>
        <v>0</v>
      </c>
    </row>
    <row r="587" spans="2:18" x14ac:dyDescent="0.25">
      <c r="B587" s="17" t="s">
        <v>1387</v>
      </c>
      <c r="C587" s="18" t="s">
        <v>1388</v>
      </c>
      <c r="D587" s="7" t="e">
        <f ca="1">_xll.xlqPrice(C587)</f>
        <v>#NAME?</v>
      </c>
      <c r="E587" s="9" t="e">
        <f t="shared" ref="E587:E650" ca="1" si="92">IF(D587&gt;J587, "Buy","Cash")</f>
        <v>#NAME?</v>
      </c>
      <c r="F587" s="9">
        <f t="shared" ref="F587:F650" ca="1" si="93">RANK(I587,$I$11:$I$1138,0)</f>
        <v>1</v>
      </c>
      <c r="G587" s="8">
        <f t="shared" ref="G587:G650" ca="1" si="94">IFERROR(($D587-K587)/K587,0)</f>
        <v>0</v>
      </c>
      <c r="H587" s="8">
        <f t="shared" ref="H587:H650" ca="1" si="95">IFERROR(($D587-L587)/L587,0)</f>
        <v>0</v>
      </c>
      <c r="I587" s="8">
        <f t="shared" ref="I587:I650" ca="1" si="96">IFERROR((G587*$G$8)+(H587*$H$8),0)</f>
        <v>0</v>
      </c>
      <c r="J587" s="6" t="e">
        <f ca="1">_xll.xlqxhSMA($C587,$L$4,$J$7,$K$3)</f>
        <v>#NAME?</v>
      </c>
      <c r="K587" s="7" t="e">
        <f ca="1">_xll.xlqhClose($C587,K$8,$K$3)</f>
        <v>#NAME?</v>
      </c>
      <c r="L587" s="7" t="e">
        <f ca="1">_xll.xlqhClose($C587,L$8,$K$3)</f>
        <v>#NAME?</v>
      </c>
      <c r="N587" s="9">
        <f t="shared" ref="N587:N650" ca="1" si="97">RANK($G587,G$11:G$1138,0)</f>
        <v>1</v>
      </c>
      <c r="O587" s="9">
        <f t="shared" ref="O587:O650" ca="1" si="98">RANK($H587,H$11:H$1138,0)</f>
        <v>1</v>
      </c>
      <c r="P587" s="9">
        <f t="shared" ref="P587:P650" ca="1" si="99">RANK($I587,I$11:I$1138,0)</f>
        <v>1</v>
      </c>
      <c r="Q587" s="9">
        <f t="shared" ref="Q587:Q650" ca="1" si="100">RANK($P587,P$11:P$1138,1)</f>
        <v>1</v>
      </c>
      <c r="R587" s="9">
        <f t="shared" ref="R587:R650" ca="1" si="101">F587-Q587</f>
        <v>0</v>
      </c>
    </row>
    <row r="588" spans="2:18" x14ac:dyDescent="0.25">
      <c r="B588" s="17" t="s">
        <v>688</v>
      </c>
      <c r="C588" s="18" t="s">
        <v>689</v>
      </c>
      <c r="D588" s="7" t="e">
        <f ca="1">_xll.xlqPrice(C588)</f>
        <v>#NAME?</v>
      </c>
      <c r="E588" s="9" t="e">
        <f t="shared" ca="1" si="92"/>
        <v>#NAME?</v>
      </c>
      <c r="F588" s="9">
        <f t="shared" ca="1" si="93"/>
        <v>1</v>
      </c>
      <c r="G588" s="8">
        <f t="shared" ca="1" si="94"/>
        <v>0</v>
      </c>
      <c r="H588" s="8">
        <f t="shared" ca="1" si="95"/>
        <v>0</v>
      </c>
      <c r="I588" s="8">
        <f t="shared" ca="1" si="96"/>
        <v>0</v>
      </c>
      <c r="J588" s="6" t="e">
        <f ca="1">_xll.xlqxhSMA($C588,$L$4,$J$7,$K$3)</f>
        <v>#NAME?</v>
      </c>
      <c r="K588" s="7" t="e">
        <f ca="1">_xll.xlqhClose($C588,K$8,$K$3)</f>
        <v>#NAME?</v>
      </c>
      <c r="L588" s="7" t="e">
        <f ca="1">_xll.xlqhClose($C588,L$8,$K$3)</f>
        <v>#NAME?</v>
      </c>
      <c r="N588" s="9">
        <f t="shared" ca="1" si="97"/>
        <v>1</v>
      </c>
      <c r="O588" s="9">
        <f t="shared" ca="1" si="98"/>
        <v>1</v>
      </c>
      <c r="P588" s="9">
        <f t="shared" ca="1" si="99"/>
        <v>1</v>
      </c>
      <c r="Q588" s="9">
        <f t="shared" ca="1" si="100"/>
        <v>1</v>
      </c>
      <c r="R588" s="9">
        <f t="shared" ca="1" si="101"/>
        <v>0</v>
      </c>
    </row>
    <row r="589" spans="2:18" x14ac:dyDescent="0.25">
      <c r="B589" t="s">
        <v>1725</v>
      </c>
      <c r="C589" s="39" t="s">
        <v>1726</v>
      </c>
      <c r="D589" s="7" t="e">
        <f ca="1">_xll.xlqPrice(C589)</f>
        <v>#NAME?</v>
      </c>
      <c r="E589" s="9" t="e">
        <f t="shared" ca="1" si="92"/>
        <v>#NAME?</v>
      </c>
      <c r="F589" s="9">
        <f t="shared" ca="1" si="93"/>
        <v>1</v>
      </c>
      <c r="G589" s="8">
        <f t="shared" ca="1" si="94"/>
        <v>0</v>
      </c>
      <c r="H589" s="8">
        <f t="shared" ca="1" si="95"/>
        <v>0</v>
      </c>
      <c r="I589" s="8">
        <f t="shared" ca="1" si="96"/>
        <v>0</v>
      </c>
      <c r="J589" s="6" t="e">
        <f ca="1">_xll.xlqxhSMA($C589,$L$4,$J$7,$K$3)</f>
        <v>#NAME?</v>
      </c>
      <c r="K589" s="7" t="e">
        <f ca="1">_xll.xlqhClose($C589,K$8,$K$3)</f>
        <v>#NAME?</v>
      </c>
      <c r="L589" s="7" t="e">
        <f ca="1">_xll.xlqhClose($C589,L$8,$K$3)</f>
        <v>#NAME?</v>
      </c>
      <c r="N589" s="9">
        <f t="shared" ca="1" si="97"/>
        <v>1</v>
      </c>
      <c r="O589" s="9">
        <f t="shared" ca="1" si="98"/>
        <v>1</v>
      </c>
      <c r="P589" s="9">
        <f t="shared" ca="1" si="99"/>
        <v>1</v>
      </c>
      <c r="Q589" s="9">
        <f t="shared" ca="1" si="100"/>
        <v>1</v>
      </c>
      <c r="R589" s="9">
        <f t="shared" ca="1" si="101"/>
        <v>0</v>
      </c>
    </row>
    <row r="590" spans="2:18" x14ac:dyDescent="0.25">
      <c r="B590" s="17" t="s">
        <v>2185</v>
      </c>
      <c r="C590" s="18" t="s">
        <v>2186</v>
      </c>
      <c r="D590" s="7" t="e">
        <f ca="1">_xll.xlqPrice(C590)</f>
        <v>#NAME?</v>
      </c>
      <c r="E590" s="9" t="e">
        <f t="shared" ca="1" si="92"/>
        <v>#NAME?</v>
      </c>
      <c r="F590" s="9">
        <f t="shared" ca="1" si="93"/>
        <v>1</v>
      </c>
      <c r="G590" s="8">
        <f t="shared" ca="1" si="94"/>
        <v>0</v>
      </c>
      <c r="H590" s="8">
        <f t="shared" ca="1" si="95"/>
        <v>0</v>
      </c>
      <c r="I590" s="8">
        <f t="shared" ca="1" si="96"/>
        <v>0</v>
      </c>
      <c r="J590" s="6" t="e">
        <f ca="1">_xll.xlqxhSMA($C590,$L$4,$J$7,$K$3)</f>
        <v>#NAME?</v>
      </c>
      <c r="K590" s="7" t="e">
        <f ca="1">_xll.xlqhClose($C590,K$8,$K$3)</f>
        <v>#NAME?</v>
      </c>
      <c r="L590" s="7" t="e">
        <f ca="1">_xll.xlqhClose($C590,L$8,$K$3)</f>
        <v>#NAME?</v>
      </c>
      <c r="N590" s="9">
        <f t="shared" ca="1" si="97"/>
        <v>1</v>
      </c>
      <c r="O590" s="9">
        <f t="shared" ca="1" si="98"/>
        <v>1</v>
      </c>
      <c r="P590" s="9">
        <f t="shared" ca="1" si="99"/>
        <v>1</v>
      </c>
      <c r="Q590" s="9">
        <f t="shared" ca="1" si="100"/>
        <v>1</v>
      </c>
      <c r="R590" s="9">
        <f t="shared" ca="1" si="101"/>
        <v>0</v>
      </c>
    </row>
    <row r="591" spans="2:18" x14ac:dyDescent="0.25">
      <c r="B591" t="s">
        <v>870</v>
      </c>
      <c r="C591" s="39" t="s">
        <v>871</v>
      </c>
      <c r="D591" s="7" t="e">
        <f ca="1">_xll.xlqPrice(C591)</f>
        <v>#NAME?</v>
      </c>
      <c r="E591" s="9" t="e">
        <f t="shared" ca="1" si="92"/>
        <v>#NAME?</v>
      </c>
      <c r="F591" s="9">
        <f t="shared" ca="1" si="93"/>
        <v>1</v>
      </c>
      <c r="G591" s="8">
        <f t="shared" ca="1" si="94"/>
        <v>0</v>
      </c>
      <c r="H591" s="8">
        <f t="shared" ca="1" si="95"/>
        <v>0</v>
      </c>
      <c r="I591" s="8">
        <f t="shared" ca="1" si="96"/>
        <v>0</v>
      </c>
      <c r="J591" s="6" t="e">
        <f ca="1">_xll.xlqxhSMA($C591,$L$4,$J$7,$K$3)</f>
        <v>#NAME?</v>
      </c>
      <c r="K591" s="7" t="e">
        <f ca="1">_xll.xlqhClose($C591,K$8,$K$3)</f>
        <v>#NAME?</v>
      </c>
      <c r="L591" s="7" t="e">
        <f ca="1">_xll.xlqhClose($C591,L$8,$K$3)</f>
        <v>#NAME?</v>
      </c>
      <c r="N591" s="9">
        <f t="shared" ca="1" si="97"/>
        <v>1</v>
      </c>
      <c r="O591" s="9">
        <f t="shared" ca="1" si="98"/>
        <v>1</v>
      </c>
      <c r="P591" s="9">
        <f t="shared" ca="1" si="99"/>
        <v>1</v>
      </c>
      <c r="Q591" s="9">
        <f t="shared" ca="1" si="100"/>
        <v>1</v>
      </c>
      <c r="R591" s="9">
        <f t="shared" ca="1" si="101"/>
        <v>0</v>
      </c>
    </row>
    <row r="592" spans="2:18" x14ac:dyDescent="0.25">
      <c r="B592" s="17" t="s">
        <v>2329</v>
      </c>
      <c r="C592" s="18" t="s">
        <v>2330</v>
      </c>
      <c r="D592" s="7" t="e">
        <f ca="1">_xll.xlqPrice(C592)</f>
        <v>#NAME?</v>
      </c>
      <c r="E592" s="9" t="e">
        <f t="shared" ca="1" si="92"/>
        <v>#NAME?</v>
      </c>
      <c r="F592" s="9">
        <f t="shared" ca="1" si="93"/>
        <v>1</v>
      </c>
      <c r="G592" s="8">
        <f t="shared" ca="1" si="94"/>
        <v>0</v>
      </c>
      <c r="H592" s="8">
        <f t="shared" ca="1" si="95"/>
        <v>0</v>
      </c>
      <c r="I592" s="8">
        <f t="shared" ca="1" si="96"/>
        <v>0</v>
      </c>
      <c r="J592" s="6" t="e">
        <f ca="1">_xll.xlqxhSMA($C592,$L$4,$J$7,$K$3)</f>
        <v>#NAME?</v>
      </c>
      <c r="K592" s="7" t="e">
        <f ca="1">_xll.xlqhClose($C592,K$8,$K$3)</f>
        <v>#NAME?</v>
      </c>
      <c r="L592" s="7" t="e">
        <f ca="1">_xll.xlqhClose($C592,L$8,$K$3)</f>
        <v>#NAME?</v>
      </c>
      <c r="N592" s="9">
        <f t="shared" ca="1" si="97"/>
        <v>1</v>
      </c>
      <c r="O592" s="9">
        <f t="shared" ca="1" si="98"/>
        <v>1</v>
      </c>
      <c r="P592" s="9">
        <f t="shared" ca="1" si="99"/>
        <v>1</v>
      </c>
      <c r="Q592" s="9">
        <f t="shared" ca="1" si="100"/>
        <v>1</v>
      </c>
      <c r="R592" s="9">
        <f t="shared" ca="1" si="101"/>
        <v>0</v>
      </c>
    </row>
    <row r="593" spans="2:18" x14ac:dyDescent="0.25">
      <c r="B593" s="17" t="s">
        <v>290</v>
      </c>
      <c r="C593" s="18" t="s">
        <v>291</v>
      </c>
      <c r="D593" s="7" t="e">
        <f ca="1">_xll.xlqPrice(C593)</f>
        <v>#NAME?</v>
      </c>
      <c r="E593" s="9" t="e">
        <f t="shared" ca="1" si="92"/>
        <v>#NAME?</v>
      </c>
      <c r="F593" s="9">
        <f t="shared" ca="1" si="93"/>
        <v>1</v>
      </c>
      <c r="G593" s="8">
        <f t="shared" ca="1" si="94"/>
        <v>0</v>
      </c>
      <c r="H593" s="8">
        <f t="shared" ca="1" si="95"/>
        <v>0</v>
      </c>
      <c r="I593" s="8">
        <f t="shared" ca="1" si="96"/>
        <v>0</v>
      </c>
      <c r="J593" s="6" t="e">
        <f ca="1">_xll.xlqxhSMA($C593,$L$4,$J$7,$K$3)</f>
        <v>#NAME?</v>
      </c>
      <c r="K593" s="7" t="e">
        <f ca="1">_xll.xlqhClose($C593,K$8,$K$3)</f>
        <v>#NAME?</v>
      </c>
      <c r="L593" s="7" t="e">
        <f ca="1">_xll.xlqhClose($C593,L$8,$K$3)</f>
        <v>#NAME?</v>
      </c>
      <c r="N593" s="9">
        <f t="shared" ca="1" si="97"/>
        <v>1</v>
      </c>
      <c r="O593" s="9">
        <f t="shared" ca="1" si="98"/>
        <v>1</v>
      </c>
      <c r="P593" s="9">
        <f t="shared" ca="1" si="99"/>
        <v>1</v>
      </c>
      <c r="Q593" s="9">
        <f t="shared" ca="1" si="100"/>
        <v>1</v>
      </c>
      <c r="R593" s="9">
        <f t="shared" ca="1" si="101"/>
        <v>0</v>
      </c>
    </row>
    <row r="594" spans="2:18" x14ac:dyDescent="0.25">
      <c r="B594" s="17" t="s">
        <v>174</v>
      </c>
      <c r="C594" s="18" t="s">
        <v>175</v>
      </c>
      <c r="D594" s="7" t="e">
        <f ca="1">_xll.xlqPrice(C594)</f>
        <v>#NAME?</v>
      </c>
      <c r="E594" s="9" t="e">
        <f t="shared" ca="1" si="92"/>
        <v>#NAME?</v>
      </c>
      <c r="F594" s="9">
        <f t="shared" ca="1" si="93"/>
        <v>1</v>
      </c>
      <c r="G594" s="8">
        <f t="shared" ca="1" si="94"/>
        <v>0</v>
      </c>
      <c r="H594" s="8">
        <f t="shared" ca="1" si="95"/>
        <v>0</v>
      </c>
      <c r="I594" s="8">
        <f t="shared" ca="1" si="96"/>
        <v>0</v>
      </c>
      <c r="J594" s="6" t="e">
        <f ca="1">_xll.xlqxhSMA($C594,$L$4,$J$7,$K$3)</f>
        <v>#NAME?</v>
      </c>
      <c r="K594" s="7" t="e">
        <f ca="1">_xll.xlqhClose($C594,K$8,$K$3)</f>
        <v>#NAME?</v>
      </c>
      <c r="L594" s="7" t="e">
        <f ca="1">_xll.xlqhClose($C594,L$8,$K$3)</f>
        <v>#NAME?</v>
      </c>
      <c r="N594" s="9">
        <f t="shared" ca="1" si="97"/>
        <v>1</v>
      </c>
      <c r="O594" s="9">
        <f t="shared" ca="1" si="98"/>
        <v>1</v>
      </c>
      <c r="P594" s="9">
        <f t="shared" ca="1" si="99"/>
        <v>1</v>
      </c>
      <c r="Q594" s="9">
        <f t="shared" ca="1" si="100"/>
        <v>1</v>
      </c>
      <c r="R594" s="9">
        <f t="shared" ca="1" si="101"/>
        <v>0</v>
      </c>
    </row>
    <row r="595" spans="2:18" x14ac:dyDescent="0.25">
      <c r="B595" s="17" t="s">
        <v>710</v>
      </c>
      <c r="C595" s="18" t="s">
        <v>711</v>
      </c>
      <c r="D595" s="7" t="e">
        <f ca="1">_xll.xlqPrice(C595)</f>
        <v>#NAME?</v>
      </c>
      <c r="E595" s="9" t="e">
        <f t="shared" ca="1" si="92"/>
        <v>#NAME?</v>
      </c>
      <c r="F595" s="9">
        <f t="shared" ca="1" si="93"/>
        <v>1</v>
      </c>
      <c r="G595" s="8">
        <f t="shared" ca="1" si="94"/>
        <v>0</v>
      </c>
      <c r="H595" s="8">
        <f t="shared" ca="1" si="95"/>
        <v>0</v>
      </c>
      <c r="I595" s="8">
        <f t="shared" ca="1" si="96"/>
        <v>0</v>
      </c>
      <c r="J595" s="6" t="e">
        <f ca="1">_xll.xlqxhSMA($C595,$L$4,$J$7,$K$3)</f>
        <v>#NAME?</v>
      </c>
      <c r="K595" s="7" t="e">
        <f ca="1">_xll.xlqhClose($C595,K$8,$K$3)</f>
        <v>#NAME?</v>
      </c>
      <c r="L595" s="7" t="e">
        <f ca="1">_xll.xlqhClose($C595,L$8,$K$3)</f>
        <v>#NAME?</v>
      </c>
      <c r="N595" s="9">
        <f t="shared" ca="1" si="97"/>
        <v>1</v>
      </c>
      <c r="O595" s="9">
        <f t="shared" ca="1" si="98"/>
        <v>1</v>
      </c>
      <c r="P595" s="9">
        <f t="shared" ca="1" si="99"/>
        <v>1</v>
      </c>
      <c r="Q595" s="9">
        <f t="shared" ca="1" si="100"/>
        <v>1</v>
      </c>
      <c r="R595" s="9">
        <f t="shared" ca="1" si="101"/>
        <v>0</v>
      </c>
    </row>
    <row r="596" spans="2:18" x14ac:dyDescent="0.25">
      <c r="B596" s="17" t="s">
        <v>368</v>
      </c>
      <c r="C596" s="18" t="s">
        <v>369</v>
      </c>
      <c r="D596" s="7" t="e">
        <f ca="1">_xll.xlqPrice(C596)</f>
        <v>#NAME?</v>
      </c>
      <c r="E596" s="9" t="e">
        <f t="shared" ca="1" si="92"/>
        <v>#NAME?</v>
      </c>
      <c r="F596" s="9">
        <f t="shared" ca="1" si="93"/>
        <v>1</v>
      </c>
      <c r="G596" s="8">
        <f t="shared" ca="1" si="94"/>
        <v>0</v>
      </c>
      <c r="H596" s="8">
        <f t="shared" ca="1" si="95"/>
        <v>0</v>
      </c>
      <c r="I596" s="8">
        <f t="shared" ca="1" si="96"/>
        <v>0</v>
      </c>
      <c r="J596" s="6" t="e">
        <f ca="1">_xll.xlqxhSMA($C596,$L$4,$J$7,$K$3)</f>
        <v>#NAME?</v>
      </c>
      <c r="K596" s="7" t="e">
        <f ca="1">_xll.xlqhClose($C596,K$8,$K$3)</f>
        <v>#NAME?</v>
      </c>
      <c r="L596" s="7" t="e">
        <f ca="1">_xll.xlqhClose($C596,L$8,$K$3)</f>
        <v>#NAME?</v>
      </c>
      <c r="N596" s="9">
        <f t="shared" ca="1" si="97"/>
        <v>1</v>
      </c>
      <c r="O596" s="9">
        <f t="shared" ca="1" si="98"/>
        <v>1</v>
      </c>
      <c r="P596" s="9">
        <f t="shared" ca="1" si="99"/>
        <v>1</v>
      </c>
      <c r="Q596" s="9">
        <f t="shared" ca="1" si="100"/>
        <v>1</v>
      </c>
      <c r="R596" s="9">
        <f t="shared" ca="1" si="101"/>
        <v>0</v>
      </c>
    </row>
    <row r="597" spans="2:18" x14ac:dyDescent="0.25">
      <c r="B597" s="17" t="s">
        <v>734</v>
      </c>
      <c r="C597" s="18" t="s">
        <v>735</v>
      </c>
      <c r="D597" s="7" t="e">
        <f ca="1">_xll.xlqPrice(C597)</f>
        <v>#NAME?</v>
      </c>
      <c r="E597" s="9" t="e">
        <f t="shared" ca="1" si="92"/>
        <v>#NAME?</v>
      </c>
      <c r="F597" s="9">
        <f t="shared" ca="1" si="93"/>
        <v>1</v>
      </c>
      <c r="G597" s="8">
        <f t="shared" ca="1" si="94"/>
        <v>0</v>
      </c>
      <c r="H597" s="8">
        <f t="shared" ca="1" si="95"/>
        <v>0</v>
      </c>
      <c r="I597" s="8">
        <f t="shared" ca="1" si="96"/>
        <v>0</v>
      </c>
      <c r="J597" s="6" t="e">
        <f ca="1">_xll.xlqxhSMA($C597,$L$4,$J$7,$K$3)</f>
        <v>#NAME?</v>
      </c>
      <c r="K597" s="7" t="e">
        <f ca="1">_xll.xlqhClose($C597,K$8,$K$3)</f>
        <v>#NAME?</v>
      </c>
      <c r="L597" s="7" t="e">
        <f ca="1">_xll.xlqhClose($C597,L$8,$K$3)</f>
        <v>#NAME?</v>
      </c>
      <c r="N597" s="9">
        <f t="shared" ca="1" si="97"/>
        <v>1</v>
      </c>
      <c r="O597" s="9">
        <f t="shared" ca="1" si="98"/>
        <v>1</v>
      </c>
      <c r="P597" s="9">
        <f t="shared" ca="1" si="99"/>
        <v>1</v>
      </c>
      <c r="Q597" s="9">
        <f t="shared" ca="1" si="100"/>
        <v>1</v>
      </c>
      <c r="R597" s="9">
        <f t="shared" ca="1" si="101"/>
        <v>0</v>
      </c>
    </row>
    <row r="598" spans="2:18" x14ac:dyDescent="0.25">
      <c r="B598" s="17" t="s">
        <v>1495</v>
      </c>
      <c r="C598" s="18" t="s">
        <v>1496</v>
      </c>
      <c r="D598" s="7" t="e">
        <f ca="1">_xll.xlqPrice(C598)</f>
        <v>#NAME?</v>
      </c>
      <c r="E598" s="9" t="e">
        <f t="shared" ca="1" si="92"/>
        <v>#NAME?</v>
      </c>
      <c r="F598" s="9">
        <f t="shared" ca="1" si="93"/>
        <v>1</v>
      </c>
      <c r="G598" s="8">
        <f t="shared" ca="1" si="94"/>
        <v>0</v>
      </c>
      <c r="H598" s="8">
        <f t="shared" ca="1" si="95"/>
        <v>0</v>
      </c>
      <c r="I598" s="8">
        <f t="shared" ca="1" si="96"/>
        <v>0</v>
      </c>
      <c r="J598" s="6" t="e">
        <f ca="1">_xll.xlqxhSMA($C598,$L$4,$J$7,$K$3)</f>
        <v>#NAME?</v>
      </c>
      <c r="K598" s="7" t="e">
        <f ca="1">_xll.xlqhClose($C598,K$8,$K$3)</f>
        <v>#NAME?</v>
      </c>
      <c r="L598" s="7" t="e">
        <f ca="1">_xll.xlqhClose($C598,L$8,$K$3)</f>
        <v>#NAME?</v>
      </c>
      <c r="N598" s="9">
        <f t="shared" ca="1" si="97"/>
        <v>1</v>
      </c>
      <c r="O598" s="9">
        <f t="shared" ca="1" si="98"/>
        <v>1</v>
      </c>
      <c r="P598" s="9">
        <f t="shared" ca="1" si="99"/>
        <v>1</v>
      </c>
      <c r="Q598" s="9">
        <f t="shared" ca="1" si="100"/>
        <v>1</v>
      </c>
      <c r="R598" s="9">
        <f t="shared" ca="1" si="101"/>
        <v>0</v>
      </c>
    </row>
    <row r="599" spans="2:18" x14ac:dyDescent="0.25">
      <c r="B599" s="17" t="s">
        <v>360</v>
      </c>
      <c r="C599" s="18" t="s">
        <v>361</v>
      </c>
      <c r="D599" s="7" t="e">
        <f ca="1">_xll.xlqPrice(C599)</f>
        <v>#NAME?</v>
      </c>
      <c r="E599" s="9" t="e">
        <f t="shared" ca="1" si="92"/>
        <v>#NAME?</v>
      </c>
      <c r="F599" s="9">
        <f t="shared" ca="1" si="93"/>
        <v>1</v>
      </c>
      <c r="G599" s="8">
        <f t="shared" ca="1" si="94"/>
        <v>0</v>
      </c>
      <c r="H599" s="8">
        <f t="shared" ca="1" si="95"/>
        <v>0</v>
      </c>
      <c r="I599" s="8">
        <f t="shared" ca="1" si="96"/>
        <v>0</v>
      </c>
      <c r="J599" s="6" t="e">
        <f ca="1">_xll.xlqxhSMA($C599,$L$4,$J$7,$K$3)</f>
        <v>#NAME?</v>
      </c>
      <c r="K599" s="7" t="e">
        <f ca="1">_xll.xlqhClose($C599,K$8,$K$3)</f>
        <v>#NAME?</v>
      </c>
      <c r="L599" s="7" t="e">
        <f ca="1">_xll.xlqhClose($C599,L$8,$K$3)</f>
        <v>#NAME?</v>
      </c>
      <c r="N599" s="9">
        <f t="shared" ca="1" si="97"/>
        <v>1</v>
      </c>
      <c r="O599" s="9">
        <f t="shared" ca="1" si="98"/>
        <v>1</v>
      </c>
      <c r="P599" s="9">
        <f t="shared" ca="1" si="99"/>
        <v>1</v>
      </c>
      <c r="Q599" s="9">
        <f t="shared" ca="1" si="100"/>
        <v>1</v>
      </c>
      <c r="R599" s="9">
        <f t="shared" ca="1" si="101"/>
        <v>0</v>
      </c>
    </row>
    <row r="600" spans="2:18" x14ac:dyDescent="0.25">
      <c r="B600" t="s">
        <v>2157</v>
      </c>
      <c r="C600" s="39" t="s">
        <v>2158</v>
      </c>
      <c r="D600" s="7" t="e">
        <f ca="1">_xll.xlqPrice(C600)</f>
        <v>#NAME?</v>
      </c>
      <c r="E600" s="9" t="e">
        <f t="shared" ca="1" si="92"/>
        <v>#NAME?</v>
      </c>
      <c r="F600" s="9">
        <f t="shared" ca="1" si="93"/>
        <v>1</v>
      </c>
      <c r="G600" s="8">
        <f t="shared" ca="1" si="94"/>
        <v>0</v>
      </c>
      <c r="H600" s="8">
        <f t="shared" ca="1" si="95"/>
        <v>0</v>
      </c>
      <c r="I600" s="8">
        <f t="shared" ca="1" si="96"/>
        <v>0</v>
      </c>
      <c r="J600" s="6" t="e">
        <f ca="1">_xll.xlqxhSMA($C600,$L$4,$J$7,$K$3)</f>
        <v>#NAME?</v>
      </c>
      <c r="K600" s="7" t="e">
        <f ca="1">_xll.xlqhClose($C600,K$8,$K$3)</f>
        <v>#NAME?</v>
      </c>
      <c r="L600" s="7" t="e">
        <f ca="1">_xll.xlqhClose($C600,L$8,$K$3)</f>
        <v>#NAME?</v>
      </c>
      <c r="N600" s="9">
        <f t="shared" ca="1" si="97"/>
        <v>1</v>
      </c>
      <c r="O600" s="9">
        <f t="shared" ca="1" si="98"/>
        <v>1</v>
      </c>
      <c r="P600" s="9">
        <f t="shared" ca="1" si="99"/>
        <v>1</v>
      </c>
      <c r="Q600" s="9">
        <f t="shared" ca="1" si="100"/>
        <v>1</v>
      </c>
      <c r="R600" s="9">
        <f t="shared" ca="1" si="101"/>
        <v>0</v>
      </c>
    </row>
    <row r="601" spans="2:18" x14ac:dyDescent="0.25">
      <c r="B601" s="17" t="s">
        <v>1837</v>
      </c>
      <c r="C601" s="18" t="s">
        <v>1838</v>
      </c>
      <c r="D601" s="7" t="e">
        <f ca="1">_xll.xlqPrice(C601)</f>
        <v>#NAME?</v>
      </c>
      <c r="E601" s="9" t="e">
        <f t="shared" ca="1" si="92"/>
        <v>#NAME?</v>
      </c>
      <c r="F601" s="9">
        <f t="shared" ca="1" si="93"/>
        <v>1</v>
      </c>
      <c r="G601" s="8">
        <f t="shared" ca="1" si="94"/>
        <v>0</v>
      </c>
      <c r="H601" s="8">
        <f t="shared" ca="1" si="95"/>
        <v>0</v>
      </c>
      <c r="I601" s="8">
        <f t="shared" ca="1" si="96"/>
        <v>0</v>
      </c>
      <c r="J601" s="6" t="e">
        <f ca="1">_xll.xlqxhSMA($C601,$L$4,$J$7,$K$3)</f>
        <v>#NAME?</v>
      </c>
      <c r="K601" s="7" t="e">
        <f ca="1">_xll.xlqhClose($C601,K$8,$K$3)</f>
        <v>#NAME?</v>
      </c>
      <c r="L601" s="7" t="e">
        <f ca="1">_xll.xlqhClose($C601,L$8,$K$3)</f>
        <v>#NAME?</v>
      </c>
      <c r="N601" s="9">
        <f t="shared" ca="1" si="97"/>
        <v>1</v>
      </c>
      <c r="O601" s="9">
        <f t="shared" ca="1" si="98"/>
        <v>1</v>
      </c>
      <c r="P601" s="9">
        <f t="shared" ca="1" si="99"/>
        <v>1</v>
      </c>
      <c r="Q601" s="9">
        <f t="shared" ca="1" si="100"/>
        <v>1</v>
      </c>
      <c r="R601" s="9">
        <f t="shared" ca="1" si="101"/>
        <v>0</v>
      </c>
    </row>
    <row r="602" spans="2:18" x14ac:dyDescent="0.25">
      <c r="B602" s="17" t="s">
        <v>1657</v>
      </c>
      <c r="C602" s="18" t="s">
        <v>1658</v>
      </c>
      <c r="D602" s="7" t="e">
        <f ca="1">_xll.xlqPrice(C602)</f>
        <v>#NAME?</v>
      </c>
      <c r="E602" s="9" t="e">
        <f t="shared" ca="1" si="92"/>
        <v>#NAME?</v>
      </c>
      <c r="F602" s="9">
        <f t="shared" ca="1" si="93"/>
        <v>1</v>
      </c>
      <c r="G602" s="8">
        <f t="shared" ca="1" si="94"/>
        <v>0</v>
      </c>
      <c r="H602" s="8">
        <f t="shared" ca="1" si="95"/>
        <v>0</v>
      </c>
      <c r="I602" s="8">
        <f t="shared" ca="1" si="96"/>
        <v>0</v>
      </c>
      <c r="J602" s="6" t="e">
        <f ca="1">_xll.xlqxhSMA($C602,$L$4,$J$7,$K$3)</f>
        <v>#NAME?</v>
      </c>
      <c r="K602" s="7" t="e">
        <f ca="1">_xll.xlqhClose($C602,K$8,$K$3)</f>
        <v>#NAME?</v>
      </c>
      <c r="L602" s="7" t="e">
        <f ca="1">_xll.xlqhClose($C602,L$8,$K$3)</f>
        <v>#NAME?</v>
      </c>
      <c r="N602" s="9">
        <f t="shared" ca="1" si="97"/>
        <v>1</v>
      </c>
      <c r="O602" s="9">
        <f t="shared" ca="1" si="98"/>
        <v>1</v>
      </c>
      <c r="P602" s="9">
        <f t="shared" ca="1" si="99"/>
        <v>1</v>
      </c>
      <c r="Q602" s="9">
        <f t="shared" ca="1" si="100"/>
        <v>1</v>
      </c>
      <c r="R602" s="9">
        <f t="shared" ca="1" si="101"/>
        <v>0</v>
      </c>
    </row>
    <row r="603" spans="2:18" x14ac:dyDescent="0.25">
      <c r="B603" s="17" t="s">
        <v>1867</v>
      </c>
      <c r="C603" s="18" t="s">
        <v>1868</v>
      </c>
      <c r="D603" s="7" t="e">
        <f ca="1">_xll.xlqPrice(C603)</f>
        <v>#NAME?</v>
      </c>
      <c r="E603" s="9" t="e">
        <f t="shared" ca="1" si="92"/>
        <v>#NAME?</v>
      </c>
      <c r="F603" s="9">
        <f t="shared" ca="1" si="93"/>
        <v>1</v>
      </c>
      <c r="G603" s="8">
        <f t="shared" ca="1" si="94"/>
        <v>0</v>
      </c>
      <c r="H603" s="8">
        <f t="shared" ca="1" si="95"/>
        <v>0</v>
      </c>
      <c r="I603" s="8">
        <f t="shared" ca="1" si="96"/>
        <v>0</v>
      </c>
      <c r="J603" s="6" t="e">
        <f ca="1">_xll.xlqxhSMA($C603,$L$4,$J$7,$K$3)</f>
        <v>#NAME?</v>
      </c>
      <c r="K603" s="7" t="e">
        <f ca="1">_xll.xlqhClose($C603,K$8,$K$3)</f>
        <v>#NAME?</v>
      </c>
      <c r="L603" s="7" t="e">
        <f ca="1">_xll.xlqhClose($C603,L$8,$K$3)</f>
        <v>#NAME?</v>
      </c>
      <c r="N603" s="9">
        <f t="shared" ca="1" si="97"/>
        <v>1</v>
      </c>
      <c r="O603" s="9">
        <f t="shared" ca="1" si="98"/>
        <v>1</v>
      </c>
      <c r="P603" s="9">
        <f t="shared" ca="1" si="99"/>
        <v>1</v>
      </c>
      <c r="Q603" s="9">
        <f t="shared" ca="1" si="100"/>
        <v>1</v>
      </c>
      <c r="R603" s="9">
        <f t="shared" ca="1" si="101"/>
        <v>0</v>
      </c>
    </row>
    <row r="604" spans="2:18" x14ac:dyDescent="0.25">
      <c r="B604" t="s">
        <v>474</v>
      </c>
      <c r="C604" s="39" t="s">
        <v>475</v>
      </c>
      <c r="D604" s="7" t="e">
        <f ca="1">_xll.xlqPrice(C604)</f>
        <v>#NAME?</v>
      </c>
      <c r="E604" s="9" t="e">
        <f t="shared" ca="1" si="92"/>
        <v>#NAME?</v>
      </c>
      <c r="F604" s="9">
        <f t="shared" ca="1" si="93"/>
        <v>1</v>
      </c>
      <c r="G604" s="8">
        <f t="shared" ca="1" si="94"/>
        <v>0</v>
      </c>
      <c r="H604" s="8">
        <f t="shared" ca="1" si="95"/>
        <v>0</v>
      </c>
      <c r="I604" s="8">
        <f t="shared" ca="1" si="96"/>
        <v>0</v>
      </c>
      <c r="J604" s="6" t="e">
        <f ca="1">_xll.xlqxhSMA($C604,$L$4,$J$7,$K$3)</f>
        <v>#NAME?</v>
      </c>
      <c r="K604" s="7" t="e">
        <f ca="1">_xll.xlqhClose($C604,K$8,$K$3)</f>
        <v>#NAME?</v>
      </c>
      <c r="L604" s="7" t="e">
        <f ca="1">_xll.xlqhClose($C604,L$8,$K$3)</f>
        <v>#NAME?</v>
      </c>
      <c r="N604" s="9">
        <f t="shared" ca="1" si="97"/>
        <v>1</v>
      </c>
      <c r="O604" s="9">
        <f t="shared" ca="1" si="98"/>
        <v>1</v>
      </c>
      <c r="P604" s="9">
        <f t="shared" ca="1" si="99"/>
        <v>1</v>
      </c>
      <c r="Q604" s="9">
        <f t="shared" ca="1" si="100"/>
        <v>1</v>
      </c>
      <c r="R604" s="9">
        <f t="shared" ca="1" si="101"/>
        <v>0</v>
      </c>
    </row>
    <row r="605" spans="2:18" x14ac:dyDescent="0.25">
      <c r="B605" s="17" t="s">
        <v>280</v>
      </c>
      <c r="C605" s="18" t="s">
        <v>281</v>
      </c>
      <c r="D605" s="7" t="e">
        <f ca="1">_xll.xlqPrice(C605)</f>
        <v>#NAME?</v>
      </c>
      <c r="E605" s="9" t="e">
        <f t="shared" ca="1" si="92"/>
        <v>#NAME?</v>
      </c>
      <c r="F605" s="9">
        <f t="shared" ca="1" si="93"/>
        <v>1</v>
      </c>
      <c r="G605" s="8">
        <f t="shared" ca="1" si="94"/>
        <v>0</v>
      </c>
      <c r="H605" s="8">
        <f t="shared" ca="1" si="95"/>
        <v>0</v>
      </c>
      <c r="I605" s="8">
        <f t="shared" ca="1" si="96"/>
        <v>0</v>
      </c>
      <c r="J605" s="6" t="e">
        <f ca="1">_xll.xlqxhSMA($C605,$L$4,$J$7,$K$3)</f>
        <v>#NAME?</v>
      </c>
      <c r="K605" s="7" t="e">
        <f ca="1">_xll.xlqhClose($C605,K$8,$K$3)</f>
        <v>#NAME?</v>
      </c>
      <c r="L605" s="7" t="e">
        <f ca="1">_xll.xlqhClose($C605,L$8,$K$3)</f>
        <v>#NAME?</v>
      </c>
      <c r="N605" s="9">
        <f t="shared" ca="1" si="97"/>
        <v>1</v>
      </c>
      <c r="O605" s="9">
        <f t="shared" ca="1" si="98"/>
        <v>1</v>
      </c>
      <c r="P605" s="9">
        <f t="shared" ca="1" si="99"/>
        <v>1</v>
      </c>
      <c r="Q605" s="9">
        <f t="shared" ca="1" si="100"/>
        <v>1</v>
      </c>
      <c r="R605" s="9">
        <f t="shared" ca="1" si="101"/>
        <v>0</v>
      </c>
    </row>
    <row r="606" spans="2:18" x14ac:dyDescent="0.25">
      <c r="B606" t="s">
        <v>1199</v>
      </c>
      <c r="C606" s="39" t="s">
        <v>1200</v>
      </c>
      <c r="D606" s="7" t="e">
        <f ca="1">_xll.xlqPrice(C606)</f>
        <v>#NAME?</v>
      </c>
      <c r="E606" s="9" t="e">
        <f t="shared" ca="1" si="92"/>
        <v>#NAME?</v>
      </c>
      <c r="F606" s="9">
        <f t="shared" ca="1" si="93"/>
        <v>1</v>
      </c>
      <c r="G606" s="8">
        <f t="shared" ca="1" si="94"/>
        <v>0</v>
      </c>
      <c r="H606" s="8">
        <f t="shared" ca="1" si="95"/>
        <v>0</v>
      </c>
      <c r="I606" s="8">
        <f t="shared" ca="1" si="96"/>
        <v>0</v>
      </c>
      <c r="J606" s="6" t="e">
        <f ca="1">_xll.xlqxhSMA($C606,$L$4,$J$7,$K$3)</f>
        <v>#NAME?</v>
      </c>
      <c r="K606" s="7" t="e">
        <f ca="1">_xll.xlqhClose($C606,K$8,$K$3)</f>
        <v>#NAME?</v>
      </c>
      <c r="L606" s="7" t="e">
        <f ca="1">_xll.xlqhClose($C606,L$8,$K$3)</f>
        <v>#NAME?</v>
      </c>
      <c r="N606" s="9">
        <f t="shared" ca="1" si="97"/>
        <v>1</v>
      </c>
      <c r="O606" s="9">
        <f t="shared" ca="1" si="98"/>
        <v>1</v>
      </c>
      <c r="P606" s="9">
        <f t="shared" ca="1" si="99"/>
        <v>1</v>
      </c>
      <c r="Q606" s="9">
        <f t="shared" ca="1" si="100"/>
        <v>1</v>
      </c>
      <c r="R606" s="9">
        <f t="shared" ca="1" si="101"/>
        <v>0</v>
      </c>
    </row>
    <row r="607" spans="2:18" x14ac:dyDescent="0.25">
      <c r="B607" s="17" t="s">
        <v>1653</v>
      </c>
      <c r="C607" s="18" t="s">
        <v>1654</v>
      </c>
      <c r="D607" s="7" t="e">
        <f ca="1">_xll.xlqPrice(C607)</f>
        <v>#NAME?</v>
      </c>
      <c r="E607" s="9" t="e">
        <f t="shared" ca="1" si="92"/>
        <v>#NAME?</v>
      </c>
      <c r="F607" s="9">
        <f t="shared" ca="1" si="93"/>
        <v>1</v>
      </c>
      <c r="G607" s="8">
        <f t="shared" ca="1" si="94"/>
        <v>0</v>
      </c>
      <c r="H607" s="8">
        <f t="shared" ca="1" si="95"/>
        <v>0</v>
      </c>
      <c r="I607" s="8">
        <f t="shared" ca="1" si="96"/>
        <v>0</v>
      </c>
      <c r="J607" s="6" t="e">
        <f ca="1">_xll.xlqxhSMA($C607,$L$4,$J$7,$K$3)</f>
        <v>#NAME?</v>
      </c>
      <c r="K607" s="7" t="e">
        <f ca="1">_xll.xlqhClose($C607,K$8,$K$3)</f>
        <v>#NAME?</v>
      </c>
      <c r="L607" s="7" t="e">
        <f ca="1">_xll.xlqhClose($C607,L$8,$K$3)</f>
        <v>#NAME?</v>
      </c>
      <c r="N607" s="9">
        <f t="shared" ca="1" si="97"/>
        <v>1</v>
      </c>
      <c r="O607" s="9">
        <f t="shared" ca="1" si="98"/>
        <v>1</v>
      </c>
      <c r="P607" s="9">
        <f t="shared" ca="1" si="99"/>
        <v>1</v>
      </c>
      <c r="Q607" s="9">
        <f t="shared" ca="1" si="100"/>
        <v>1</v>
      </c>
      <c r="R607" s="9">
        <f t="shared" ca="1" si="101"/>
        <v>0</v>
      </c>
    </row>
    <row r="608" spans="2:18" x14ac:dyDescent="0.25">
      <c r="B608" s="17" t="s">
        <v>955</v>
      </c>
      <c r="C608" s="18" t="s">
        <v>956</v>
      </c>
      <c r="D608" s="7" t="e">
        <f ca="1">_xll.xlqPrice(C608)</f>
        <v>#NAME?</v>
      </c>
      <c r="E608" s="9" t="e">
        <f t="shared" ca="1" si="92"/>
        <v>#NAME?</v>
      </c>
      <c r="F608" s="9">
        <f t="shared" ca="1" si="93"/>
        <v>1</v>
      </c>
      <c r="G608" s="8">
        <f t="shared" ca="1" si="94"/>
        <v>0</v>
      </c>
      <c r="H608" s="8">
        <f t="shared" ca="1" si="95"/>
        <v>0</v>
      </c>
      <c r="I608" s="8">
        <f t="shared" ca="1" si="96"/>
        <v>0</v>
      </c>
      <c r="J608" s="6" t="e">
        <f ca="1">_xll.xlqxhSMA($C608,$L$4,$J$7,$K$3)</f>
        <v>#NAME?</v>
      </c>
      <c r="K608" s="7" t="e">
        <f ca="1">_xll.xlqhClose($C608,K$8,$K$3)</f>
        <v>#NAME?</v>
      </c>
      <c r="L608" s="7" t="e">
        <f ca="1">_xll.xlqhClose($C608,L$8,$K$3)</f>
        <v>#NAME?</v>
      </c>
      <c r="N608" s="9">
        <f t="shared" ca="1" si="97"/>
        <v>1</v>
      </c>
      <c r="O608" s="9">
        <f t="shared" ca="1" si="98"/>
        <v>1</v>
      </c>
      <c r="P608" s="9">
        <f t="shared" ca="1" si="99"/>
        <v>1</v>
      </c>
      <c r="Q608" s="9">
        <f t="shared" ca="1" si="100"/>
        <v>1</v>
      </c>
      <c r="R608" s="9">
        <f t="shared" ca="1" si="101"/>
        <v>0</v>
      </c>
    </row>
    <row r="609" spans="2:18" x14ac:dyDescent="0.25">
      <c r="B609" s="17" t="s">
        <v>288</v>
      </c>
      <c r="C609" s="18" t="s">
        <v>289</v>
      </c>
      <c r="D609" s="7" t="e">
        <f ca="1">_xll.xlqPrice(C609)</f>
        <v>#NAME?</v>
      </c>
      <c r="E609" s="9" t="e">
        <f t="shared" ca="1" si="92"/>
        <v>#NAME?</v>
      </c>
      <c r="F609" s="9">
        <f t="shared" ca="1" si="93"/>
        <v>1</v>
      </c>
      <c r="G609" s="8">
        <f t="shared" ca="1" si="94"/>
        <v>0</v>
      </c>
      <c r="H609" s="8">
        <f t="shared" ca="1" si="95"/>
        <v>0</v>
      </c>
      <c r="I609" s="8">
        <f t="shared" ca="1" si="96"/>
        <v>0</v>
      </c>
      <c r="J609" s="6" t="e">
        <f ca="1">_xll.xlqxhSMA($C609,$L$4,$J$7,$K$3)</f>
        <v>#NAME?</v>
      </c>
      <c r="K609" s="7" t="e">
        <f ca="1">_xll.xlqhClose($C609,K$8,$K$3)</f>
        <v>#NAME?</v>
      </c>
      <c r="L609" s="7" t="e">
        <f ca="1">_xll.xlqhClose($C609,L$8,$K$3)</f>
        <v>#NAME?</v>
      </c>
      <c r="N609" s="9">
        <f t="shared" ca="1" si="97"/>
        <v>1</v>
      </c>
      <c r="O609" s="9">
        <f t="shared" ca="1" si="98"/>
        <v>1</v>
      </c>
      <c r="P609" s="9">
        <f t="shared" ca="1" si="99"/>
        <v>1</v>
      </c>
      <c r="Q609" s="9">
        <f t="shared" ca="1" si="100"/>
        <v>1</v>
      </c>
      <c r="R609" s="9">
        <f t="shared" ca="1" si="101"/>
        <v>0</v>
      </c>
    </row>
    <row r="610" spans="2:18" x14ac:dyDescent="0.25">
      <c r="B610" t="s">
        <v>1259</v>
      </c>
      <c r="C610" s="39" t="s">
        <v>1260</v>
      </c>
      <c r="D610" s="7" t="e">
        <f ca="1">_xll.xlqPrice(C610)</f>
        <v>#NAME?</v>
      </c>
      <c r="E610" s="9" t="e">
        <f t="shared" ca="1" si="92"/>
        <v>#NAME?</v>
      </c>
      <c r="F610" s="9">
        <f t="shared" ca="1" si="93"/>
        <v>1</v>
      </c>
      <c r="G610" s="8">
        <f t="shared" ca="1" si="94"/>
        <v>0</v>
      </c>
      <c r="H610" s="8">
        <f t="shared" ca="1" si="95"/>
        <v>0</v>
      </c>
      <c r="I610" s="8">
        <f t="shared" ca="1" si="96"/>
        <v>0</v>
      </c>
      <c r="J610" s="6" t="e">
        <f ca="1">_xll.xlqxhSMA($C610,$L$4,$J$7,$K$3)</f>
        <v>#NAME?</v>
      </c>
      <c r="K610" s="7" t="e">
        <f ca="1">_xll.xlqhClose($C610,K$8,$K$3)</f>
        <v>#NAME?</v>
      </c>
      <c r="L610" s="7" t="e">
        <f ca="1">_xll.xlqhClose($C610,L$8,$K$3)</f>
        <v>#NAME?</v>
      </c>
      <c r="N610" s="9">
        <f t="shared" ca="1" si="97"/>
        <v>1</v>
      </c>
      <c r="O610" s="9">
        <f t="shared" ca="1" si="98"/>
        <v>1</v>
      </c>
      <c r="P610" s="9">
        <f t="shared" ca="1" si="99"/>
        <v>1</v>
      </c>
      <c r="Q610" s="9">
        <f t="shared" ca="1" si="100"/>
        <v>1</v>
      </c>
      <c r="R610" s="9">
        <f t="shared" ca="1" si="101"/>
        <v>0</v>
      </c>
    </row>
    <row r="611" spans="2:18" x14ac:dyDescent="0.25">
      <c r="B611" s="17" t="s">
        <v>206</v>
      </c>
      <c r="C611" s="18" t="s">
        <v>207</v>
      </c>
      <c r="D611" s="7" t="e">
        <f ca="1">_xll.xlqPrice(C611)</f>
        <v>#NAME?</v>
      </c>
      <c r="E611" s="9" t="e">
        <f t="shared" ca="1" si="92"/>
        <v>#NAME?</v>
      </c>
      <c r="F611" s="9">
        <f t="shared" ca="1" si="93"/>
        <v>1</v>
      </c>
      <c r="G611" s="8">
        <f t="shared" ca="1" si="94"/>
        <v>0</v>
      </c>
      <c r="H611" s="8">
        <f t="shared" ca="1" si="95"/>
        <v>0</v>
      </c>
      <c r="I611" s="8">
        <f t="shared" ca="1" si="96"/>
        <v>0</v>
      </c>
      <c r="J611" s="6" t="e">
        <f ca="1">_xll.xlqxhSMA($C611,$L$4,$J$7,$K$3)</f>
        <v>#NAME?</v>
      </c>
      <c r="K611" s="7" t="e">
        <f ca="1">_xll.xlqhClose($C611,K$8,$K$3)</f>
        <v>#NAME?</v>
      </c>
      <c r="L611" s="7" t="e">
        <f ca="1">_xll.xlqhClose($C611,L$8,$K$3)</f>
        <v>#NAME?</v>
      </c>
      <c r="N611" s="9">
        <f t="shared" ca="1" si="97"/>
        <v>1</v>
      </c>
      <c r="O611" s="9">
        <f t="shared" ca="1" si="98"/>
        <v>1</v>
      </c>
      <c r="P611" s="9">
        <f t="shared" ca="1" si="99"/>
        <v>1</v>
      </c>
      <c r="Q611" s="9">
        <f t="shared" ca="1" si="100"/>
        <v>1</v>
      </c>
      <c r="R611" s="9">
        <f t="shared" ca="1" si="101"/>
        <v>0</v>
      </c>
    </row>
    <row r="612" spans="2:18" x14ac:dyDescent="0.25">
      <c r="B612" s="17" t="s">
        <v>1903</v>
      </c>
      <c r="C612" s="18" t="s">
        <v>1904</v>
      </c>
      <c r="D612" s="7" t="e">
        <f ca="1">_xll.xlqPrice(C612)</f>
        <v>#NAME?</v>
      </c>
      <c r="E612" s="9" t="e">
        <f t="shared" ca="1" si="92"/>
        <v>#NAME?</v>
      </c>
      <c r="F612" s="9">
        <f t="shared" ca="1" si="93"/>
        <v>1</v>
      </c>
      <c r="G612" s="8">
        <f t="shared" ca="1" si="94"/>
        <v>0</v>
      </c>
      <c r="H612" s="8">
        <f t="shared" ca="1" si="95"/>
        <v>0</v>
      </c>
      <c r="I612" s="8">
        <f t="shared" ca="1" si="96"/>
        <v>0</v>
      </c>
      <c r="J612" s="6" t="e">
        <f ca="1">_xll.xlqxhSMA($C612,$L$4,$J$7,$K$3)</f>
        <v>#NAME?</v>
      </c>
      <c r="K612" s="7" t="e">
        <f ca="1">_xll.xlqhClose($C612,K$8,$K$3)</f>
        <v>#NAME?</v>
      </c>
      <c r="L612" s="7" t="e">
        <f ca="1">_xll.xlqhClose($C612,L$8,$K$3)</f>
        <v>#NAME?</v>
      </c>
      <c r="N612" s="9">
        <f t="shared" ca="1" si="97"/>
        <v>1</v>
      </c>
      <c r="O612" s="9">
        <f t="shared" ca="1" si="98"/>
        <v>1</v>
      </c>
      <c r="P612" s="9">
        <f t="shared" ca="1" si="99"/>
        <v>1</v>
      </c>
      <c r="Q612" s="9">
        <f t="shared" ca="1" si="100"/>
        <v>1</v>
      </c>
      <c r="R612" s="9">
        <f t="shared" ca="1" si="101"/>
        <v>0</v>
      </c>
    </row>
    <row r="613" spans="2:18" x14ac:dyDescent="0.25">
      <c r="B613" s="17" t="s">
        <v>1399</v>
      </c>
      <c r="C613" s="18" t="s">
        <v>1400</v>
      </c>
      <c r="D613" s="7" t="e">
        <f ca="1">_xll.xlqPrice(C613)</f>
        <v>#NAME?</v>
      </c>
      <c r="E613" s="9" t="e">
        <f t="shared" ca="1" si="92"/>
        <v>#NAME?</v>
      </c>
      <c r="F613" s="9">
        <f t="shared" ca="1" si="93"/>
        <v>1</v>
      </c>
      <c r="G613" s="8">
        <f t="shared" ca="1" si="94"/>
        <v>0</v>
      </c>
      <c r="H613" s="8">
        <f t="shared" ca="1" si="95"/>
        <v>0</v>
      </c>
      <c r="I613" s="8">
        <f t="shared" ca="1" si="96"/>
        <v>0</v>
      </c>
      <c r="J613" s="6" t="e">
        <f ca="1">_xll.xlqxhSMA($C613,$L$4,$J$7,$K$3)</f>
        <v>#NAME?</v>
      </c>
      <c r="K613" s="7" t="e">
        <f ca="1">_xll.xlqhClose($C613,K$8,$K$3)</f>
        <v>#NAME?</v>
      </c>
      <c r="L613" s="7" t="e">
        <f ca="1">_xll.xlqhClose($C613,L$8,$K$3)</f>
        <v>#NAME?</v>
      </c>
      <c r="N613" s="9">
        <f t="shared" ca="1" si="97"/>
        <v>1</v>
      </c>
      <c r="O613" s="9">
        <f t="shared" ca="1" si="98"/>
        <v>1</v>
      </c>
      <c r="P613" s="9">
        <f t="shared" ca="1" si="99"/>
        <v>1</v>
      </c>
      <c r="Q613" s="9">
        <f t="shared" ca="1" si="100"/>
        <v>1</v>
      </c>
      <c r="R613" s="9">
        <f t="shared" ca="1" si="101"/>
        <v>0</v>
      </c>
    </row>
    <row r="614" spans="2:18" x14ac:dyDescent="0.25">
      <c r="B614" s="17" t="s">
        <v>1673</v>
      </c>
      <c r="C614" s="18" t="s">
        <v>1674</v>
      </c>
      <c r="D614" s="7" t="e">
        <f ca="1">_xll.xlqPrice(C614)</f>
        <v>#NAME?</v>
      </c>
      <c r="E614" s="9" t="e">
        <f t="shared" ca="1" si="92"/>
        <v>#NAME?</v>
      </c>
      <c r="F614" s="9">
        <f t="shared" ca="1" si="93"/>
        <v>1</v>
      </c>
      <c r="G614" s="8">
        <f t="shared" ca="1" si="94"/>
        <v>0</v>
      </c>
      <c r="H614" s="8">
        <f t="shared" ca="1" si="95"/>
        <v>0</v>
      </c>
      <c r="I614" s="8">
        <f t="shared" ca="1" si="96"/>
        <v>0</v>
      </c>
      <c r="J614" s="6" t="e">
        <f ca="1">_xll.xlqxhSMA($C614,$L$4,$J$7,$K$3)</f>
        <v>#NAME?</v>
      </c>
      <c r="K614" s="7" t="e">
        <f ca="1">_xll.xlqhClose($C614,K$8,$K$3)</f>
        <v>#NAME?</v>
      </c>
      <c r="L614" s="7" t="e">
        <f ca="1">_xll.xlqhClose($C614,L$8,$K$3)</f>
        <v>#NAME?</v>
      </c>
      <c r="N614" s="9">
        <f t="shared" ca="1" si="97"/>
        <v>1</v>
      </c>
      <c r="O614" s="9">
        <f t="shared" ca="1" si="98"/>
        <v>1</v>
      </c>
      <c r="P614" s="9">
        <f t="shared" ca="1" si="99"/>
        <v>1</v>
      </c>
      <c r="Q614" s="9">
        <f t="shared" ca="1" si="100"/>
        <v>1</v>
      </c>
      <c r="R614" s="9">
        <f t="shared" ca="1" si="101"/>
        <v>0</v>
      </c>
    </row>
    <row r="615" spans="2:18" x14ac:dyDescent="0.25">
      <c r="B615" s="17" t="s">
        <v>1611</v>
      </c>
      <c r="C615" s="18" t="s">
        <v>1612</v>
      </c>
      <c r="D615" s="7" t="e">
        <f ca="1">_xll.xlqPrice(C615)</f>
        <v>#NAME?</v>
      </c>
      <c r="E615" s="9" t="e">
        <f t="shared" ca="1" si="92"/>
        <v>#NAME?</v>
      </c>
      <c r="F615" s="9">
        <f t="shared" ca="1" si="93"/>
        <v>1</v>
      </c>
      <c r="G615" s="8">
        <f t="shared" ca="1" si="94"/>
        <v>0</v>
      </c>
      <c r="H615" s="8">
        <f t="shared" ca="1" si="95"/>
        <v>0</v>
      </c>
      <c r="I615" s="8">
        <f t="shared" ca="1" si="96"/>
        <v>0</v>
      </c>
      <c r="J615" s="6" t="e">
        <f ca="1">_xll.xlqxhSMA($C615,$L$4,$J$7,$K$3)</f>
        <v>#NAME?</v>
      </c>
      <c r="K615" s="7" t="e">
        <f ca="1">_xll.xlqhClose($C615,K$8,$K$3)</f>
        <v>#NAME?</v>
      </c>
      <c r="L615" s="7" t="e">
        <f ca="1">_xll.xlqhClose($C615,L$8,$K$3)</f>
        <v>#NAME?</v>
      </c>
      <c r="N615" s="9">
        <f t="shared" ca="1" si="97"/>
        <v>1</v>
      </c>
      <c r="O615" s="9">
        <f t="shared" ca="1" si="98"/>
        <v>1</v>
      </c>
      <c r="P615" s="9">
        <f t="shared" ca="1" si="99"/>
        <v>1</v>
      </c>
      <c r="Q615" s="9">
        <f t="shared" ca="1" si="100"/>
        <v>1</v>
      </c>
      <c r="R615" s="9">
        <f t="shared" ca="1" si="101"/>
        <v>0</v>
      </c>
    </row>
    <row r="616" spans="2:18" x14ac:dyDescent="0.25">
      <c r="B616" t="s">
        <v>1279</v>
      </c>
      <c r="C616" s="39" t="s">
        <v>1280</v>
      </c>
      <c r="D616" s="7" t="e">
        <f ca="1">_xll.xlqPrice(C616)</f>
        <v>#NAME?</v>
      </c>
      <c r="E616" s="9" t="e">
        <f t="shared" ca="1" si="92"/>
        <v>#NAME?</v>
      </c>
      <c r="F616" s="9">
        <f t="shared" ca="1" si="93"/>
        <v>1</v>
      </c>
      <c r="G616" s="8">
        <f t="shared" ca="1" si="94"/>
        <v>0</v>
      </c>
      <c r="H616" s="8">
        <f t="shared" ca="1" si="95"/>
        <v>0</v>
      </c>
      <c r="I616" s="8">
        <f t="shared" ca="1" si="96"/>
        <v>0</v>
      </c>
      <c r="J616" s="6" t="e">
        <f ca="1">_xll.xlqxhSMA($C616,$L$4,$J$7,$K$3)</f>
        <v>#NAME?</v>
      </c>
      <c r="K616" s="7" t="e">
        <f ca="1">_xll.xlqhClose($C616,K$8,$K$3)</f>
        <v>#NAME?</v>
      </c>
      <c r="L616" s="7" t="e">
        <f ca="1">_xll.xlqhClose($C616,L$8,$K$3)</f>
        <v>#NAME?</v>
      </c>
      <c r="N616" s="9">
        <f t="shared" ca="1" si="97"/>
        <v>1</v>
      </c>
      <c r="O616" s="9">
        <f t="shared" ca="1" si="98"/>
        <v>1</v>
      </c>
      <c r="P616" s="9">
        <f t="shared" ca="1" si="99"/>
        <v>1</v>
      </c>
      <c r="Q616" s="9">
        <f t="shared" ca="1" si="100"/>
        <v>1</v>
      </c>
      <c r="R616" s="9">
        <f t="shared" ca="1" si="101"/>
        <v>0</v>
      </c>
    </row>
    <row r="617" spans="2:18" x14ac:dyDescent="0.25">
      <c r="B617" s="17" t="s">
        <v>386</v>
      </c>
      <c r="C617" s="18" t="s">
        <v>387</v>
      </c>
      <c r="D617" s="7" t="e">
        <f ca="1">_xll.xlqPrice(C617)</f>
        <v>#NAME?</v>
      </c>
      <c r="E617" s="9" t="e">
        <f t="shared" ca="1" si="92"/>
        <v>#NAME?</v>
      </c>
      <c r="F617" s="9">
        <f t="shared" ca="1" si="93"/>
        <v>1</v>
      </c>
      <c r="G617" s="8">
        <f t="shared" ca="1" si="94"/>
        <v>0</v>
      </c>
      <c r="H617" s="8">
        <f t="shared" ca="1" si="95"/>
        <v>0</v>
      </c>
      <c r="I617" s="8">
        <f t="shared" ca="1" si="96"/>
        <v>0</v>
      </c>
      <c r="J617" s="6" t="e">
        <f ca="1">_xll.xlqxhSMA($C617,$L$4,$J$7,$K$3)</f>
        <v>#NAME?</v>
      </c>
      <c r="K617" s="7" t="e">
        <f ca="1">_xll.xlqhClose($C617,K$8,$K$3)</f>
        <v>#NAME?</v>
      </c>
      <c r="L617" s="7" t="e">
        <f ca="1">_xll.xlqhClose($C617,L$8,$K$3)</f>
        <v>#NAME?</v>
      </c>
      <c r="N617" s="9">
        <f t="shared" ca="1" si="97"/>
        <v>1</v>
      </c>
      <c r="O617" s="9">
        <f t="shared" ca="1" si="98"/>
        <v>1</v>
      </c>
      <c r="P617" s="9">
        <f t="shared" ca="1" si="99"/>
        <v>1</v>
      </c>
      <c r="Q617" s="9">
        <f t="shared" ca="1" si="100"/>
        <v>1</v>
      </c>
      <c r="R617" s="9">
        <f t="shared" ca="1" si="101"/>
        <v>0</v>
      </c>
    </row>
    <row r="618" spans="2:18" x14ac:dyDescent="0.25">
      <c r="B618" t="s">
        <v>376</v>
      </c>
      <c r="C618" s="39" t="s">
        <v>377</v>
      </c>
      <c r="D618" s="7" t="e">
        <f ca="1">_xll.xlqPrice(C618)</f>
        <v>#NAME?</v>
      </c>
      <c r="E618" s="9" t="e">
        <f t="shared" ca="1" si="92"/>
        <v>#NAME?</v>
      </c>
      <c r="F618" s="9">
        <f t="shared" ca="1" si="93"/>
        <v>1</v>
      </c>
      <c r="G618" s="8">
        <f t="shared" ca="1" si="94"/>
        <v>0</v>
      </c>
      <c r="H618" s="8">
        <f t="shared" ca="1" si="95"/>
        <v>0</v>
      </c>
      <c r="I618" s="8">
        <f t="shared" ca="1" si="96"/>
        <v>0</v>
      </c>
      <c r="J618" s="6" t="e">
        <f ca="1">_xll.xlqxhSMA($C618,$L$4,$J$7,$K$3)</f>
        <v>#NAME?</v>
      </c>
      <c r="K618" s="7" t="e">
        <f ca="1">_xll.xlqhClose($C618,K$8,$K$3)</f>
        <v>#NAME?</v>
      </c>
      <c r="L618" s="7" t="e">
        <f ca="1">_xll.xlqhClose($C618,L$8,$K$3)</f>
        <v>#NAME?</v>
      </c>
      <c r="N618" s="9">
        <f t="shared" ca="1" si="97"/>
        <v>1</v>
      </c>
      <c r="O618" s="9">
        <f t="shared" ca="1" si="98"/>
        <v>1</v>
      </c>
      <c r="P618" s="9">
        <f t="shared" ca="1" si="99"/>
        <v>1</v>
      </c>
      <c r="Q618" s="9">
        <f t="shared" ca="1" si="100"/>
        <v>1</v>
      </c>
      <c r="R618" s="9">
        <f t="shared" ca="1" si="101"/>
        <v>0</v>
      </c>
    </row>
    <row r="619" spans="2:18" x14ac:dyDescent="0.25">
      <c r="B619" s="17" t="s">
        <v>2181</v>
      </c>
      <c r="C619" s="18" t="s">
        <v>2182</v>
      </c>
      <c r="D619" s="7" t="e">
        <f ca="1">_xll.xlqPrice(C619)</f>
        <v>#NAME?</v>
      </c>
      <c r="E619" s="9" t="e">
        <f t="shared" ca="1" si="92"/>
        <v>#NAME?</v>
      </c>
      <c r="F619" s="9">
        <f t="shared" ca="1" si="93"/>
        <v>1</v>
      </c>
      <c r="G619" s="8">
        <f t="shared" ca="1" si="94"/>
        <v>0</v>
      </c>
      <c r="H619" s="8">
        <f t="shared" ca="1" si="95"/>
        <v>0</v>
      </c>
      <c r="I619" s="8">
        <f t="shared" ca="1" si="96"/>
        <v>0</v>
      </c>
      <c r="J619" s="6" t="e">
        <f ca="1">_xll.xlqxhSMA($C619,$L$4,$J$7,$K$3)</f>
        <v>#NAME?</v>
      </c>
      <c r="K619" s="7" t="e">
        <f ca="1">_xll.xlqhClose($C619,K$8,$K$3)</f>
        <v>#NAME?</v>
      </c>
      <c r="L619" s="7" t="e">
        <f ca="1">_xll.xlqhClose($C619,L$8,$K$3)</f>
        <v>#NAME?</v>
      </c>
      <c r="N619" s="9">
        <f t="shared" ca="1" si="97"/>
        <v>1</v>
      </c>
      <c r="O619" s="9">
        <f t="shared" ca="1" si="98"/>
        <v>1</v>
      </c>
      <c r="P619" s="9">
        <f t="shared" ca="1" si="99"/>
        <v>1</v>
      </c>
      <c r="Q619" s="9">
        <f t="shared" ca="1" si="100"/>
        <v>1</v>
      </c>
      <c r="R619" s="9">
        <f t="shared" ca="1" si="101"/>
        <v>0</v>
      </c>
    </row>
    <row r="620" spans="2:18" x14ac:dyDescent="0.25">
      <c r="B620" t="s">
        <v>1477</v>
      </c>
      <c r="C620" s="39" t="s">
        <v>1478</v>
      </c>
      <c r="D620" s="7" t="e">
        <f ca="1">_xll.xlqPrice(C620)</f>
        <v>#NAME?</v>
      </c>
      <c r="E620" s="9" t="e">
        <f t="shared" ca="1" si="92"/>
        <v>#NAME?</v>
      </c>
      <c r="F620" s="9">
        <f t="shared" ca="1" si="93"/>
        <v>1</v>
      </c>
      <c r="G620" s="8">
        <f t="shared" ca="1" si="94"/>
        <v>0</v>
      </c>
      <c r="H620" s="8">
        <f t="shared" ca="1" si="95"/>
        <v>0</v>
      </c>
      <c r="I620" s="8">
        <f t="shared" ca="1" si="96"/>
        <v>0</v>
      </c>
      <c r="J620" s="6" t="e">
        <f ca="1">_xll.xlqxhSMA($C620,$L$4,$J$7,$K$3)</f>
        <v>#NAME?</v>
      </c>
      <c r="K620" s="7" t="e">
        <f ca="1">_xll.xlqhClose($C620,K$8,$K$3)</f>
        <v>#NAME?</v>
      </c>
      <c r="L620" s="7" t="e">
        <f ca="1">_xll.xlqhClose($C620,L$8,$K$3)</f>
        <v>#NAME?</v>
      </c>
      <c r="N620" s="9">
        <f t="shared" ca="1" si="97"/>
        <v>1</v>
      </c>
      <c r="O620" s="9">
        <f t="shared" ca="1" si="98"/>
        <v>1</v>
      </c>
      <c r="P620" s="9">
        <f t="shared" ca="1" si="99"/>
        <v>1</v>
      </c>
      <c r="Q620" s="9">
        <f t="shared" ca="1" si="100"/>
        <v>1</v>
      </c>
      <c r="R620" s="9">
        <f t="shared" ca="1" si="101"/>
        <v>0</v>
      </c>
    </row>
    <row r="621" spans="2:18" x14ac:dyDescent="0.25">
      <c r="B621" s="17" t="s">
        <v>65</v>
      </c>
      <c r="C621" s="18" t="s">
        <v>66</v>
      </c>
      <c r="D621" s="7" t="e">
        <f ca="1">_xll.xlqPrice(C621)</f>
        <v>#NAME?</v>
      </c>
      <c r="E621" s="9" t="e">
        <f t="shared" ca="1" si="92"/>
        <v>#NAME?</v>
      </c>
      <c r="F621" s="9">
        <f t="shared" ca="1" si="93"/>
        <v>1</v>
      </c>
      <c r="G621" s="8">
        <f t="shared" ca="1" si="94"/>
        <v>0</v>
      </c>
      <c r="H621" s="8">
        <f t="shared" ca="1" si="95"/>
        <v>0</v>
      </c>
      <c r="I621" s="8">
        <f t="shared" ca="1" si="96"/>
        <v>0</v>
      </c>
      <c r="J621" s="6" t="e">
        <f ca="1">_xll.xlqxhSMA($C621,$L$4,$J$7,$K$3)</f>
        <v>#NAME?</v>
      </c>
      <c r="K621" s="7" t="e">
        <f ca="1">_xll.xlqhClose($C621,K$8,$K$3)</f>
        <v>#NAME?</v>
      </c>
      <c r="L621" s="7" t="e">
        <f ca="1">_xll.xlqhClose($C621,L$8,$K$3)</f>
        <v>#NAME?</v>
      </c>
      <c r="N621" s="9">
        <f t="shared" ca="1" si="97"/>
        <v>1</v>
      </c>
      <c r="O621" s="9">
        <f t="shared" ca="1" si="98"/>
        <v>1</v>
      </c>
      <c r="P621" s="9">
        <f t="shared" ca="1" si="99"/>
        <v>1</v>
      </c>
      <c r="Q621" s="9">
        <f t="shared" ca="1" si="100"/>
        <v>1</v>
      </c>
      <c r="R621" s="9">
        <f t="shared" ca="1" si="101"/>
        <v>0</v>
      </c>
    </row>
    <row r="622" spans="2:18" x14ac:dyDescent="0.25">
      <c r="B622" s="17" t="s">
        <v>686</v>
      </c>
      <c r="C622" s="18" t="s">
        <v>687</v>
      </c>
      <c r="D622" s="7" t="e">
        <f ca="1">_xll.xlqPrice(C622)</f>
        <v>#NAME?</v>
      </c>
      <c r="E622" s="9" t="e">
        <f t="shared" ca="1" si="92"/>
        <v>#NAME?</v>
      </c>
      <c r="F622" s="9">
        <f t="shared" ca="1" si="93"/>
        <v>1</v>
      </c>
      <c r="G622" s="8">
        <f t="shared" ca="1" si="94"/>
        <v>0</v>
      </c>
      <c r="H622" s="8">
        <f t="shared" ca="1" si="95"/>
        <v>0</v>
      </c>
      <c r="I622" s="8">
        <f t="shared" ca="1" si="96"/>
        <v>0</v>
      </c>
      <c r="J622" s="6" t="e">
        <f ca="1">_xll.xlqxhSMA($C622,$L$4,$J$7,$K$3)</f>
        <v>#NAME?</v>
      </c>
      <c r="K622" s="7" t="e">
        <f ca="1">_xll.xlqhClose($C622,K$8,$K$3)</f>
        <v>#NAME?</v>
      </c>
      <c r="L622" s="7" t="e">
        <f ca="1">_xll.xlqhClose($C622,L$8,$K$3)</f>
        <v>#NAME?</v>
      </c>
      <c r="N622" s="9">
        <f t="shared" ca="1" si="97"/>
        <v>1</v>
      </c>
      <c r="O622" s="9">
        <f t="shared" ca="1" si="98"/>
        <v>1</v>
      </c>
      <c r="P622" s="9">
        <f t="shared" ca="1" si="99"/>
        <v>1</v>
      </c>
      <c r="Q622" s="9">
        <f t="shared" ca="1" si="100"/>
        <v>1</v>
      </c>
      <c r="R622" s="9">
        <f t="shared" ca="1" si="101"/>
        <v>0</v>
      </c>
    </row>
    <row r="623" spans="2:18" x14ac:dyDescent="0.25">
      <c r="B623" s="17" t="s">
        <v>47</v>
      </c>
      <c r="C623" s="18" t="s">
        <v>15</v>
      </c>
      <c r="D623" s="7" t="e">
        <f ca="1">_xll.xlqPrice(C623)</f>
        <v>#NAME?</v>
      </c>
      <c r="E623" s="9" t="e">
        <f t="shared" ca="1" si="92"/>
        <v>#NAME?</v>
      </c>
      <c r="F623" s="9">
        <f t="shared" ca="1" si="93"/>
        <v>1</v>
      </c>
      <c r="G623" s="8">
        <f t="shared" ca="1" si="94"/>
        <v>0</v>
      </c>
      <c r="H623" s="8">
        <f t="shared" ca="1" si="95"/>
        <v>0</v>
      </c>
      <c r="I623" s="8">
        <f t="shared" ca="1" si="96"/>
        <v>0</v>
      </c>
      <c r="J623" s="6" t="e">
        <f ca="1">_xll.xlqxhSMA($C623,$L$4,$J$7,$K$3)</f>
        <v>#NAME?</v>
      </c>
      <c r="K623" s="7" t="e">
        <f ca="1">_xll.xlqhClose($C623,K$8,$K$3)</f>
        <v>#NAME?</v>
      </c>
      <c r="L623" s="7" t="e">
        <f ca="1">_xll.xlqhClose($C623,L$8,$K$3)</f>
        <v>#NAME?</v>
      </c>
      <c r="N623" s="9">
        <f t="shared" ca="1" si="97"/>
        <v>1</v>
      </c>
      <c r="O623" s="9">
        <f t="shared" ca="1" si="98"/>
        <v>1</v>
      </c>
      <c r="P623" s="9">
        <f t="shared" ca="1" si="99"/>
        <v>1</v>
      </c>
      <c r="Q623" s="9">
        <f t="shared" ca="1" si="100"/>
        <v>1</v>
      </c>
      <c r="R623" s="9">
        <f t="shared" ca="1" si="101"/>
        <v>0</v>
      </c>
    </row>
    <row r="624" spans="2:18" x14ac:dyDescent="0.25">
      <c r="B624" t="s">
        <v>156</v>
      </c>
      <c r="C624" s="39" t="s">
        <v>157</v>
      </c>
      <c r="D624" s="7" t="e">
        <f ca="1">_xll.xlqPrice(C624)</f>
        <v>#NAME?</v>
      </c>
      <c r="E624" s="9" t="e">
        <f t="shared" ca="1" si="92"/>
        <v>#NAME?</v>
      </c>
      <c r="F624" s="9">
        <f t="shared" ca="1" si="93"/>
        <v>1</v>
      </c>
      <c r="G624" s="8">
        <f t="shared" ca="1" si="94"/>
        <v>0</v>
      </c>
      <c r="H624" s="8">
        <f t="shared" ca="1" si="95"/>
        <v>0</v>
      </c>
      <c r="I624" s="8">
        <f t="shared" ca="1" si="96"/>
        <v>0</v>
      </c>
      <c r="J624" s="6" t="e">
        <f ca="1">_xll.xlqxhSMA($C624,$L$4,$J$7,$K$3)</f>
        <v>#NAME?</v>
      </c>
      <c r="K624" s="7" t="e">
        <f ca="1">_xll.xlqhClose($C624,K$8,$K$3)</f>
        <v>#NAME?</v>
      </c>
      <c r="L624" s="7" t="e">
        <f ca="1">_xll.xlqhClose($C624,L$8,$K$3)</f>
        <v>#NAME?</v>
      </c>
      <c r="N624" s="9">
        <f t="shared" ca="1" si="97"/>
        <v>1</v>
      </c>
      <c r="O624" s="9">
        <f t="shared" ca="1" si="98"/>
        <v>1</v>
      </c>
      <c r="P624" s="9">
        <f t="shared" ca="1" si="99"/>
        <v>1</v>
      </c>
      <c r="Q624" s="9">
        <f t="shared" ca="1" si="100"/>
        <v>1</v>
      </c>
      <c r="R624" s="9">
        <f t="shared" ca="1" si="101"/>
        <v>0</v>
      </c>
    </row>
    <row r="625" spans="2:18" x14ac:dyDescent="0.25">
      <c r="B625" s="17" t="s">
        <v>2287</v>
      </c>
      <c r="C625" s="18" t="s">
        <v>2288</v>
      </c>
      <c r="D625" s="7" t="e">
        <f ca="1">_xll.xlqPrice(C625)</f>
        <v>#NAME?</v>
      </c>
      <c r="E625" s="9" t="e">
        <f t="shared" ca="1" si="92"/>
        <v>#NAME?</v>
      </c>
      <c r="F625" s="9">
        <f t="shared" ca="1" si="93"/>
        <v>1</v>
      </c>
      <c r="G625" s="8">
        <f t="shared" ca="1" si="94"/>
        <v>0</v>
      </c>
      <c r="H625" s="8">
        <f t="shared" ca="1" si="95"/>
        <v>0</v>
      </c>
      <c r="I625" s="8">
        <f t="shared" ca="1" si="96"/>
        <v>0</v>
      </c>
      <c r="J625" s="6" t="e">
        <f ca="1">_xll.xlqxhSMA($C625,$L$4,$J$7,$K$3)</f>
        <v>#NAME?</v>
      </c>
      <c r="K625" s="7" t="e">
        <f ca="1">_xll.xlqhClose($C625,K$8,$K$3)</f>
        <v>#NAME?</v>
      </c>
      <c r="L625" s="7" t="e">
        <f ca="1">_xll.xlqhClose($C625,L$8,$K$3)</f>
        <v>#NAME?</v>
      </c>
      <c r="N625" s="9">
        <f t="shared" ca="1" si="97"/>
        <v>1</v>
      </c>
      <c r="O625" s="9">
        <f t="shared" ca="1" si="98"/>
        <v>1</v>
      </c>
      <c r="P625" s="9">
        <f t="shared" ca="1" si="99"/>
        <v>1</v>
      </c>
      <c r="Q625" s="9">
        <f t="shared" ca="1" si="100"/>
        <v>1</v>
      </c>
      <c r="R625" s="9">
        <f t="shared" ca="1" si="101"/>
        <v>0</v>
      </c>
    </row>
    <row r="626" spans="2:18" x14ac:dyDescent="0.25">
      <c r="B626" s="17" t="s">
        <v>2129</v>
      </c>
      <c r="C626" s="18" t="s">
        <v>2130</v>
      </c>
      <c r="D626" s="7" t="e">
        <f ca="1">_xll.xlqPrice(C626)</f>
        <v>#NAME?</v>
      </c>
      <c r="E626" s="9" t="e">
        <f t="shared" ca="1" si="92"/>
        <v>#NAME?</v>
      </c>
      <c r="F626" s="9">
        <f t="shared" ca="1" si="93"/>
        <v>1</v>
      </c>
      <c r="G626" s="8">
        <f t="shared" ca="1" si="94"/>
        <v>0</v>
      </c>
      <c r="H626" s="8">
        <f t="shared" ca="1" si="95"/>
        <v>0</v>
      </c>
      <c r="I626" s="8">
        <f t="shared" ca="1" si="96"/>
        <v>0</v>
      </c>
      <c r="J626" s="6" t="e">
        <f ca="1">_xll.xlqxhSMA($C626,$L$4,$J$7,$K$3)</f>
        <v>#NAME?</v>
      </c>
      <c r="K626" s="7" t="e">
        <f ca="1">_xll.xlqhClose($C626,K$8,$K$3)</f>
        <v>#NAME?</v>
      </c>
      <c r="L626" s="7" t="e">
        <f ca="1">_xll.xlqhClose($C626,L$8,$K$3)</f>
        <v>#NAME?</v>
      </c>
      <c r="N626" s="9">
        <f t="shared" ca="1" si="97"/>
        <v>1</v>
      </c>
      <c r="O626" s="9">
        <f t="shared" ca="1" si="98"/>
        <v>1</v>
      </c>
      <c r="P626" s="9">
        <f t="shared" ca="1" si="99"/>
        <v>1</v>
      </c>
      <c r="Q626" s="9">
        <f t="shared" ca="1" si="100"/>
        <v>1</v>
      </c>
      <c r="R626" s="9">
        <f t="shared" ca="1" si="101"/>
        <v>0</v>
      </c>
    </row>
    <row r="627" spans="2:18" x14ac:dyDescent="0.25">
      <c r="B627" s="17" t="s">
        <v>1689</v>
      </c>
      <c r="C627" s="18" t="s">
        <v>1690</v>
      </c>
      <c r="D627" s="7" t="e">
        <f ca="1">_xll.xlqPrice(C627)</f>
        <v>#NAME?</v>
      </c>
      <c r="E627" s="9" t="e">
        <f t="shared" ca="1" si="92"/>
        <v>#NAME?</v>
      </c>
      <c r="F627" s="9">
        <f t="shared" ca="1" si="93"/>
        <v>1</v>
      </c>
      <c r="G627" s="8">
        <f t="shared" ca="1" si="94"/>
        <v>0</v>
      </c>
      <c r="H627" s="8">
        <f t="shared" ca="1" si="95"/>
        <v>0</v>
      </c>
      <c r="I627" s="8">
        <f t="shared" ca="1" si="96"/>
        <v>0</v>
      </c>
      <c r="J627" s="6" t="e">
        <f ca="1">_xll.xlqxhSMA($C627,$L$4,$J$7,$K$3)</f>
        <v>#NAME?</v>
      </c>
      <c r="K627" s="7" t="e">
        <f ca="1">_xll.xlqhClose($C627,K$8,$K$3)</f>
        <v>#NAME?</v>
      </c>
      <c r="L627" s="7" t="e">
        <f ca="1">_xll.xlqhClose($C627,L$8,$K$3)</f>
        <v>#NAME?</v>
      </c>
      <c r="N627" s="9">
        <f t="shared" ca="1" si="97"/>
        <v>1</v>
      </c>
      <c r="O627" s="9">
        <f t="shared" ca="1" si="98"/>
        <v>1</v>
      </c>
      <c r="P627" s="9">
        <f t="shared" ca="1" si="99"/>
        <v>1</v>
      </c>
      <c r="Q627" s="9">
        <f t="shared" ca="1" si="100"/>
        <v>1</v>
      </c>
      <c r="R627" s="9">
        <f t="shared" ca="1" si="101"/>
        <v>0</v>
      </c>
    </row>
    <row r="628" spans="2:18" x14ac:dyDescent="0.25">
      <c r="B628" s="17" t="s">
        <v>1573</v>
      </c>
      <c r="C628" s="18" t="s">
        <v>1574</v>
      </c>
      <c r="D628" s="7" t="e">
        <f ca="1">_xll.xlqPrice(C628)</f>
        <v>#NAME?</v>
      </c>
      <c r="E628" s="9" t="e">
        <f t="shared" ca="1" si="92"/>
        <v>#NAME?</v>
      </c>
      <c r="F628" s="9">
        <f t="shared" ca="1" si="93"/>
        <v>1</v>
      </c>
      <c r="G628" s="8">
        <f t="shared" ca="1" si="94"/>
        <v>0</v>
      </c>
      <c r="H628" s="8">
        <f t="shared" ca="1" si="95"/>
        <v>0</v>
      </c>
      <c r="I628" s="8">
        <f t="shared" ca="1" si="96"/>
        <v>0</v>
      </c>
      <c r="J628" s="6" t="e">
        <f ca="1">_xll.xlqxhSMA($C628,$L$4,$J$7,$K$3)</f>
        <v>#NAME?</v>
      </c>
      <c r="K628" s="7" t="e">
        <f ca="1">_xll.xlqhClose($C628,K$8,$K$3)</f>
        <v>#NAME?</v>
      </c>
      <c r="L628" s="7" t="e">
        <f ca="1">_xll.xlqhClose($C628,L$8,$K$3)</f>
        <v>#NAME?</v>
      </c>
      <c r="N628" s="9">
        <f t="shared" ca="1" si="97"/>
        <v>1</v>
      </c>
      <c r="O628" s="9">
        <f t="shared" ca="1" si="98"/>
        <v>1</v>
      </c>
      <c r="P628" s="9">
        <f t="shared" ca="1" si="99"/>
        <v>1</v>
      </c>
      <c r="Q628" s="9">
        <f t="shared" ca="1" si="100"/>
        <v>1</v>
      </c>
      <c r="R628" s="9">
        <f t="shared" ca="1" si="101"/>
        <v>0</v>
      </c>
    </row>
    <row r="629" spans="2:18" x14ac:dyDescent="0.25">
      <c r="B629" t="s">
        <v>1299</v>
      </c>
      <c r="C629" s="39" t="s">
        <v>1300</v>
      </c>
      <c r="D629" s="7" t="e">
        <f ca="1">_xll.xlqPrice(C629)</f>
        <v>#NAME?</v>
      </c>
      <c r="E629" s="9" t="e">
        <f t="shared" ca="1" si="92"/>
        <v>#NAME?</v>
      </c>
      <c r="F629" s="9">
        <f t="shared" ca="1" si="93"/>
        <v>1</v>
      </c>
      <c r="G629" s="8">
        <f t="shared" ca="1" si="94"/>
        <v>0</v>
      </c>
      <c r="H629" s="8">
        <f t="shared" ca="1" si="95"/>
        <v>0</v>
      </c>
      <c r="I629" s="8">
        <f t="shared" ca="1" si="96"/>
        <v>0</v>
      </c>
      <c r="J629" s="6" t="e">
        <f ca="1">_xll.xlqxhSMA($C629,$L$4,$J$7,$K$3)</f>
        <v>#NAME?</v>
      </c>
      <c r="K629" s="7" t="e">
        <f ca="1">_xll.xlqhClose($C629,K$8,$K$3)</f>
        <v>#NAME?</v>
      </c>
      <c r="L629" s="7" t="e">
        <f ca="1">_xll.xlqhClose($C629,L$8,$K$3)</f>
        <v>#NAME?</v>
      </c>
      <c r="N629" s="9">
        <f t="shared" ca="1" si="97"/>
        <v>1</v>
      </c>
      <c r="O629" s="9">
        <f t="shared" ca="1" si="98"/>
        <v>1</v>
      </c>
      <c r="P629" s="9">
        <f t="shared" ca="1" si="99"/>
        <v>1</v>
      </c>
      <c r="Q629" s="9">
        <f t="shared" ca="1" si="100"/>
        <v>1</v>
      </c>
      <c r="R629" s="9">
        <f t="shared" ca="1" si="101"/>
        <v>0</v>
      </c>
    </row>
    <row r="630" spans="2:18" x14ac:dyDescent="0.25">
      <c r="B630" s="17" t="s">
        <v>1709</v>
      </c>
      <c r="C630" s="18" t="s">
        <v>1710</v>
      </c>
      <c r="D630" s="7" t="e">
        <f ca="1">_xll.xlqPrice(C630)</f>
        <v>#NAME?</v>
      </c>
      <c r="E630" s="9" t="e">
        <f t="shared" ca="1" si="92"/>
        <v>#NAME?</v>
      </c>
      <c r="F630" s="9">
        <f t="shared" ca="1" si="93"/>
        <v>1</v>
      </c>
      <c r="G630" s="8">
        <f t="shared" ca="1" si="94"/>
        <v>0</v>
      </c>
      <c r="H630" s="8">
        <f t="shared" ca="1" si="95"/>
        <v>0</v>
      </c>
      <c r="I630" s="8">
        <f t="shared" ca="1" si="96"/>
        <v>0</v>
      </c>
      <c r="J630" s="6" t="e">
        <f ca="1">_xll.xlqxhSMA($C630,$L$4,$J$7,$K$3)</f>
        <v>#NAME?</v>
      </c>
      <c r="K630" s="7" t="e">
        <f ca="1">_xll.xlqhClose($C630,K$8,$K$3)</f>
        <v>#NAME?</v>
      </c>
      <c r="L630" s="7" t="e">
        <f ca="1">_xll.xlqhClose($C630,L$8,$K$3)</f>
        <v>#NAME?</v>
      </c>
      <c r="N630" s="9">
        <f t="shared" ca="1" si="97"/>
        <v>1</v>
      </c>
      <c r="O630" s="9">
        <f t="shared" ca="1" si="98"/>
        <v>1</v>
      </c>
      <c r="P630" s="9">
        <f t="shared" ca="1" si="99"/>
        <v>1</v>
      </c>
      <c r="Q630" s="9">
        <f t="shared" ca="1" si="100"/>
        <v>1</v>
      </c>
      <c r="R630" s="9">
        <f t="shared" ca="1" si="101"/>
        <v>0</v>
      </c>
    </row>
    <row r="631" spans="2:18" x14ac:dyDescent="0.25">
      <c r="B631" t="s">
        <v>1253</v>
      </c>
      <c r="C631" s="39" t="s">
        <v>1254</v>
      </c>
      <c r="D631" s="7" t="e">
        <f ca="1">_xll.xlqPrice(C631)</f>
        <v>#NAME?</v>
      </c>
      <c r="E631" s="9" t="e">
        <f t="shared" ca="1" si="92"/>
        <v>#NAME?</v>
      </c>
      <c r="F631" s="9">
        <f t="shared" ca="1" si="93"/>
        <v>1</v>
      </c>
      <c r="G631" s="8">
        <f t="shared" ca="1" si="94"/>
        <v>0</v>
      </c>
      <c r="H631" s="8">
        <f t="shared" ca="1" si="95"/>
        <v>0</v>
      </c>
      <c r="I631" s="8">
        <f t="shared" ca="1" si="96"/>
        <v>0</v>
      </c>
      <c r="J631" s="6" t="e">
        <f ca="1">_xll.xlqxhSMA($C631,$L$4,$J$7,$K$3)</f>
        <v>#NAME?</v>
      </c>
      <c r="K631" s="7" t="e">
        <f ca="1">_xll.xlqhClose($C631,K$8,$K$3)</f>
        <v>#NAME?</v>
      </c>
      <c r="L631" s="7" t="e">
        <f ca="1">_xll.xlqhClose($C631,L$8,$K$3)</f>
        <v>#NAME?</v>
      </c>
      <c r="N631" s="9">
        <f t="shared" ca="1" si="97"/>
        <v>1</v>
      </c>
      <c r="O631" s="9">
        <f t="shared" ca="1" si="98"/>
        <v>1</v>
      </c>
      <c r="P631" s="9">
        <f t="shared" ca="1" si="99"/>
        <v>1</v>
      </c>
      <c r="Q631" s="9">
        <f t="shared" ca="1" si="100"/>
        <v>1</v>
      </c>
      <c r="R631" s="9">
        <f t="shared" ca="1" si="101"/>
        <v>0</v>
      </c>
    </row>
    <row r="632" spans="2:18" x14ac:dyDescent="0.25">
      <c r="B632" t="s">
        <v>1377</v>
      </c>
      <c r="C632" s="39" t="s">
        <v>1378</v>
      </c>
      <c r="D632" s="7" t="e">
        <f ca="1">_xll.xlqPrice(C632)</f>
        <v>#NAME?</v>
      </c>
      <c r="E632" s="9" t="e">
        <f t="shared" ca="1" si="92"/>
        <v>#NAME?</v>
      </c>
      <c r="F632" s="9">
        <f t="shared" ca="1" si="93"/>
        <v>1</v>
      </c>
      <c r="G632" s="8">
        <f t="shared" ca="1" si="94"/>
        <v>0</v>
      </c>
      <c r="H632" s="8">
        <f t="shared" ca="1" si="95"/>
        <v>0</v>
      </c>
      <c r="I632" s="8">
        <f t="shared" ca="1" si="96"/>
        <v>0</v>
      </c>
      <c r="J632" s="6" t="e">
        <f ca="1">_xll.xlqxhSMA($C632,$L$4,$J$7,$K$3)</f>
        <v>#NAME?</v>
      </c>
      <c r="K632" s="7" t="e">
        <f ca="1">_xll.xlqhClose($C632,K$8,$K$3)</f>
        <v>#NAME?</v>
      </c>
      <c r="L632" s="7" t="e">
        <f ca="1">_xll.xlqhClose($C632,L$8,$K$3)</f>
        <v>#NAME?</v>
      </c>
      <c r="N632" s="9">
        <f t="shared" ca="1" si="97"/>
        <v>1</v>
      </c>
      <c r="O632" s="9">
        <f t="shared" ca="1" si="98"/>
        <v>1</v>
      </c>
      <c r="P632" s="9">
        <f t="shared" ca="1" si="99"/>
        <v>1</v>
      </c>
      <c r="Q632" s="9">
        <f t="shared" ca="1" si="100"/>
        <v>1</v>
      </c>
      <c r="R632" s="9">
        <f t="shared" ca="1" si="101"/>
        <v>0</v>
      </c>
    </row>
    <row r="633" spans="2:18" x14ac:dyDescent="0.25">
      <c r="B633" s="17" t="s">
        <v>346</v>
      </c>
      <c r="C633" s="18" t="s">
        <v>347</v>
      </c>
      <c r="D633" s="7" t="e">
        <f ca="1">_xll.xlqPrice(C633)</f>
        <v>#NAME?</v>
      </c>
      <c r="E633" s="9" t="e">
        <f t="shared" ca="1" si="92"/>
        <v>#NAME?</v>
      </c>
      <c r="F633" s="9">
        <f t="shared" ca="1" si="93"/>
        <v>1</v>
      </c>
      <c r="G633" s="8">
        <f t="shared" ca="1" si="94"/>
        <v>0</v>
      </c>
      <c r="H633" s="8">
        <f t="shared" ca="1" si="95"/>
        <v>0</v>
      </c>
      <c r="I633" s="8">
        <f t="shared" ca="1" si="96"/>
        <v>0</v>
      </c>
      <c r="J633" s="6" t="e">
        <f ca="1">_xll.xlqxhSMA($C633,$L$4,$J$7,$K$3)</f>
        <v>#NAME?</v>
      </c>
      <c r="K633" s="7" t="e">
        <f ca="1">_xll.xlqhClose($C633,K$8,$K$3)</f>
        <v>#NAME?</v>
      </c>
      <c r="L633" s="7" t="e">
        <f ca="1">_xll.xlqhClose($C633,L$8,$K$3)</f>
        <v>#NAME?</v>
      </c>
      <c r="N633" s="9">
        <f t="shared" ca="1" si="97"/>
        <v>1</v>
      </c>
      <c r="O633" s="9">
        <f t="shared" ca="1" si="98"/>
        <v>1</v>
      </c>
      <c r="P633" s="9">
        <f t="shared" ca="1" si="99"/>
        <v>1</v>
      </c>
      <c r="Q633" s="9">
        <f t="shared" ca="1" si="100"/>
        <v>1</v>
      </c>
      <c r="R633" s="9">
        <f t="shared" ca="1" si="101"/>
        <v>0</v>
      </c>
    </row>
    <row r="634" spans="2:18" x14ac:dyDescent="0.25">
      <c r="B634" s="17" t="s">
        <v>1917</v>
      </c>
      <c r="C634" s="18" t="s">
        <v>1918</v>
      </c>
      <c r="D634" s="7" t="e">
        <f ca="1">_xll.xlqPrice(C634)</f>
        <v>#NAME?</v>
      </c>
      <c r="E634" s="9" t="e">
        <f t="shared" ca="1" si="92"/>
        <v>#NAME?</v>
      </c>
      <c r="F634" s="9">
        <f t="shared" ca="1" si="93"/>
        <v>1</v>
      </c>
      <c r="G634" s="8">
        <f t="shared" ca="1" si="94"/>
        <v>0</v>
      </c>
      <c r="H634" s="8">
        <f t="shared" ca="1" si="95"/>
        <v>0</v>
      </c>
      <c r="I634" s="8">
        <f t="shared" ca="1" si="96"/>
        <v>0</v>
      </c>
      <c r="J634" s="6" t="e">
        <f ca="1">_xll.xlqxhSMA($C634,$L$4,$J$7,$K$3)</f>
        <v>#NAME?</v>
      </c>
      <c r="K634" s="7" t="e">
        <f ca="1">_xll.xlqhClose($C634,K$8,$K$3)</f>
        <v>#NAME?</v>
      </c>
      <c r="L634" s="7" t="e">
        <f ca="1">_xll.xlqhClose($C634,L$8,$K$3)</f>
        <v>#NAME?</v>
      </c>
      <c r="N634" s="9">
        <f t="shared" ca="1" si="97"/>
        <v>1</v>
      </c>
      <c r="O634" s="9">
        <f t="shared" ca="1" si="98"/>
        <v>1</v>
      </c>
      <c r="P634" s="9">
        <f t="shared" ca="1" si="99"/>
        <v>1</v>
      </c>
      <c r="Q634" s="9">
        <f t="shared" ca="1" si="100"/>
        <v>1</v>
      </c>
      <c r="R634" s="9">
        <f t="shared" ca="1" si="101"/>
        <v>0</v>
      </c>
    </row>
    <row r="635" spans="2:18" x14ac:dyDescent="0.25">
      <c r="B635" s="17" t="s">
        <v>71</v>
      </c>
      <c r="C635" s="18" t="s">
        <v>72</v>
      </c>
      <c r="D635" s="7" t="e">
        <f ca="1">_xll.xlqPrice(C635)</f>
        <v>#NAME?</v>
      </c>
      <c r="E635" s="9" t="e">
        <f t="shared" ca="1" si="92"/>
        <v>#NAME?</v>
      </c>
      <c r="F635" s="9">
        <f t="shared" ca="1" si="93"/>
        <v>1</v>
      </c>
      <c r="G635" s="8">
        <f t="shared" ca="1" si="94"/>
        <v>0</v>
      </c>
      <c r="H635" s="8">
        <f t="shared" ca="1" si="95"/>
        <v>0</v>
      </c>
      <c r="I635" s="8">
        <f t="shared" ca="1" si="96"/>
        <v>0</v>
      </c>
      <c r="J635" s="6" t="e">
        <f ca="1">_xll.xlqxhSMA($C635,$L$4,$J$7,$K$3)</f>
        <v>#NAME?</v>
      </c>
      <c r="K635" s="7" t="e">
        <f ca="1">_xll.xlqhClose($C635,K$8,$K$3)</f>
        <v>#NAME?</v>
      </c>
      <c r="L635" s="7" t="e">
        <f ca="1">_xll.xlqhClose($C635,L$8,$K$3)</f>
        <v>#NAME?</v>
      </c>
      <c r="N635" s="9">
        <f t="shared" ca="1" si="97"/>
        <v>1</v>
      </c>
      <c r="O635" s="9">
        <f t="shared" ca="1" si="98"/>
        <v>1</v>
      </c>
      <c r="P635" s="9">
        <f t="shared" ca="1" si="99"/>
        <v>1</v>
      </c>
      <c r="Q635" s="9">
        <f t="shared" ca="1" si="100"/>
        <v>1</v>
      </c>
      <c r="R635" s="9">
        <f t="shared" ca="1" si="101"/>
        <v>0</v>
      </c>
    </row>
    <row r="636" spans="2:18" x14ac:dyDescent="0.25">
      <c r="B636" s="17" t="s">
        <v>692</v>
      </c>
      <c r="C636" s="18" t="s">
        <v>693</v>
      </c>
      <c r="D636" s="7" t="e">
        <f ca="1">_xll.xlqPrice(C636)</f>
        <v>#NAME?</v>
      </c>
      <c r="E636" s="9" t="e">
        <f t="shared" ca="1" si="92"/>
        <v>#NAME?</v>
      </c>
      <c r="F636" s="9">
        <f t="shared" ca="1" si="93"/>
        <v>1</v>
      </c>
      <c r="G636" s="8">
        <f t="shared" ca="1" si="94"/>
        <v>0</v>
      </c>
      <c r="H636" s="8">
        <f t="shared" ca="1" si="95"/>
        <v>0</v>
      </c>
      <c r="I636" s="8">
        <f t="shared" ca="1" si="96"/>
        <v>0</v>
      </c>
      <c r="J636" s="6" t="e">
        <f ca="1">_xll.xlqxhSMA($C636,$L$4,$J$7,$K$3)</f>
        <v>#NAME?</v>
      </c>
      <c r="K636" s="7" t="e">
        <f ca="1">_xll.xlqhClose($C636,K$8,$K$3)</f>
        <v>#NAME?</v>
      </c>
      <c r="L636" s="7" t="e">
        <f ca="1">_xll.xlqhClose($C636,L$8,$K$3)</f>
        <v>#NAME?</v>
      </c>
      <c r="N636" s="9">
        <f t="shared" ca="1" si="97"/>
        <v>1</v>
      </c>
      <c r="O636" s="9">
        <f t="shared" ca="1" si="98"/>
        <v>1</v>
      </c>
      <c r="P636" s="9">
        <f t="shared" ca="1" si="99"/>
        <v>1</v>
      </c>
      <c r="Q636" s="9">
        <f t="shared" ca="1" si="100"/>
        <v>1</v>
      </c>
      <c r="R636" s="9">
        <f t="shared" ca="1" si="101"/>
        <v>0</v>
      </c>
    </row>
    <row r="637" spans="2:18" x14ac:dyDescent="0.25">
      <c r="B637" s="17" t="s">
        <v>430</v>
      </c>
      <c r="C637" s="18" t="s">
        <v>431</v>
      </c>
      <c r="D637" s="7" t="e">
        <f ca="1">_xll.xlqPrice(C637)</f>
        <v>#NAME?</v>
      </c>
      <c r="E637" s="9" t="e">
        <f t="shared" ca="1" si="92"/>
        <v>#NAME?</v>
      </c>
      <c r="F637" s="9">
        <f t="shared" ca="1" si="93"/>
        <v>1</v>
      </c>
      <c r="G637" s="8">
        <f t="shared" ca="1" si="94"/>
        <v>0</v>
      </c>
      <c r="H637" s="8">
        <f t="shared" ca="1" si="95"/>
        <v>0</v>
      </c>
      <c r="I637" s="8">
        <f t="shared" ca="1" si="96"/>
        <v>0</v>
      </c>
      <c r="J637" s="6" t="e">
        <f ca="1">_xll.xlqxhSMA($C637,$L$4,$J$7,$K$3)</f>
        <v>#NAME?</v>
      </c>
      <c r="K637" s="7" t="e">
        <f ca="1">_xll.xlqhClose($C637,K$8,$K$3)</f>
        <v>#NAME?</v>
      </c>
      <c r="L637" s="7" t="e">
        <f ca="1">_xll.xlqhClose($C637,L$8,$K$3)</f>
        <v>#NAME?</v>
      </c>
      <c r="N637" s="9">
        <f t="shared" ca="1" si="97"/>
        <v>1</v>
      </c>
      <c r="O637" s="9">
        <f t="shared" ca="1" si="98"/>
        <v>1</v>
      </c>
      <c r="P637" s="9">
        <f t="shared" ca="1" si="99"/>
        <v>1</v>
      </c>
      <c r="Q637" s="9">
        <f t="shared" ca="1" si="100"/>
        <v>1</v>
      </c>
      <c r="R637" s="9">
        <f t="shared" ca="1" si="101"/>
        <v>0</v>
      </c>
    </row>
    <row r="638" spans="2:18" x14ac:dyDescent="0.25">
      <c r="B638" s="17" t="s">
        <v>446</v>
      </c>
      <c r="C638" s="18" t="s">
        <v>447</v>
      </c>
      <c r="D638" s="7" t="e">
        <f ca="1">_xll.xlqPrice(C638)</f>
        <v>#NAME?</v>
      </c>
      <c r="E638" s="9" t="e">
        <f t="shared" ca="1" si="92"/>
        <v>#NAME?</v>
      </c>
      <c r="F638" s="9">
        <f t="shared" ca="1" si="93"/>
        <v>1</v>
      </c>
      <c r="G638" s="8">
        <f t="shared" ca="1" si="94"/>
        <v>0</v>
      </c>
      <c r="H638" s="8">
        <f t="shared" ca="1" si="95"/>
        <v>0</v>
      </c>
      <c r="I638" s="8">
        <f t="shared" ca="1" si="96"/>
        <v>0</v>
      </c>
      <c r="J638" s="6" t="e">
        <f ca="1">_xll.xlqxhSMA($C638,$L$4,$J$7,$K$3)</f>
        <v>#NAME?</v>
      </c>
      <c r="K638" s="7" t="e">
        <f ca="1">_xll.xlqhClose($C638,K$8,$K$3)</f>
        <v>#NAME?</v>
      </c>
      <c r="L638" s="7" t="e">
        <f ca="1">_xll.xlqhClose($C638,L$8,$K$3)</f>
        <v>#NAME?</v>
      </c>
      <c r="N638" s="9">
        <f t="shared" ca="1" si="97"/>
        <v>1</v>
      </c>
      <c r="O638" s="9">
        <f t="shared" ca="1" si="98"/>
        <v>1</v>
      </c>
      <c r="P638" s="9">
        <f t="shared" ca="1" si="99"/>
        <v>1</v>
      </c>
      <c r="Q638" s="9">
        <f t="shared" ca="1" si="100"/>
        <v>1</v>
      </c>
      <c r="R638" s="9">
        <f t="shared" ca="1" si="101"/>
        <v>0</v>
      </c>
    </row>
    <row r="639" spans="2:18" x14ac:dyDescent="0.25">
      <c r="B639" s="17" t="s">
        <v>1445</v>
      </c>
      <c r="C639" s="18" t="s">
        <v>1446</v>
      </c>
      <c r="D639" s="7" t="e">
        <f ca="1">_xll.xlqPrice(C639)</f>
        <v>#NAME?</v>
      </c>
      <c r="E639" s="9" t="e">
        <f t="shared" ca="1" si="92"/>
        <v>#NAME?</v>
      </c>
      <c r="F639" s="9">
        <f t="shared" ca="1" si="93"/>
        <v>1</v>
      </c>
      <c r="G639" s="8">
        <f t="shared" ca="1" si="94"/>
        <v>0</v>
      </c>
      <c r="H639" s="8">
        <f t="shared" ca="1" si="95"/>
        <v>0</v>
      </c>
      <c r="I639" s="8">
        <f t="shared" ca="1" si="96"/>
        <v>0</v>
      </c>
      <c r="J639" s="6" t="e">
        <f ca="1">_xll.xlqxhSMA($C639,$L$4,$J$7,$K$3)</f>
        <v>#NAME?</v>
      </c>
      <c r="K639" s="7" t="e">
        <f ca="1">_xll.xlqhClose($C639,K$8,$K$3)</f>
        <v>#NAME?</v>
      </c>
      <c r="L639" s="7" t="e">
        <f ca="1">_xll.xlqhClose($C639,L$8,$K$3)</f>
        <v>#NAME?</v>
      </c>
      <c r="N639" s="9">
        <f t="shared" ca="1" si="97"/>
        <v>1</v>
      </c>
      <c r="O639" s="9">
        <f t="shared" ca="1" si="98"/>
        <v>1</v>
      </c>
      <c r="P639" s="9">
        <f t="shared" ca="1" si="99"/>
        <v>1</v>
      </c>
      <c r="Q639" s="9">
        <f t="shared" ca="1" si="100"/>
        <v>1</v>
      </c>
      <c r="R639" s="9">
        <f t="shared" ca="1" si="101"/>
        <v>0</v>
      </c>
    </row>
    <row r="640" spans="2:18" x14ac:dyDescent="0.25">
      <c r="B640" s="17" t="s">
        <v>220</v>
      </c>
      <c r="C640" s="18" t="s">
        <v>221</v>
      </c>
      <c r="D640" s="7" t="e">
        <f ca="1">_xll.xlqPrice(C640)</f>
        <v>#NAME?</v>
      </c>
      <c r="E640" s="9" t="e">
        <f t="shared" ca="1" si="92"/>
        <v>#NAME?</v>
      </c>
      <c r="F640" s="9">
        <f t="shared" ca="1" si="93"/>
        <v>1</v>
      </c>
      <c r="G640" s="8">
        <f t="shared" ca="1" si="94"/>
        <v>0</v>
      </c>
      <c r="H640" s="8">
        <f t="shared" ca="1" si="95"/>
        <v>0</v>
      </c>
      <c r="I640" s="8">
        <f t="shared" ca="1" si="96"/>
        <v>0</v>
      </c>
      <c r="J640" s="6" t="e">
        <f ca="1">_xll.xlqxhSMA($C640,$L$4,$J$7,$K$3)</f>
        <v>#NAME?</v>
      </c>
      <c r="K640" s="7" t="e">
        <f ca="1">_xll.xlqhClose($C640,K$8,$K$3)</f>
        <v>#NAME?</v>
      </c>
      <c r="L640" s="7" t="e">
        <f ca="1">_xll.xlqhClose($C640,L$8,$K$3)</f>
        <v>#NAME?</v>
      </c>
      <c r="N640" s="9">
        <f t="shared" ca="1" si="97"/>
        <v>1</v>
      </c>
      <c r="O640" s="9">
        <f t="shared" ca="1" si="98"/>
        <v>1</v>
      </c>
      <c r="P640" s="9">
        <f t="shared" ca="1" si="99"/>
        <v>1</v>
      </c>
      <c r="Q640" s="9">
        <f t="shared" ca="1" si="100"/>
        <v>1</v>
      </c>
      <c r="R640" s="9">
        <f t="shared" ca="1" si="101"/>
        <v>0</v>
      </c>
    </row>
    <row r="641" spans="2:18" x14ac:dyDescent="0.25">
      <c r="B641" s="17" t="s">
        <v>2227</v>
      </c>
      <c r="C641" s="18" t="s">
        <v>2228</v>
      </c>
      <c r="D641" s="7" t="e">
        <f ca="1">_xll.xlqPrice(C641)</f>
        <v>#NAME?</v>
      </c>
      <c r="E641" s="9" t="e">
        <f t="shared" ca="1" si="92"/>
        <v>#NAME?</v>
      </c>
      <c r="F641" s="9">
        <f t="shared" ca="1" si="93"/>
        <v>1</v>
      </c>
      <c r="G641" s="8">
        <f t="shared" ca="1" si="94"/>
        <v>0</v>
      </c>
      <c r="H641" s="8">
        <f t="shared" ca="1" si="95"/>
        <v>0</v>
      </c>
      <c r="I641" s="8">
        <f t="shared" ca="1" si="96"/>
        <v>0</v>
      </c>
      <c r="J641" s="6" t="e">
        <f ca="1">_xll.xlqxhSMA($C641,$L$4,$J$7,$K$3)</f>
        <v>#NAME?</v>
      </c>
      <c r="K641" s="7" t="e">
        <f ca="1">_xll.xlqhClose($C641,K$8,$K$3)</f>
        <v>#NAME?</v>
      </c>
      <c r="L641" s="7" t="e">
        <f ca="1">_xll.xlqhClose($C641,L$8,$K$3)</f>
        <v>#NAME?</v>
      </c>
      <c r="N641" s="9">
        <f t="shared" ca="1" si="97"/>
        <v>1</v>
      </c>
      <c r="O641" s="9">
        <f t="shared" ca="1" si="98"/>
        <v>1</v>
      </c>
      <c r="P641" s="9">
        <f t="shared" ca="1" si="99"/>
        <v>1</v>
      </c>
      <c r="Q641" s="9">
        <f t="shared" ca="1" si="100"/>
        <v>1</v>
      </c>
      <c r="R641" s="9">
        <f t="shared" ca="1" si="101"/>
        <v>0</v>
      </c>
    </row>
    <row r="642" spans="2:18" x14ac:dyDescent="0.25">
      <c r="B642" t="s">
        <v>886</v>
      </c>
      <c r="C642" s="39" t="s">
        <v>887</v>
      </c>
      <c r="D642" s="7" t="e">
        <f ca="1">_xll.xlqPrice(C642)</f>
        <v>#NAME?</v>
      </c>
      <c r="E642" s="9" t="e">
        <f t="shared" ca="1" si="92"/>
        <v>#NAME?</v>
      </c>
      <c r="F642" s="9">
        <f t="shared" ca="1" si="93"/>
        <v>1</v>
      </c>
      <c r="G642" s="8">
        <f t="shared" ca="1" si="94"/>
        <v>0</v>
      </c>
      <c r="H642" s="8">
        <f t="shared" ca="1" si="95"/>
        <v>0</v>
      </c>
      <c r="I642" s="8">
        <f t="shared" ca="1" si="96"/>
        <v>0</v>
      </c>
      <c r="J642" s="6" t="e">
        <f ca="1">_xll.xlqxhSMA($C642,$L$4,$J$7,$K$3)</f>
        <v>#NAME?</v>
      </c>
      <c r="K642" s="7" t="e">
        <f ca="1">_xll.xlqhClose($C642,K$8,$K$3)</f>
        <v>#NAME?</v>
      </c>
      <c r="L642" s="7" t="e">
        <f ca="1">_xll.xlqhClose($C642,L$8,$K$3)</f>
        <v>#NAME?</v>
      </c>
      <c r="N642" s="9">
        <f t="shared" ca="1" si="97"/>
        <v>1</v>
      </c>
      <c r="O642" s="9">
        <f t="shared" ca="1" si="98"/>
        <v>1</v>
      </c>
      <c r="P642" s="9">
        <f t="shared" ca="1" si="99"/>
        <v>1</v>
      </c>
      <c r="Q642" s="9">
        <f t="shared" ca="1" si="100"/>
        <v>1</v>
      </c>
      <c r="R642" s="9">
        <f t="shared" ca="1" si="101"/>
        <v>0</v>
      </c>
    </row>
    <row r="643" spans="2:18" x14ac:dyDescent="0.25">
      <c r="B643" s="17" t="s">
        <v>176</v>
      </c>
      <c r="C643" s="18" t="s">
        <v>177</v>
      </c>
      <c r="D643" s="7" t="e">
        <f ca="1">_xll.xlqPrice(C643)</f>
        <v>#NAME?</v>
      </c>
      <c r="E643" s="9" t="e">
        <f t="shared" ca="1" si="92"/>
        <v>#NAME?</v>
      </c>
      <c r="F643" s="9">
        <f t="shared" ca="1" si="93"/>
        <v>1</v>
      </c>
      <c r="G643" s="8">
        <f t="shared" ca="1" si="94"/>
        <v>0</v>
      </c>
      <c r="H643" s="8">
        <f t="shared" ca="1" si="95"/>
        <v>0</v>
      </c>
      <c r="I643" s="8">
        <f t="shared" ca="1" si="96"/>
        <v>0</v>
      </c>
      <c r="J643" s="6" t="e">
        <f ca="1">_xll.xlqxhSMA($C643,$L$4,$J$7,$K$3)</f>
        <v>#NAME?</v>
      </c>
      <c r="K643" s="7" t="e">
        <f ca="1">_xll.xlqhClose($C643,K$8,$K$3)</f>
        <v>#NAME?</v>
      </c>
      <c r="L643" s="7" t="e">
        <f ca="1">_xll.xlqhClose($C643,L$8,$K$3)</f>
        <v>#NAME?</v>
      </c>
      <c r="N643" s="9">
        <f t="shared" ca="1" si="97"/>
        <v>1</v>
      </c>
      <c r="O643" s="9">
        <f t="shared" ca="1" si="98"/>
        <v>1</v>
      </c>
      <c r="P643" s="9">
        <f t="shared" ca="1" si="99"/>
        <v>1</v>
      </c>
      <c r="Q643" s="9">
        <f t="shared" ca="1" si="100"/>
        <v>1</v>
      </c>
      <c r="R643" s="9">
        <f t="shared" ca="1" si="101"/>
        <v>0</v>
      </c>
    </row>
    <row r="644" spans="2:18" x14ac:dyDescent="0.25">
      <c r="B644" s="17" t="s">
        <v>2063</v>
      </c>
      <c r="C644" s="18" t="s">
        <v>2064</v>
      </c>
      <c r="D644" s="7" t="e">
        <f ca="1">_xll.xlqPrice(C644)</f>
        <v>#NAME?</v>
      </c>
      <c r="E644" s="9" t="e">
        <f t="shared" ca="1" si="92"/>
        <v>#NAME?</v>
      </c>
      <c r="F644" s="9">
        <f t="shared" ca="1" si="93"/>
        <v>1</v>
      </c>
      <c r="G644" s="8">
        <f t="shared" ca="1" si="94"/>
        <v>0</v>
      </c>
      <c r="H644" s="8">
        <f t="shared" ca="1" si="95"/>
        <v>0</v>
      </c>
      <c r="I644" s="8">
        <f t="shared" ca="1" si="96"/>
        <v>0</v>
      </c>
      <c r="J644" s="6" t="e">
        <f ca="1">_xll.xlqxhSMA($C644,$L$4,$J$7,$K$3)</f>
        <v>#NAME?</v>
      </c>
      <c r="K644" s="7" t="e">
        <f ca="1">_xll.xlqhClose($C644,K$8,$K$3)</f>
        <v>#NAME?</v>
      </c>
      <c r="L644" s="7" t="e">
        <f ca="1">_xll.xlqhClose($C644,L$8,$K$3)</f>
        <v>#NAME?</v>
      </c>
      <c r="N644" s="9">
        <f t="shared" ca="1" si="97"/>
        <v>1</v>
      </c>
      <c r="O644" s="9">
        <f t="shared" ca="1" si="98"/>
        <v>1</v>
      </c>
      <c r="P644" s="9">
        <f t="shared" ca="1" si="99"/>
        <v>1</v>
      </c>
      <c r="Q644" s="9">
        <f t="shared" ca="1" si="100"/>
        <v>1</v>
      </c>
      <c r="R644" s="9">
        <f t="shared" ca="1" si="101"/>
        <v>0</v>
      </c>
    </row>
    <row r="645" spans="2:18" x14ac:dyDescent="0.25">
      <c r="B645" s="17" t="s">
        <v>162</v>
      </c>
      <c r="C645" s="18" t="s">
        <v>163</v>
      </c>
      <c r="D645" s="7" t="e">
        <f ca="1">_xll.xlqPrice(C645)</f>
        <v>#NAME?</v>
      </c>
      <c r="E645" s="9" t="e">
        <f t="shared" ca="1" si="92"/>
        <v>#NAME?</v>
      </c>
      <c r="F645" s="9">
        <f t="shared" ca="1" si="93"/>
        <v>1</v>
      </c>
      <c r="G645" s="8">
        <f t="shared" ca="1" si="94"/>
        <v>0</v>
      </c>
      <c r="H645" s="8">
        <f t="shared" ca="1" si="95"/>
        <v>0</v>
      </c>
      <c r="I645" s="8">
        <f t="shared" ca="1" si="96"/>
        <v>0</v>
      </c>
      <c r="J645" s="6" t="e">
        <f ca="1">_xll.xlqxhSMA($C645,$L$4,$J$7,$K$3)</f>
        <v>#NAME?</v>
      </c>
      <c r="K645" s="7" t="e">
        <f ca="1">_xll.xlqhClose($C645,K$8,$K$3)</f>
        <v>#NAME?</v>
      </c>
      <c r="L645" s="7" t="e">
        <f ca="1">_xll.xlqhClose($C645,L$8,$K$3)</f>
        <v>#NAME?</v>
      </c>
      <c r="N645" s="9">
        <f t="shared" ca="1" si="97"/>
        <v>1</v>
      </c>
      <c r="O645" s="9">
        <f t="shared" ca="1" si="98"/>
        <v>1</v>
      </c>
      <c r="P645" s="9">
        <f t="shared" ca="1" si="99"/>
        <v>1</v>
      </c>
      <c r="Q645" s="9">
        <f t="shared" ca="1" si="100"/>
        <v>1</v>
      </c>
      <c r="R645" s="9">
        <f t="shared" ca="1" si="101"/>
        <v>0</v>
      </c>
    </row>
    <row r="646" spans="2:18" x14ac:dyDescent="0.25">
      <c r="B646" s="17" t="s">
        <v>1089</v>
      </c>
      <c r="C646" s="18" t="s">
        <v>1090</v>
      </c>
      <c r="D646" s="7" t="e">
        <f ca="1">_xll.xlqPrice(C646)</f>
        <v>#NAME?</v>
      </c>
      <c r="E646" s="9" t="e">
        <f t="shared" ca="1" si="92"/>
        <v>#NAME?</v>
      </c>
      <c r="F646" s="9">
        <f t="shared" ca="1" si="93"/>
        <v>1</v>
      </c>
      <c r="G646" s="8">
        <f t="shared" ca="1" si="94"/>
        <v>0</v>
      </c>
      <c r="H646" s="8">
        <f t="shared" ca="1" si="95"/>
        <v>0</v>
      </c>
      <c r="I646" s="8">
        <f t="shared" ca="1" si="96"/>
        <v>0</v>
      </c>
      <c r="J646" s="6" t="e">
        <f ca="1">_xll.xlqxhSMA($C646,$L$4,$J$7,$K$3)</f>
        <v>#NAME?</v>
      </c>
      <c r="K646" s="7" t="e">
        <f ca="1">_xll.xlqhClose($C646,K$8,$K$3)</f>
        <v>#NAME?</v>
      </c>
      <c r="L646" s="7" t="e">
        <f ca="1">_xll.xlqhClose($C646,L$8,$K$3)</f>
        <v>#NAME?</v>
      </c>
      <c r="N646" s="9">
        <f t="shared" ca="1" si="97"/>
        <v>1</v>
      </c>
      <c r="O646" s="9">
        <f t="shared" ca="1" si="98"/>
        <v>1</v>
      </c>
      <c r="P646" s="9">
        <f t="shared" ca="1" si="99"/>
        <v>1</v>
      </c>
      <c r="Q646" s="9">
        <f t="shared" ca="1" si="100"/>
        <v>1</v>
      </c>
      <c r="R646" s="9">
        <f t="shared" ca="1" si="101"/>
        <v>0</v>
      </c>
    </row>
    <row r="647" spans="2:18" x14ac:dyDescent="0.25">
      <c r="B647" t="s">
        <v>454</v>
      </c>
      <c r="C647" s="39" t="s">
        <v>455</v>
      </c>
      <c r="D647" s="7" t="e">
        <f ca="1">_xll.xlqPrice(C647)</f>
        <v>#NAME?</v>
      </c>
      <c r="E647" s="9" t="e">
        <f t="shared" ca="1" si="92"/>
        <v>#NAME?</v>
      </c>
      <c r="F647" s="9">
        <f t="shared" ca="1" si="93"/>
        <v>1</v>
      </c>
      <c r="G647" s="8">
        <f t="shared" ca="1" si="94"/>
        <v>0</v>
      </c>
      <c r="H647" s="8">
        <f t="shared" ca="1" si="95"/>
        <v>0</v>
      </c>
      <c r="I647" s="8">
        <f t="shared" ca="1" si="96"/>
        <v>0</v>
      </c>
      <c r="J647" s="6" t="e">
        <f ca="1">_xll.xlqxhSMA($C647,$L$4,$J$7,$K$3)</f>
        <v>#NAME?</v>
      </c>
      <c r="K647" s="7" t="e">
        <f ca="1">_xll.xlqhClose($C647,K$8,$K$3)</f>
        <v>#NAME?</v>
      </c>
      <c r="L647" s="7" t="e">
        <f ca="1">_xll.xlqhClose($C647,L$8,$K$3)</f>
        <v>#NAME?</v>
      </c>
      <c r="N647" s="9">
        <f t="shared" ca="1" si="97"/>
        <v>1</v>
      </c>
      <c r="O647" s="9">
        <f t="shared" ca="1" si="98"/>
        <v>1</v>
      </c>
      <c r="P647" s="9">
        <f t="shared" ca="1" si="99"/>
        <v>1</v>
      </c>
      <c r="Q647" s="9">
        <f t="shared" ca="1" si="100"/>
        <v>1</v>
      </c>
      <c r="R647" s="9">
        <f t="shared" ca="1" si="101"/>
        <v>0</v>
      </c>
    </row>
    <row r="648" spans="2:18" x14ac:dyDescent="0.25">
      <c r="B648" s="17" t="s">
        <v>814</v>
      </c>
      <c r="C648" s="18" t="s">
        <v>815</v>
      </c>
      <c r="D648" s="7" t="e">
        <f ca="1">_xll.xlqPrice(C648)</f>
        <v>#NAME?</v>
      </c>
      <c r="E648" s="9" t="e">
        <f t="shared" ca="1" si="92"/>
        <v>#NAME?</v>
      </c>
      <c r="F648" s="9">
        <f t="shared" ca="1" si="93"/>
        <v>1</v>
      </c>
      <c r="G648" s="8">
        <f t="shared" ca="1" si="94"/>
        <v>0</v>
      </c>
      <c r="H648" s="8">
        <f t="shared" ca="1" si="95"/>
        <v>0</v>
      </c>
      <c r="I648" s="8">
        <f t="shared" ca="1" si="96"/>
        <v>0</v>
      </c>
      <c r="J648" s="6" t="e">
        <f ca="1">_xll.xlqxhSMA($C648,$L$4,$J$7,$K$3)</f>
        <v>#NAME?</v>
      </c>
      <c r="K648" s="7" t="e">
        <f ca="1">_xll.xlqhClose($C648,K$8,$K$3)</f>
        <v>#NAME?</v>
      </c>
      <c r="L648" s="7" t="e">
        <f ca="1">_xll.xlqhClose($C648,L$8,$K$3)</f>
        <v>#NAME?</v>
      </c>
      <c r="N648" s="9">
        <f t="shared" ca="1" si="97"/>
        <v>1</v>
      </c>
      <c r="O648" s="9">
        <f t="shared" ca="1" si="98"/>
        <v>1</v>
      </c>
      <c r="P648" s="9">
        <f t="shared" ca="1" si="99"/>
        <v>1</v>
      </c>
      <c r="Q648" s="9">
        <f t="shared" ca="1" si="100"/>
        <v>1</v>
      </c>
      <c r="R648" s="9">
        <f t="shared" ca="1" si="101"/>
        <v>0</v>
      </c>
    </row>
    <row r="649" spans="2:18" x14ac:dyDescent="0.25">
      <c r="B649" s="17" t="s">
        <v>1613</v>
      </c>
      <c r="C649" s="18" t="s">
        <v>1614</v>
      </c>
      <c r="D649" s="7" t="e">
        <f ca="1">_xll.xlqPrice(C649)</f>
        <v>#NAME?</v>
      </c>
      <c r="E649" s="9" t="e">
        <f t="shared" ca="1" si="92"/>
        <v>#NAME?</v>
      </c>
      <c r="F649" s="9">
        <f t="shared" ca="1" si="93"/>
        <v>1</v>
      </c>
      <c r="G649" s="8">
        <f t="shared" ca="1" si="94"/>
        <v>0</v>
      </c>
      <c r="H649" s="8">
        <f t="shared" ca="1" si="95"/>
        <v>0</v>
      </c>
      <c r="I649" s="8">
        <f t="shared" ca="1" si="96"/>
        <v>0</v>
      </c>
      <c r="J649" s="6" t="e">
        <f ca="1">_xll.xlqxhSMA($C649,$L$4,$J$7,$K$3)</f>
        <v>#NAME?</v>
      </c>
      <c r="K649" s="7" t="e">
        <f ca="1">_xll.xlqhClose($C649,K$8,$K$3)</f>
        <v>#NAME?</v>
      </c>
      <c r="L649" s="7" t="e">
        <f ca="1">_xll.xlqhClose($C649,L$8,$K$3)</f>
        <v>#NAME?</v>
      </c>
      <c r="N649" s="9">
        <f t="shared" ca="1" si="97"/>
        <v>1</v>
      </c>
      <c r="O649" s="9">
        <f t="shared" ca="1" si="98"/>
        <v>1</v>
      </c>
      <c r="P649" s="9">
        <f t="shared" ca="1" si="99"/>
        <v>1</v>
      </c>
      <c r="Q649" s="9">
        <f t="shared" ca="1" si="100"/>
        <v>1</v>
      </c>
      <c r="R649" s="9">
        <f t="shared" ca="1" si="101"/>
        <v>0</v>
      </c>
    </row>
    <row r="650" spans="2:18" x14ac:dyDescent="0.25">
      <c r="B650" s="17" t="s">
        <v>2211</v>
      </c>
      <c r="C650" s="18" t="s">
        <v>2212</v>
      </c>
      <c r="D650" s="7" t="e">
        <f ca="1">_xll.xlqPrice(C650)</f>
        <v>#NAME?</v>
      </c>
      <c r="E650" s="9" t="e">
        <f t="shared" ca="1" si="92"/>
        <v>#NAME?</v>
      </c>
      <c r="F650" s="9">
        <f t="shared" ca="1" si="93"/>
        <v>1</v>
      </c>
      <c r="G650" s="8">
        <f t="shared" ca="1" si="94"/>
        <v>0</v>
      </c>
      <c r="H650" s="8">
        <f t="shared" ca="1" si="95"/>
        <v>0</v>
      </c>
      <c r="I650" s="8">
        <f t="shared" ca="1" si="96"/>
        <v>0</v>
      </c>
      <c r="J650" s="6" t="e">
        <f ca="1">_xll.xlqxhSMA($C650,$L$4,$J$7,$K$3)</f>
        <v>#NAME?</v>
      </c>
      <c r="K650" s="7" t="e">
        <f ca="1">_xll.xlqhClose($C650,K$8,$K$3)</f>
        <v>#NAME?</v>
      </c>
      <c r="L650" s="7" t="e">
        <f ca="1">_xll.xlqhClose($C650,L$8,$K$3)</f>
        <v>#NAME?</v>
      </c>
      <c r="N650" s="9">
        <f t="shared" ca="1" si="97"/>
        <v>1</v>
      </c>
      <c r="O650" s="9">
        <f t="shared" ca="1" si="98"/>
        <v>1</v>
      </c>
      <c r="P650" s="9">
        <f t="shared" ca="1" si="99"/>
        <v>1</v>
      </c>
      <c r="Q650" s="9">
        <f t="shared" ca="1" si="100"/>
        <v>1</v>
      </c>
      <c r="R650" s="9">
        <f t="shared" ca="1" si="101"/>
        <v>0</v>
      </c>
    </row>
    <row r="651" spans="2:18" x14ac:dyDescent="0.25">
      <c r="B651" s="17" t="s">
        <v>576</v>
      </c>
      <c r="C651" s="18" t="s">
        <v>577</v>
      </c>
      <c r="D651" s="7" t="e">
        <f ca="1">_xll.xlqPrice(C651)</f>
        <v>#NAME?</v>
      </c>
      <c r="E651" s="9" t="e">
        <f t="shared" ref="E651:E714" ca="1" si="102">IF(D651&gt;J651, "Buy","Cash")</f>
        <v>#NAME?</v>
      </c>
      <c r="F651" s="9">
        <f t="shared" ref="F651:F714" ca="1" si="103">RANK(I651,$I$11:$I$1138,0)</f>
        <v>1</v>
      </c>
      <c r="G651" s="8">
        <f t="shared" ref="G651:G714" ca="1" si="104">IFERROR(($D651-K651)/K651,0)</f>
        <v>0</v>
      </c>
      <c r="H651" s="8">
        <f t="shared" ref="H651:H714" ca="1" si="105">IFERROR(($D651-L651)/L651,0)</f>
        <v>0</v>
      </c>
      <c r="I651" s="8">
        <f t="shared" ref="I651:I714" ca="1" si="106">IFERROR((G651*$G$8)+(H651*$H$8),0)</f>
        <v>0</v>
      </c>
      <c r="J651" s="6" t="e">
        <f ca="1">_xll.xlqxhSMA($C651,$L$4,$J$7,$K$3)</f>
        <v>#NAME?</v>
      </c>
      <c r="K651" s="7" t="e">
        <f ca="1">_xll.xlqhClose($C651,K$8,$K$3)</f>
        <v>#NAME?</v>
      </c>
      <c r="L651" s="7" t="e">
        <f ca="1">_xll.xlqhClose($C651,L$8,$K$3)</f>
        <v>#NAME?</v>
      </c>
      <c r="N651" s="9">
        <f t="shared" ref="N651:N714" ca="1" si="107">RANK($G651,G$11:G$1138,0)</f>
        <v>1</v>
      </c>
      <c r="O651" s="9">
        <f t="shared" ref="O651:O714" ca="1" si="108">RANK($H651,H$11:H$1138,0)</f>
        <v>1</v>
      </c>
      <c r="P651" s="9">
        <f t="shared" ref="P651:P714" ca="1" si="109">RANK($I651,I$11:I$1138,0)</f>
        <v>1</v>
      </c>
      <c r="Q651" s="9">
        <f t="shared" ref="Q651:Q714" ca="1" si="110">RANK($P651,P$11:P$1138,1)</f>
        <v>1</v>
      </c>
      <c r="R651" s="9">
        <f t="shared" ref="R651:R714" ca="1" si="111">F651-Q651</f>
        <v>0</v>
      </c>
    </row>
    <row r="652" spans="2:18" x14ac:dyDescent="0.25">
      <c r="B652" s="17" t="s">
        <v>760</v>
      </c>
      <c r="C652" s="18" t="s">
        <v>761</v>
      </c>
      <c r="D652" s="7" t="e">
        <f ca="1">_xll.xlqPrice(C652)</f>
        <v>#NAME?</v>
      </c>
      <c r="E652" s="9" t="e">
        <f t="shared" ca="1" si="102"/>
        <v>#NAME?</v>
      </c>
      <c r="F652" s="9">
        <f t="shared" ca="1" si="103"/>
        <v>1</v>
      </c>
      <c r="G652" s="8">
        <f t="shared" ca="1" si="104"/>
        <v>0</v>
      </c>
      <c r="H652" s="8">
        <f t="shared" ca="1" si="105"/>
        <v>0</v>
      </c>
      <c r="I652" s="8">
        <f t="shared" ca="1" si="106"/>
        <v>0</v>
      </c>
      <c r="J652" s="6" t="e">
        <f ca="1">_xll.xlqxhSMA($C652,$L$4,$J$7,$K$3)</f>
        <v>#NAME?</v>
      </c>
      <c r="K652" s="7" t="e">
        <f ca="1">_xll.xlqhClose($C652,K$8,$K$3)</f>
        <v>#NAME?</v>
      </c>
      <c r="L652" s="7" t="e">
        <f ca="1">_xll.xlqhClose($C652,L$8,$K$3)</f>
        <v>#NAME?</v>
      </c>
      <c r="N652" s="9">
        <f t="shared" ca="1" si="107"/>
        <v>1</v>
      </c>
      <c r="O652" s="9">
        <f t="shared" ca="1" si="108"/>
        <v>1</v>
      </c>
      <c r="P652" s="9">
        <f t="shared" ca="1" si="109"/>
        <v>1</v>
      </c>
      <c r="Q652" s="9">
        <f t="shared" ca="1" si="110"/>
        <v>1</v>
      </c>
      <c r="R652" s="9">
        <f t="shared" ca="1" si="111"/>
        <v>0</v>
      </c>
    </row>
    <row r="653" spans="2:18" x14ac:dyDescent="0.25">
      <c r="B653" s="17" t="s">
        <v>296</v>
      </c>
      <c r="C653" s="18" t="s">
        <v>297</v>
      </c>
      <c r="D653" s="7" t="e">
        <f ca="1">_xll.xlqPrice(C653)</f>
        <v>#NAME?</v>
      </c>
      <c r="E653" s="9" t="e">
        <f t="shared" ca="1" si="102"/>
        <v>#NAME?</v>
      </c>
      <c r="F653" s="9">
        <f t="shared" ca="1" si="103"/>
        <v>1</v>
      </c>
      <c r="G653" s="8">
        <f t="shared" ca="1" si="104"/>
        <v>0</v>
      </c>
      <c r="H653" s="8">
        <f t="shared" ca="1" si="105"/>
        <v>0</v>
      </c>
      <c r="I653" s="8">
        <f t="shared" ca="1" si="106"/>
        <v>0</v>
      </c>
      <c r="J653" s="6" t="e">
        <f ca="1">_xll.xlqxhSMA($C653,$L$4,$J$7,$K$3)</f>
        <v>#NAME?</v>
      </c>
      <c r="K653" s="7" t="e">
        <f ca="1">_xll.xlqhClose($C653,K$8,$K$3)</f>
        <v>#NAME?</v>
      </c>
      <c r="L653" s="7" t="e">
        <f ca="1">_xll.xlqhClose($C653,L$8,$K$3)</f>
        <v>#NAME?</v>
      </c>
      <c r="N653" s="9">
        <f t="shared" ca="1" si="107"/>
        <v>1</v>
      </c>
      <c r="O653" s="9">
        <f t="shared" ca="1" si="108"/>
        <v>1</v>
      </c>
      <c r="P653" s="9">
        <f t="shared" ca="1" si="109"/>
        <v>1</v>
      </c>
      <c r="Q653" s="9">
        <f t="shared" ca="1" si="110"/>
        <v>1</v>
      </c>
      <c r="R653" s="9">
        <f t="shared" ca="1" si="111"/>
        <v>0</v>
      </c>
    </row>
    <row r="654" spans="2:18" x14ac:dyDescent="0.25">
      <c r="B654" s="17" t="s">
        <v>55</v>
      </c>
      <c r="C654" s="18" t="s">
        <v>56</v>
      </c>
      <c r="D654" s="7" t="e">
        <f ca="1">_xll.xlqPrice(C654)</f>
        <v>#NAME?</v>
      </c>
      <c r="E654" s="9" t="e">
        <f t="shared" ca="1" si="102"/>
        <v>#NAME?</v>
      </c>
      <c r="F654" s="9">
        <f t="shared" ca="1" si="103"/>
        <v>1</v>
      </c>
      <c r="G654" s="8">
        <f t="shared" ca="1" si="104"/>
        <v>0</v>
      </c>
      <c r="H654" s="8">
        <f t="shared" ca="1" si="105"/>
        <v>0</v>
      </c>
      <c r="I654" s="8">
        <f t="shared" ca="1" si="106"/>
        <v>0</v>
      </c>
      <c r="J654" s="6" t="e">
        <f ca="1">_xll.xlqxhSMA($C654,$L$4,$J$7,$K$3)</f>
        <v>#NAME?</v>
      </c>
      <c r="K654" s="7" t="e">
        <f ca="1">_xll.xlqhClose($C654,K$8,$K$3)</f>
        <v>#NAME?</v>
      </c>
      <c r="L654" s="7" t="e">
        <f ca="1">_xll.xlqhClose($C654,L$8,$K$3)</f>
        <v>#NAME?</v>
      </c>
      <c r="N654" s="9">
        <f t="shared" ca="1" si="107"/>
        <v>1</v>
      </c>
      <c r="O654" s="9">
        <f t="shared" ca="1" si="108"/>
        <v>1</v>
      </c>
      <c r="P654" s="9">
        <f t="shared" ca="1" si="109"/>
        <v>1</v>
      </c>
      <c r="Q654" s="9">
        <f t="shared" ca="1" si="110"/>
        <v>1</v>
      </c>
      <c r="R654" s="9">
        <f t="shared" ca="1" si="111"/>
        <v>0</v>
      </c>
    </row>
    <row r="655" spans="2:18" x14ac:dyDescent="0.25">
      <c r="B655" s="17" t="s">
        <v>2025</v>
      </c>
      <c r="C655" s="18" t="s">
        <v>2026</v>
      </c>
      <c r="D655" s="7" t="e">
        <f ca="1">_xll.xlqPrice(C655)</f>
        <v>#NAME?</v>
      </c>
      <c r="E655" s="9" t="e">
        <f t="shared" ca="1" si="102"/>
        <v>#NAME?</v>
      </c>
      <c r="F655" s="9">
        <f t="shared" ca="1" si="103"/>
        <v>1</v>
      </c>
      <c r="G655" s="8">
        <f t="shared" ca="1" si="104"/>
        <v>0</v>
      </c>
      <c r="H655" s="8">
        <f t="shared" ca="1" si="105"/>
        <v>0</v>
      </c>
      <c r="I655" s="8">
        <f t="shared" ca="1" si="106"/>
        <v>0</v>
      </c>
      <c r="J655" s="6" t="e">
        <f ca="1">_xll.xlqxhSMA($C655,$L$4,$J$7,$K$3)</f>
        <v>#NAME?</v>
      </c>
      <c r="K655" s="7" t="e">
        <f ca="1">_xll.xlqhClose($C655,K$8,$K$3)</f>
        <v>#NAME?</v>
      </c>
      <c r="L655" s="7" t="e">
        <f ca="1">_xll.xlqhClose($C655,L$8,$K$3)</f>
        <v>#NAME?</v>
      </c>
      <c r="N655" s="9">
        <f t="shared" ca="1" si="107"/>
        <v>1</v>
      </c>
      <c r="O655" s="9">
        <f t="shared" ca="1" si="108"/>
        <v>1</v>
      </c>
      <c r="P655" s="9">
        <f t="shared" ca="1" si="109"/>
        <v>1</v>
      </c>
      <c r="Q655" s="9">
        <f t="shared" ca="1" si="110"/>
        <v>1</v>
      </c>
      <c r="R655" s="9">
        <f t="shared" ca="1" si="111"/>
        <v>0</v>
      </c>
    </row>
    <row r="656" spans="2:18" x14ac:dyDescent="0.25">
      <c r="B656" t="s">
        <v>1865</v>
      </c>
      <c r="C656" s="39" t="s">
        <v>1866</v>
      </c>
      <c r="D656" s="7" t="e">
        <f ca="1">_xll.xlqPrice(C656)</f>
        <v>#NAME?</v>
      </c>
      <c r="E656" s="9" t="e">
        <f t="shared" ca="1" si="102"/>
        <v>#NAME?</v>
      </c>
      <c r="F656" s="9">
        <f t="shared" ca="1" si="103"/>
        <v>1</v>
      </c>
      <c r="G656" s="8">
        <f t="shared" ca="1" si="104"/>
        <v>0</v>
      </c>
      <c r="H656" s="8">
        <f t="shared" ca="1" si="105"/>
        <v>0</v>
      </c>
      <c r="I656" s="8">
        <f t="shared" ca="1" si="106"/>
        <v>0</v>
      </c>
      <c r="J656" s="6" t="e">
        <f ca="1">_xll.xlqxhSMA($C656,$L$4,$J$7,$K$3)</f>
        <v>#NAME?</v>
      </c>
      <c r="K656" s="7" t="e">
        <f ca="1">_xll.xlqhClose($C656,K$8,$K$3)</f>
        <v>#NAME?</v>
      </c>
      <c r="L656" s="7" t="e">
        <f ca="1">_xll.xlqhClose($C656,L$8,$K$3)</f>
        <v>#NAME?</v>
      </c>
      <c r="N656" s="9">
        <f t="shared" ca="1" si="107"/>
        <v>1</v>
      </c>
      <c r="O656" s="9">
        <f t="shared" ca="1" si="108"/>
        <v>1</v>
      </c>
      <c r="P656" s="9">
        <f t="shared" ca="1" si="109"/>
        <v>1</v>
      </c>
      <c r="Q656" s="9">
        <f t="shared" ca="1" si="110"/>
        <v>1</v>
      </c>
      <c r="R656" s="9">
        <f t="shared" ca="1" si="111"/>
        <v>0</v>
      </c>
    </row>
    <row r="657" spans="2:18" x14ac:dyDescent="0.25">
      <c r="B657" t="s">
        <v>2153</v>
      </c>
      <c r="C657" s="39" t="s">
        <v>2154</v>
      </c>
      <c r="D657" s="7" t="e">
        <f ca="1">_xll.xlqPrice(C657)</f>
        <v>#NAME?</v>
      </c>
      <c r="E657" s="9" t="e">
        <f t="shared" ca="1" si="102"/>
        <v>#NAME?</v>
      </c>
      <c r="F657" s="9">
        <f t="shared" ca="1" si="103"/>
        <v>1</v>
      </c>
      <c r="G657" s="8">
        <f t="shared" ca="1" si="104"/>
        <v>0</v>
      </c>
      <c r="H657" s="8">
        <f t="shared" ca="1" si="105"/>
        <v>0</v>
      </c>
      <c r="I657" s="8">
        <f t="shared" ca="1" si="106"/>
        <v>0</v>
      </c>
      <c r="J657" s="6" t="e">
        <f ca="1">_xll.xlqxhSMA($C657,$L$4,$J$7,$K$3)</f>
        <v>#NAME?</v>
      </c>
      <c r="K657" s="7" t="e">
        <f ca="1">_xll.xlqhClose($C657,K$8,$K$3)</f>
        <v>#NAME?</v>
      </c>
      <c r="L657" s="7" t="e">
        <f ca="1">_xll.xlqhClose($C657,L$8,$K$3)</f>
        <v>#NAME?</v>
      </c>
      <c r="N657" s="9">
        <f t="shared" ca="1" si="107"/>
        <v>1</v>
      </c>
      <c r="O657" s="9">
        <f t="shared" ca="1" si="108"/>
        <v>1</v>
      </c>
      <c r="P657" s="9">
        <f t="shared" ca="1" si="109"/>
        <v>1</v>
      </c>
      <c r="Q657" s="9">
        <f t="shared" ca="1" si="110"/>
        <v>1</v>
      </c>
      <c r="R657" s="9">
        <f t="shared" ca="1" si="111"/>
        <v>0</v>
      </c>
    </row>
    <row r="658" spans="2:18" x14ac:dyDescent="0.25">
      <c r="B658" s="17" t="s">
        <v>816</v>
      </c>
      <c r="C658" s="18" t="s">
        <v>817</v>
      </c>
      <c r="D658" s="7" t="e">
        <f ca="1">_xll.xlqPrice(C658)</f>
        <v>#NAME?</v>
      </c>
      <c r="E658" s="9" t="e">
        <f t="shared" ca="1" si="102"/>
        <v>#NAME?</v>
      </c>
      <c r="F658" s="9">
        <f t="shared" ca="1" si="103"/>
        <v>1</v>
      </c>
      <c r="G658" s="8">
        <f t="shared" ca="1" si="104"/>
        <v>0</v>
      </c>
      <c r="H658" s="8">
        <f t="shared" ca="1" si="105"/>
        <v>0</v>
      </c>
      <c r="I658" s="8">
        <f t="shared" ca="1" si="106"/>
        <v>0</v>
      </c>
      <c r="J658" s="6" t="e">
        <f ca="1">_xll.xlqxhSMA($C658,$L$4,$J$7,$K$3)</f>
        <v>#NAME?</v>
      </c>
      <c r="K658" s="7" t="e">
        <f ca="1">_xll.xlqhClose($C658,K$8,$K$3)</f>
        <v>#NAME?</v>
      </c>
      <c r="L658" s="7" t="e">
        <f ca="1">_xll.xlqhClose($C658,L$8,$K$3)</f>
        <v>#NAME?</v>
      </c>
      <c r="N658" s="9">
        <f t="shared" ca="1" si="107"/>
        <v>1</v>
      </c>
      <c r="O658" s="9">
        <f t="shared" ca="1" si="108"/>
        <v>1</v>
      </c>
      <c r="P658" s="9">
        <f t="shared" ca="1" si="109"/>
        <v>1</v>
      </c>
      <c r="Q658" s="9">
        <f t="shared" ca="1" si="110"/>
        <v>1</v>
      </c>
      <c r="R658" s="9">
        <f t="shared" ca="1" si="111"/>
        <v>0</v>
      </c>
    </row>
    <row r="659" spans="2:18" x14ac:dyDescent="0.25">
      <c r="B659" s="17" t="s">
        <v>1983</v>
      </c>
      <c r="C659" s="18" t="s">
        <v>1984</v>
      </c>
      <c r="D659" s="7" t="e">
        <f ca="1">_xll.xlqPrice(C659)</f>
        <v>#NAME?</v>
      </c>
      <c r="E659" s="9" t="e">
        <f t="shared" ca="1" si="102"/>
        <v>#NAME?</v>
      </c>
      <c r="F659" s="9">
        <f t="shared" ca="1" si="103"/>
        <v>1</v>
      </c>
      <c r="G659" s="8">
        <f t="shared" ca="1" si="104"/>
        <v>0</v>
      </c>
      <c r="H659" s="8">
        <f t="shared" ca="1" si="105"/>
        <v>0</v>
      </c>
      <c r="I659" s="8">
        <f t="shared" ca="1" si="106"/>
        <v>0</v>
      </c>
      <c r="J659" s="6" t="e">
        <f ca="1">_xll.xlqxhSMA($C659,$L$4,$J$7,$K$3)</f>
        <v>#NAME?</v>
      </c>
      <c r="K659" s="7" t="e">
        <f ca="1">_xll.xlqhClose($C659,K$8,$K$3)</f>
        <v>#NAME?</v>
      </c>
      <c r="L659" s="7" t="e">
        <f ca="1">_xll.xlqhClose($C659,L$8,$K$3)</f>
        <v>#NAME?</v>
      </c>
      <c r="N659" s="9">
        <f t="shared" ca="1" si="107"/>
        <v>1</v>
      </c>
      <c r="O659" s="9">
        <f t="shared" ca="1" si="108"/>
        <v>1</v>
      </c>
      <c r="P659" s="9">
        <f t="shared" ca="1" si="109"/>
        <v>1</v>
      </c>
      <c r="Q659" s="9">
        <f t="shared" ca="1" si="110"/>
        <v>1</v>
      </c>
      <c r="R659" s="9">
        <f t="shared" ca="1" si="111"/>
        <v>0</v>
      </c>
    </row>
    <row r="660" spans="2:18" x14ac:dyDescent="0.25">
      <c r="B660" s="17" t="s">
        <v>684</v>
      </c>
      <c r="C660" s="18" t="s">
        <v>685</v>
      </c>
      <c r="D660" s="7" t="e">
        <f ca="1">_xll.xlqPrice(C660)</f>
        <v>#NAME?</v>
      </c>
      <c r="E660" s="9" t="e">
        <f t="shared" ca="1" si="102"/>
        <v>#NAME?</v>
      </c>
      <c r="F660" s="9">
        <f t="shared" ca="1" si="103"/>
        <v>1</v>
      </c>
      <c r="G660" s="8">
        <f t="shared" ca="1" si="104"/>
        <v>0</v>
      </c>
      <c r="H660" s="8">
        <f t="shared" ca="1" si="105"/>
        <v>0</v>
      </c>
      <c r="I660" s="8">
        <f t="shared" ca="1" si="106"/>
        <v>0</v>
      </c>
      <c r="J660" s="6" t="e">
        <f ca="1">_xll.xlqxhSMA($C660,$L$4,$J$7,$K$3)</f>
        <v>#NAME?</v>
      </c>
      <c r="K660" s="7" t="e">
        <f ca="1">_xll.xlqhClose($C660,K$8,$K$3)</f>
        <v>#NAME?</v>
      </c>
      <c r="L660" s="7" t="e">
        <f ca="1">_xll.xlqhClose($C660,L$8,$K$3)</f>
        <v>#NAME?</v>
      </c>
      <c r="N660" s="9">
        <f t="shared" ca="1" si="107"/>
        <v>1</v>
      </c>
      <c r="O660" s="9">
        <f t="shared" ca="1" si="108"/>
        <v>1</v>
      </c>
      <c r="P660" s="9">
        <f t="shared" ca="1" si="109"/>
        <v>1</v>
      </c>
      <c r="Q660" s="9">
        <f t="shared" ca="1" si="110"/>
        <v>1</v>
      </c>
      <c r="R660" s="9">
        <f t="shared" ca="1" si="111"/>
        <v>0</v>
      </c>
    </row>
    <row r="661" spans="2:18" x14ac:dyDescent="0.25">
      <c r="B661" s="17" t="s">
        <v>350</v>
      </c>
      <c r="C661" s="18" t="s">
        <v>351</v>
      </c>
      <c r="D661" s="7" t="e">
        <f ca="1">_xll.xlqPrice(C661)</f>
        <v>#NAME?</v>
      </c>
      <c r="E661" s="9" t="e">
        <f t="shared" ca="1" si="102"/>
        <v>#NAME?</v>
      </c>
      <c r="F661" s="9">
        <f t="shared" ca="1" si="103"/>
        <v>1</v>
      </c>
      <c r="G661" s="8">
        <f t="shared" ca="1" si="104"/>
        <v>0</v>
      </c>
      <c r="H661" s="8">
        <f t="shared" ca="1" si="105"/>
        <v>0</v>
      </c>
      <c r="I661" s="8">
        <f t="shared" ca="1" si="106"/>
        <v>0</v>
      </c>
      <c r="J661" s="6" t="e">
        <f ca="1">_xll.xlqxhSMA($C661,$L$4,$J$7,$K$3)</f>
        <v>#NAME?</v>
      </c>
      <c r="K661" s="7" t="e">
        <f ca="1">_xll.xlqhClose($C661,K$8,$K$3)</f>
        <v>#NAME?</v>
      </c>
      <c r="L661" s="7" t="e">
        <f ca="1">_xll.xlqhClose($C661,L$8,$K$3)</f>
        <v>#NAME?</v>
      </c>
      <c r="N661" s="9">
        <f t="shared" ca="1" si="107"/>
        <v>1</v>
      </c>
      <c r="O661" s="9">
        <f t="shared" ca="1" si="108"/>
        <v>1</v>
      </c>
      <c r="P661" s="9">
        <f t="shared" ca="1" si="109"/>
        <v>1</v>
      </c>
      <c r="Q661" s="9">
        <f t="shared" ca="1" si="110"/>
        <v>1</v>
      </c>
      <c r="R661" s="9">
        <f t="shared" ca="1" si="111"/>
        <v>0</v>
      </c>
    </row>
    <row r="662" spans="2:18" x14ac:dyDescent="0.25">
      <c r="B662" t="s">
        <v>1643</v>
      </c>
      <c r="C662" s="39" t="s">
        <v>1644</v>
      </c>
      <c r="D662" s="7" t="e">
        <f ca="1">_xll.xlqPrice(C662)</f>
        <v>#NAME?</v>
      </c>
      <c r="E662" s="9" t="e">
        <f t="shared" ca="1" si="102"/>
        <v>#NAME?</v>
      </c>
      <c r="F662" s="9">
        <f t="shared" ca="1" si="103"/>
        <v>1</v>
      </c>
      <c r="G662" s="8">
        <f t="shared" ca="1" si="104"/>
        <v>0</v>
      </c>
      <c r="H662" s="8">
        <f t="shared" ca="1" si="105"/>
        <v>0</v>
      </c>
      <c r="I662" s="8">
        <f t="shared" ca="1" si="106"/>
        <v>0</v>
      </c>
      <c r="J662" s="6" t="e">
        <f ca="1">_xll.xlqxhSMA($C662,$L$4,$J$7,$K$3)</f>
        <v>#NAME?</v>
      </c>
      <c r="K662" s="7" t="e">
        <f ca="1">_xll.xlqhClose($C662,K$8,$K$3)</f>
        <v>#NAME?</v>
      </c>
      <c r="L662" s="7" t="e">
        <f ca="1">_xll.xlqhClose($C662,L$8,$K$3)</f>
        <v>#NAME?</v>
      </c>
      <c r="N662" s="9">
        <f t="shared" ca="1" si="107"/>
        <v>1</v>
      </c>
      <c r="O662" s="9">
        <f t="shared" ca="1" si="108"/>
        <v>1</v>
      </c>
      <c r="P662" s="9">
        <f t="shared" ca="1" si="109"/>
        <v>1</v>
      </c>
      <c r="Q662" s="9">
        <f t="shared" ca="1" si="110"/>
        <v>1</v>
      </c>
      <c r="R662" s="9">
        <f t="shared" ca="1" si="111"/>
        <v>0</v>
      </c>
    </row>
    <row r="663" spans="2:18" x14ac:dyDescent="0.25">
      <c r="B663" s="17" t="s">
        <v>1481</v>
      </c>
      <c r="C663" s="18" t="s">
        <v>1482</v>
      </c>
      <c r="D663" s="7" t="e">
        <f ca="1">_xll.xlqPrice(C663)</f>
        <v>#NAME?</v>
      </c>
      <c r="E663" s="9" t="e">
        <f t="shared" ca="1" si="102"/>
        <v>#NAME?</v>
      </c>
      <c r="F663" s="9">
        <f t="shared" ca="1" si="103"/>
        <v>1</v>
      </c>
      <c r="G663" s="8">
        <f t="shared" ca="1" si="104"/>
        <v>0</v>
      </c>
      <c r="H663" s="8">
        <f t="shared" ca="1" si="105"/>
        <v>0</v>
      </c>
      <c r="I663" s="8">
        <f t="shared" ca="1" si="106"/>
        <v>0</v>
      </c>
      <c r="J663" s="6" t="e">
        <f ca="1">_xll.xlqxhSMA($C663,$L$4,$J$7,$K$3)</f>
        <v>#NAME?</v>
      </c>
      <c r="K663" s="7" t="e">
        <f ca="1">_xll.xlqhClose($C663,K$8,$K$3)</f>
        <v>#NAME?</v>
      </c>
      <c r="L663" s="7" t="e">
        <f ca="1">_xll.xlqhClose($C663,L$8,$K$3)</f>
        <v>#NAME?</v>
      </c>
      <c r="N663" s="9">
        <f t="shared" ca="1" si="107"/>
        <v>1</v>
      </c>
      <c r="O663" s="9">
        <f t="shared" ca="1" si="108"/>
        <v>1</v>
      </c>
      <c r="P663" s="9">
        <f t="shared" ca="1" si="109"/>
        <v>1</v>
      </c>
      <c r="Q663" s="9">
        <f t="shared" ca="1" si="110"/>
        <v>1</v>
      </c>
      <c r="R663" s="9">
        <f t="shared" ca="1" si="111"/>
        <v>0</v>
      </c>
    </row>
    <row r="664" spans="2:18" x14ac:dyDescent="0.25">
      <c r="B664" t="s">
        <v>456</v>
      </c>
      <c r="C664" s="39" t="s">
        <v>457</v>
      </c>
      <c r="D664" s="7" t="e">
        <f ca="1">_xll.xlqPrice(C664)</f>
        <v>#NAME?</v>
      </c>
      <c r="E664" s="9" t="e">
        <f t="shared" ca="1" si="102"/>
        <v>#NAME?</v>
      </c>
      <c r="F664" s="9">
        <f t="shared" ca="1" si="103"/>
        <v>1</v>
      </c>
      <c r="G664" s="8">
        <f t="shared" ca="1" si="104"/>
        <v>0</v>
      </c>
      <c r="H664" s="8">
        <f t="shared" ca="1" si="105"/>
        <v>0</v>
      </c>
      <c r="I664" s="8">
        <f t="shared" ca="1" si="106"/>
        <v>0</v>
      </c>
      <c r="J664" s="6" t="e">
        <f ca="1">_xll.xlqxhSMA($C664,$L$4,$J$7,$K$3)</f>
        <v>#NAME?</v>
      </c>
      <c r="K664" s="7" t="e">
        <f ca="1">_xll.xlqhClose($C664,K$8,$K$3)</f>
        <v>#NAME?</v>
      </c>
      <c r="L664" s="7" t="e">
        <f ca="1">_xll.xlqhClose($C664,L$8,$K$3)</f>
        <v>#NAME?</v>
      </c>
      <c r="N664" s="9">
        <f t="shared" ca="1" si="107"/>
        <v>1</v>
      </c>
      <c r="O664" s="9">
        <f t="shared" ca="1" si="108"/>
        <v>1</v>
      </c>
      <c r="P664" s="9">
        <f t="shared" ca="1" si="109"/>
        <v>1</v>
      </c>
      <c r="Q664" s="9">
        <f t="shared" ca="1" si="110"/>
        <v>1</v>
      </c>
      <c r="R664" s="9">
        <f t="shared" ca="1" si="111"/>
        <v>0</v>
      </c>
    </row>
    <row r="665" spans="2:18" x14ac:dyDescent="0.25">
      <c r="B665" s="17" t="s">
        <v>1211</v>
      </c>
      <c r="C665" s="18" t="s">
        <v>1212</v>
      </c>
      <c r="D665" s="7" t="e">
        <f ca="1">_xll.xlqPrice(C665)</f>
        <v>#NAME?</v>
      </c>
      <c r="E665" s="9" t="e">
        <f t="shared" ca="1" si="102"/>
        <v>#NAME?</v>
      </c>
      <c r="F665" s="9">
        <f t="shared" ca="1" si="103"/>
        <v>1</v>
      </c>
      <c r="G665" s="8">
        <f t="shared" ca="1" si="104"/>
        <v>0</v>
      </c>
      <c r="H665" s="8">
        <f t="shared" ca="1" si="105"/>
        <v>0</v>
      </c>
      <c r="I665" s="8">
        <f t="shared" ca="1" si="106"/>
        <v>0</v>
      </c>
      <c r="J665" s="6" t="e">
        <f ca="1">_xll.xlqxhSMA($C665,$L$4,$J$7,$K$3)</f>
        <v>#NAME?</v>
      </c>
      <c r="K665" s="7" t="e">
        <f ca="1">_xll.xlqhClose($C665,K$8,$K$3)</f>
        <v>#NAME?</v>
      </c>
      <c r="L665" s="7" t="e">
        <f ca="1">_xll.xlqhClose($C665,L$8,$K$3)</f>
        <v>#NAME?</v>
      </c>
      <c r="N665" s="9">
        <f t="shared" ca="1" si="107"/>
        <v>1</v>
      </c>
      <c r="O665" s="9">
        <f t="shared" ca="1" si="108"/>
        <v>1</v>
      </c>
      <c r="P665" s="9">
        <f t="shared" ca="1" si="109"/>
        <v>1</v>
      </c>
      <c r="Q665" s="9">
        <f t="shared" ca="1" si="110"/>
        <v>1</v>
      </c>
      <c r="R665" s="9">
        <f t="shared" ca="1" si="111"/>
        <v>0</v>
      </c>
    </row>
    <row r="666" spans="2:18" x14ac:dyDescent="0.25">
      <c r="B666" s="17" t="s">
        <v>1543</v>
      </c>
      <c r="C666" s="18" t="s">
        <v>1544</v>
      </c>
      <c r="D666" s="7" t="e">
        <f ca="1">_xll.xlqPrice(C666)</f>
        <v>#NAME?</v>
      </c>
      <c r="E666" s="9" t="e">
        <f t="shared" ca="1" si="102"/>
        <v>#NAME?</v>
      </c>
      <c r="F666" s="9">
        <f t="shared" ca="1" si="103"/>
        <v>1</v>
      </c>
      <c r="G666" s="8">
        <f t="shared" ca="1" si="104"/>
        <v>0</v>
      </c>
      <c r="H666" s="8">
        <f t="shared" ca="1" si="105"/>
        <v>0</v>
      </c>
      <c r="I666" s="8">
        <f t="shared" ca="1" si="106"/>
        <v>0</v>
      </c>
      <c r="J666" s="6" t="e">
        <f ca="1">_xll.xlqxhSMA($C666,$L$4,$J$7,$K$3)</f>
        <v>#NAME?</v>
      </c>
      <c r="K666" s="7" t="e">
        <f ca="1">_xll.xlqhClose($C666,K$8,$K$3)</f>
        <v>#NAME?</v>
      </c>
      <c r="L666" s="7" t="e">
        <f ca="1">_xll.xlqhClose($C666,L$8,$K$3)</f>
        <v>#NAME?</v>
      </c>
      <c r="N666" s="9">
        <f t="shared" ca="1" si="107"/>
        <v>1</v>
      </c>
      <c r="O666" s="9">
        <f t="shared" ca="1" si="108"/>
        <v>1</v>
      </c>
      <c r="P666" s="9">
        <f t="shared" ca="1" si="109"/>
        <v>1</v>
      </c>
      <c r="Q666" s="9">
        <f t="shared" ca="1" si="110"/>
        <v>1</v>
      </c>
      <c r="R666" s="9">
        <f t="shared" ca="1" si="111"/>
        <v>0</v>
      </c>
    </row>
    <row r="667" spans="2:18" x14ac:dyDescent="0.25">
      <c r="B667" s="17" t="s">
        <v>168</v>
      </c>
      <c r="C667" s="18" t="s">
        <v>169</v>
      </c>
      <c r="D667" s="7" t="e">
        <f ca="1">_xll.xlqPrice(C667)</f>
        <v>#NAME?</v>
      </c>
      <c r="E667" s="9" t="e">
        <f t="shared" ca="1" si="102"/>
        <v>#NAME?</v>
      </c>
      <c r="F667" s="9">
        <f t="shared" ca="1" si="103"/>
        <v>1</v>
      </c>
      <c r="G667" s="8">
        <f t="shared" ca="1" si="104"/>
        <v>0</v>
      </c>
      <c r="H667" s="8">
        <f t="shared" ca="1" si="105"/>
        <v>0</v>
      </c>
      <c r="I667" s="8">
        <f t="shared" ca="1" si="106"/>
        <v>0</v>
      </c>
      <c r="J667" s="6" t="e">
        <f ca="1">_xll.xlqxhSMA($C667,$L$4,$J$7,$K$3)</f>
        <v>#NAME?</v>
      </c>
      <c r="K667" s="7" t="e">
        <f ca="1">_xll.xlqhClose($C667,K$8,$K$3)</f>
        <v>#NAME?</v>
      </c>
      <c r="L667" s="7" t="e">
        <f ca="1">_xll.xlqhClose($C667,L$8,$K$3)</f>
        <v>#NAME?</v>
      </c>
      <c r="N667" s="9">
        <f t="shared" ca="1" si="107"/>
        <v>1</v>
      </c>
      <c r="O667" s="9">
        <f t="shared" ca="1" si="108"/>
        <v>1</v>
      </c>
      <c r="P667" s="9">
        <f t="shared" ca="1" si="109"/>
        <v>1</v>
      </c>
      <c r="Q667" s="9">
        <f t="shared" ca="1" si="110"/>
        <v>1</v>
      </c>
      <c r="R667" s="9">
        <f t="shared" ca="1" si="111"/>
        <v>0</v>
      </c>
    </row>
    <row r="668" spans="2:18" x14ac:dyDescent="0.25">
      <c r="B668" s="17" t="s">
        <v>852</v>
      </c>
      <c r="C668" s="18" t="s">
        <v>853</v>
      </c>
      <c r="D668" s="7" t="e">
        <f ca="1">_xll.xlqPrice(C668)</f>
        <v>#NAME?</v>
      </c>
      <c r="E668" s="9" t="e">
        <f t="shared" ca="1" si="102"/>
        <v>#NAME?</v>
      </c>
      <c r="F668" s="9">
        <f t="shared" ca="1" si="103"/>
        <v>1</v>
      </c>
      <c r="G668" s="8">
        <f t="shared" ca="1" si="104"/>
        <v>0</v>
      </c>
      <c r="H668" s="8">
        <f t="shared" ca="1" si="105"/>
        <v>0</v>
      </c>
      <c r="I668" s="8">
        <f t="shared" ca="1" si="106"/>
        <v>0</v>
      </c>
      <c r="J668" s="6" t="e">
        <f ca="1">_xll.xlqxhSMA($C668,$L$4,$J$7,$K$3)</f>
        <v>#NAME?</v>
      </c>
      <c r="K668" s="7" t="e">
        <f ca="1">_xll.xlqhClose($C668,K$8,$K$3)</f>
        <v>#NAME?</v>
      </c>
      <c r="L668" s="7" t="e">
        <f ca="1">_xll.xlqhClose($C668,L$8,$K$3)</f>
        <v>#NAME?</v>
      </c>
      <c r="N668" s="9">
        <f t="shared" ca="1" si="107"/>
        <v>1</v>
      </c>
      <c r="O668" s="9">
        <f t="shared" ca="1" si="108"/>
        <v>1</v>
      </c>
      <c r="P668" s="9">
        <f t="shared" ca="1" si="109"/>
        <v>1</v>
      </c>
      <c r="Q668" s="9">
        <f t="shared" ca="1" si="110"/>
        <v>1</v>
      </c>
      <c r="R668" s="9">
        <f t="shared" ca="1" si="111"/>
        <v>0</v>
      </c>
    </row>
    <row r="669" spans="2:18" x14ac:dyDescent="0.25">
      <c r="B669" s="17" t="s">
        <v>1307</v>
      </c>
      <c r="C669" s="18" t="s">
        <v>1308</v>
      </c>
      <c r="D669" s="7" t="e">
        <f ca="1">_xll.xlqPrice(C669)</f>
        <v>#NAME?</v>
      </c>
      <c r="E669" s="9" t="e">
        <f t="shared" ca="1" si="102"/>
        <v>#NAME?</v>
      </c>
      <c r="F669" s="9">
        <f t="shared" ca="1" si="103"/>
        <v>1</v>
      </c>
      <c r="G669" s="8">
        <f t="shared" ca="1" si="104"/>
        <v>0</v>
      </c>
      <c r="H669" s="8">
        <f t="shared" ca="1" si="105"/>
        <v>0</v>
      </c>
      <c r="I669" s="8">
        <f t="shared" ca="1" si="106"/>
        <v>0</v>
      </c>
      <c r="J669" s="6" t="e">
        <f ca="1">_xll.xlqxhSMA($C669,$L$4,$J$7,$K$3)</f>
        <v>#NAME?</v>
      </c>
      <c r="K669" s="7" t="e">
        <f ca="1">_xll.xlqhClose($C669,K$8,$K$3)</f>
        <v>#NAME?</v>
      </c>
      <c r="L669" s="7" t="e">
        <f ca="1">_xll.xlqhClose($C669,L$8,$K$3)</f>
        <v>#NAME?</v>
      </c>
      <c r="N669" s="9">
        <f t="shared" ca="1" si="107"/>
        <v>1</v>
      </c>
      <c r="O669" s="9">
        <f t="shared" ca="1" si="108"/>
        <v>1</v>
      </c>
      <c r="P669" s="9">
        <f t="shared" ca="1" si="109"/>
        <v>1</v>
      </c>
      <c r="Q669" s="9">
        <f t="shared" ca="1" si="110"/>
        <v>1</v>
      </c>
      <c r="R669" s="9">
        <f t="shared" ca="1" si="111"/>
        <v>0</v>
      </c>
    </row>
    <row r="670" spans="2:18" x14ac:dyDescent="0.25">
      <c r="B670" t="s">
        <v>2155</v>
      </c>
      <c r="C670" s="39" t="s">
        <v>2156</v>
      </c>
      <c r="D670" s="7" t="e">
        <f ca="1">_xll.xlqPrice(C670)</f>
        <v>#NAME?</v>
      </c>
      <c r="E670" s="9" t="e">
        <f t="shared" ca="1" si="102"/>
        <v>#NAME?</v>
      </c>
      <c r="F670" s="9">
        <f t="shared" ca="1" si="103"/>
        <v>1</v>
      </c>
      <c r="G670" s="8">
        <f t="shared" ca="1" si="104"/>
        <v>0</v>
      </c>
      <c r="H670" s="8">
        <f t="shared" ca="1" si="105"/>
        <v>0</v>
      </c>
      <c r="I670" s="8">
        <f t="shared" ca="1" si="106"/>
        <v>0</v>
      </c>
      <c r="J670" s="6" t="e">
        <f ca="1">_xll.xlqxhSMA($C670,$L$4,$J$7,$K$3)</f>
        <v>#NAME?</v>
      </c>
      <c r="K670" s="7" t="e">
        <f ca="1">_xll.xlqhClose($C670,K$8,$K$3)</f>
        <v>#NAME?</v>
      </c>
      <c r="L670" s="7" t="e">
        <f ca="1">_xll.xlqhClose($C670,L$8,$K$3)</f>
        <v>#NAME?</v>
      </c>
      <c r="N670" s="9">
        <f t="shared" ca="1" si="107"/>
        <v>1</v>
      </c>
      <c r="O670" s="9">
        <f t="shared" ca="1" si="108"/>
        <v>1</v>
      </c>
      <c r="P670" s="9">
        <f t="shared" ca="1" si="109"/>
        <v>1</v>
      </c>
      <c r="Q670" s="9">
        <f t="shared" ca="1" si="110"/>
        <v>1</v>
      </c>
      <c r="R670" s="9">
        <f t="shared" ca="1" si="111"/>
        <v>0</v>
      </c>
    </row>
    <row r="671" spans="2:18" x14ac:dyDescent="0.25">
      <c r="B671" s="17" t="s">
        <v>1483</v>
      </c>
      <c r="C671" s="18" t="s">
        <v>1484</v>
      </c>
      <c r="D671" s="7" t="e">
        <f ca="1">_xll.xlqPrice(C671)</f>
        <v>#NAME?</v>
      </c>
      <c r="E671" s="9" t="e">
        <f t="shared" ca="1" si="102"/>
        <v>#NAME?</v>
      </c>
      <c r="F671" s="9">
        <f t="shared" ca="1" si="103"/>
        <v>1</v>
      </c>
      <c r="G671" s="8">
        <f t="shared" ca="1" si="104"/>
        <v>0</v>
      </c>
      <c r="H671" s="8">
        <f t="shared" ca="1" si="105"/>
        <v>0</v>
      </c>
      <c r="I671" s="8">
        <f t="shared" ca="1" si="106"/>
        <v>0</v>
      </c>
      <c r="J671" s="6" t="e">
        <f ca="1">_xll.xlqxhSMA($C671,$L$4,$J$7,$K$3)</f>
        <v>#NAME?</v>
      </c>
      <c r="K671" s="7" t="e">
        <f ca="1">_xll.xlqhClose($C671,K$8,$K$3)</f>
        <v>#NAME?</v>
      </c>
      <c r="L671" s="7" t="e">
        <f ca="1">_xll.xlqhClose($C671,L$8,$K$3)</f>
        <v>#NAME?</v>
      </c>
      <c r="N671" s="9">
        <f t="shared" ca="1" si="107"/>
        <v>1</v>
      </c>
      <c r="O671" s="9">
        <f t="shared" ca="1" si="108"/>
        <v>1</v>
      </c>
      <c r="P671" s="9">
        <f t="shared" ca="1" si="109"/>
        <v>1</v>
      </c>
      <c r="Q671" s="9">
        <f t="shared" ca="1" si="110"/>
        <v>1</v>
      </c>
      <c r="R671" s="9">
        <f t="shared" ca="1" si="111"/>
        <v>0</v>
      </c>
    </row>
    <row r="672" spans="2:18" x14ac:dyDescent="0.25">
      <c r="B672" s="17" t="s">
        <v>676</v>
      </c>
      <c r="C672" s="18" t="s">
        <v>677</v>
      </c>
      <c r="D672" s="7" t="e">
        <f ca="1">_xll.xlqPrice(C672)</f>
        <v>#NAME?</v>
      </c>
      <c r="E672" s="9" t="e">
        <f t="shared" ca="1" si="102"/>
        <v>#NAME?</v>
      </c>
      <c r="F672" s="9">
        <f t="shared" ca="1" si="103"/>
        <v>1</v>
      </c>
      <c r="G672" s="8">
        <f t="shared" ca="1" si="104"/>
        <v>0</v>
      </c>
      <c r="H672" s="8">
        <f t="shared" ca="1" si="105"/>
        <v>0</v>
      </c>
      <c r="I672" s="8">
        <f t="shared" ca="1" si="106"/>
        <v>0</v>
      </c>
      <c r="J672" s="6" t="e">
        <f ca="1">_xll.xlqxhSMA($C672,$L$4,$J$7,$K$3)</f>
        <v>#NAME?</v>
      </c>
      <c r="K672" s="7" t="e">
        <f ca="1">_xll.xlqhClose($C672,K$8,$K$3)</f>
        <v>#NAME?</v>
      </c>
      <c r="L672" s="7" t="e">
        <f ca="1">_xll.xlqhClose($C672,L$8,$K$3)</f>
        <v>#NAME?</v>
      </c>
      <c r="N672" s="9">
        <f t="shared" ca="1" si="107"/>
        <v>1</v>
      </c>
      <c r="O672" s="9">
        <f t="shared" ca="1" si="108"/>
        <v>1</v>
      </c>
      <c r="P672" s="9">
        <f t="shared" ca="1" si="109"/>
        <v>1</v>
      </c>
      <c r="Q672" s="9">
        <f t="shared" ca="1" si="110"/>
        <v>1</v>
      </c>
      <c r="R672" s="9">
        <f t="shared" ca="1" si="111"/>
        <v>0</v>
      </c>
    </row>
    <row r="673" spans="2:18" x14ac:dyDescent="0.25">
      <c r="B673" s="17" t="s">
        <v>2071</v>
      </c>
      <c r="C673" s="18" t="s">
        <v>2072</v>
      </c>
      <c r="D673" s="7" t="e">
        <f ca="1">_xll.xlqPrice(C673)</f>
        <v>#NAME?</v>
      </c>
      <c r="E673" s="9" t="e">
        <f t="shared" ca="1" si="102"/>
        <v>#NAME?</v>
      </c>
      <c r="F673" s="9">
        <f t="shared" ca="1" si="103"/>
        <v>1</v>
      </c>
      <c r="G673" s="8">
        <f t="shared" ca="1" si="104"/>
        <v>0</v>
      </c>
      <c r="H673" s="8">
        <f t="shared" ca="1" si="105"/>
        <v>0</v>
      </c>
      <c r="I673" s="8">
        <f t="shared" ca="1" si="106"/>
        <v>0</v>
      </c>
      <c r="J673" s="6" t="e">
        <f ca="1">_xll.xlqxhSMA($C673,$L$4,$J$7,$K$3)</f>
        <v>#NAME?</v>
      </c>
      <c r="K673" s="7" t="e">
        <f ca="1">_xll.xlqhClose($C673,K$8,$K$3)</f>
        <v>#NAME?</v>
      </c>
      <c r="L673" s="7" t="e">
        <f ca="1">_xll.xlqhClose($C673,L$8,$K$3)</f>
        <v>#NAME?</v>
      </c>
      <c r="N673" s="9">
        <f t="shared" ca="1" si="107"/>
        <v>1</v>
      </c>
      <c r="O673" s="9">
        <f t="shared" ca="1" si="108"/>
        <v>1</v>
      </c>
      <c r="P673" s="9">
        <f t="shared" ca="1" si="109"/>
        <v>1</v>
      </c>
      <c r="Q673" s="9">
        <f t="shared" ca="1" si="110"/>
        <v>1</v>
      </c>
      <c r="R673" s="9">
        <f t="shared" ca="1" si="111"/>
        <v>0</v>
      </c>
    </row>
    <row r="674" spans="2:18" x14ac:dyDescent="0.25">
      <c r="B674" s="17" t="s">
        <v>2207</v>
      </c>
      <c r="C674" s="18" t="s">
        <v>2208</v>
      </c>
      <c r="D674" s="7" t="e">
        <f ca="1">_xll.xlqPrice(C674)</f>
        <v>#NAME?</v>
      </c>
      <c r="E674" s="9" t="e">
        <f t="shared" ca="1" si="102"/>
        <v>#NAME?</v>
      </c>
      <c r="F674" s="9">
        <f t="shared" ca="1" si="103"/>
        <v>1</v>
      </c>
      <c r="G674" s="8">
        <f t="shared" ca="1" si="104"/>
        <v>0</v>
      </c>
      <c r="H674" s="8">
        <f t="shared" ca="1" si="105"/>
        <v>0</v>
      </c>
      <c r="I674" s="8">
        <f t="shared" ca="1" si="106"/>
        <v>0</v>
      </c>
      <c r="J674" s="6" t="e">
        <f ca="1">_xll.xlqxhSMA($C674,$L$4,$J$7,$K$3)</f>
        <v>#NAME?</v>
      </c>
      <c r="K674" s="7" t="e">
        <f ca="1">_xll.xlqhClose($C674,K$8,$K$3)</f>
        <v>#NAME?</v>
      </c>
      <c r="L674" s="7" t="e">
        <f ca="1">_xll.xlqhClose($C674,L$8,$K$3)</f>
        <v>#NAME?</v>
      </c>
      <c r="N674" s="9">
        <f t="shared" ca="1" si="107"/>
        <v>1</v>
      </c>
      <c r="O674" s="9">
        <f t="shared" ca="1" si="108"/>
        <v>1</v>
      </c>
      <c r="P674" s="9">
        <f t="shared" ca="1" si="109"/>
        <v>1</v>
      </c>
      <c r="Q674" s="9">
        <f t="shared" ca="1" si="110"/>
        <v>1</v>
      </c>
      <c r="R674" s="9">
        <f t="shared" ca="1" si="111"/>
        <v>0</v>
      </c>
    </row>
    <row r="675" spans="2:18" x14ac:dyDescent="0.25">
      <c r="B675" s="17" t="s">
        <v>344</v>
      </c>
      <c r="C675" s="18" t="s">
        <v>345</v>
      </c>
      <c r="D675" s="7" t="e">
        <f ca="1">_xll.xlqPrice(C675)</f>
        <v>#NAME?</v>
      </c>
      <c r="E675" s="9" t="e">
        <f t="shared" ca="1" si="102"/>
        <v>#NAME?</v>
      </c>
      <c r="F675" s="9">
        <f t="shared" ca="1" si="103"/>
        <v>1</v>
      </c>
      <c r="G675" s="8">
        <f t="shared" ca="1" si="104"/>
        <v>0</v>
      </c>
      <c r="H675" s="8">
        <f t="shared" ca="1" si="105"/>
        <v>0</v>
      </c>
      <c r="I675" s="8">
        <f t="shared" ca="1" si="106"/>
        <v>0</v>
      </c>
      <c r="J675" s="6" t="e">
        <f ca="1">_xll.xlqxhSMA($C675,$L$4,$J$7,$K$3)</f>
        <v>#NAME?</v>
      </c>
      <c r="K675" s="7" t="e">
        <f ca="1">_xll.xlqhClose($C675,K$8,$K$3)</f>
        <v>#NAME?</v>
      </c>
      <c r="L675" s="7" t="e">
        <f ca="1">_xll.xlqhClose($C675,L$8,$K$3)</f>
        <v>#NAME?</v>
      </c>
      <c r="N675" s="9">
        <f t="shared" ca="1" si="107"/>
        <v>1</v>
      </c>
      <c r="O675" s="9">
        <f t="shared" ca="1" si="108"/>
        <v>1</v>
      </c>
      <c r="P675" s="9">
        <f t="shared" ca="1" si="109"/>
        <v>1</v>
      </c>
      <c r="Q675" s="9">
        <f t="shared" ca="1" si="110"/>
        <v>1</v>
      </c>
      <c r="R675" s="9">
        <f t="shared" ca="1" si="111"/>
        <v>0</v>
      </c>
    </row>
    <row r="676" spans="2:18" x14ac:dyDescent="0.25">
      <c r="B676" s="17" t="s">
        <v>530</v>
      </c>
      <c r="C676" s="18" t="s">
        <v>531</v>
      </c>
      <c r="D676" s="7" t="e">
        <f ca="1">_xll.xlqPrice(C676)</f>
        <v>#NAME?</v>
      </c>
      <c r="E676" s="9" t="e">
        <f t="shared" ca="1" si="102"/>
        <v>#NAME?</v>
      </c>
      <c r="F676" s="9">
        <f t="shared" ca="1" si="103"/>
        <v>1</v>
      </c>
      <c r="G676" s="8">
        <f t="shared" ca="1" si="104"/>
        <v>0</v>
      </c>
      <c r="H676" s="8">
        <f t="shared" ca="1" si="105"/>
        <v>0</v>
      </c>
      <c r="I676" s="8">
        <f t="shared" ca="1" si="106"/>
        <v>0</v>
      </c>
      <c r="J676" s="6" t="e">
        <f ca="1">_xll.xlqxhSMA($C676,$L$4,$J$7,$K$3)</f>
        <v>#NAME?</v>
      </c>
      <c r="K676" s="7" t="e">
        <f ca="1">_xll.xlqhClose($C676,K$8,$K$3)</f>
        <v>#NAME?</v>
      </c>
      <c r="L676" s="7" t="e">
        <f ca="1">_xll.xlqhClose($C676,L$8,$K$3)</f>
        <v>#NAME?</v>
      </c>
      <c r="N676" s="9">
        <f t="shared" ca="1" si="107"/>
        <v>1</v>
      </c>
      <c r="O676" s="9">
        <f t="shared" ca="1" si="108"/>
        <v>1</v>
      </c>
      <c r="P676" s="9">
        <f t="shared" ca="1" si="109"/>
        <v>1</v>
      </c>
      <c r="Q676" s="9">
        <f t="shared" ca="1" si="110"/>
        <v>1</v>
      </c>
      <c r="R676" s="9">
        <f t="shared" ca="1" si="111"/>
        <v>0</v>
      </c>
    </row>
    <row r="677" spans="2:18" x14ac:dyDescent="0.25">
      <c r="B677" s="17" t="s">
        <v>2017</v>
      </c>
      <c r="C677" s="18" t="s">
        <v>2018</v>
      </c>
      <c r="D677" s="7" t="e">
        <f ca="1">_xll.xlqPrice(C677)</f>
        <v>#NAME?</v>
      </c>
      <c r="E677" s="9" t="e">
        <f t="shared" ca="1" si="102"/>
        <v>#NAME?</v>
      </c>
      <c r="F677" s="9">
        <f t="shared" ca="1" si="103"/>
        <v>1</v>
      </c>
      <c r="G677" s="8">
        <f t="shared" ca="1" si="104"/>
        <v>0</v>
      </c>
      <c r="H677" s="8">
        <f t="shared" ca="1" si="105"/>
        <v>0</v>
      </c>
      <c r="I677" s="8">
        <f t="shared" ca="1" si="106"/>
        <v>0</v>
      </c>
      <c r="J677" s="6" t="e">
        <f ca="1">_xll.xlqxhSMA($C677,$L$4,$J$7,$K$3)</f>
        <v>#NAME?</v>
      </c>
      <c r="K677" s="7" t="e">
        <f ca="1">_xll.xlqhClose($C677,K$8,$K$3)</f>
        <v>#NAME?</v>
      </c>
      <c r="L677" s="7" t="e">
        <f ca="1">_xll.xlqhClose($C677,L$8,$K$3)</f>
        <v>#NAME?</v>
      </c>
      <c r="N677" s="9">
        <f t="shared" ca="1" si="107"/>
        <v>1</v>
      </c>
      <c r="O677" s="9">
        <f t="shared" ca="1" si="108"/>
        <v>1</v>
      </c>
      <c r="P677" s="9">
        <f t="shared" ca="1" si="109"/>
        <v>1</v>
      </c>
      <c r="Q677" s="9">
        <f t="shared" ca="1" si="110"/>
        <v>1</v>
      </c>
      <c r="R677" s="9">
        <f t="shared" ca="1" si="111"/>
        <v>0</v>
      </c>
    </row>
    <row r="678" spans="2:18" x14ac:dyDescent="0.25">
      <c r="B678" t="s">
        <v>965</v>
      </c>
      <c r="C678" s="39" t="s">
        <v>966</v>
      </c>
      <c r="D678" s="7" t="e">
        <f ca="1">_xll.xlqPrice(C678)</f>
        <v>#NAME?</v>
      </c>
      <c r="E678" s="9" t="e">
        <f t="shared" ca="1" si="102"/>
        <v>#NAME?</v>
      </c>
      <c r="F678" s="9">
        <f t="shared" ca="1" si="103"/>
        <v>1</v>
      </c>
      <c r="G678" s="8">
        <f t="shared" ca="1" si="104"/>
        <v>0</v>
      </c>
      <c r="H678" s="8">
        <f t="shared" ca="1" si="105"/>
        <v>0</v>
      </c>
      <c r="I678" s="8">
        <f t="shared" ca="1" si="106"/>
        <v>0</v>
      </c>
      <c r="J678" s="6" t="e">
        <f ca="1">_xll.xlqxhSMA($C678,$L$4,$J$7,$K$3)</f>
        <v>#NAME?</v>
      </c>
      <c r="K678" s="7" t="e">
        <f ca="1">_xll.xlqhClose($C678,K$8,$K$3)</f>
        <v>#NAME?</v>
      </c>
      <c r="L678" s="7" t="e">
        <f ca="1">_xll.xlqhClose($C678,L$8,$K$3)</f>
        <v>#NAME?</v>
      </c>
      <c r="N678" s="9">
        <f t="shared" ca="1" si="107"/>
        <v>1</v>
      </c>
      <c r="O678" s="9">
        <f t="shared" ca="1" si="108"/>
        <v>1</v>
      </c>
      <c r="P678" s="9">
        <f t="shared" ca="1" si="109"/>
        <v>1</v>
      </c>
      <c r="Q678" s="9">
        <f t="shared" ca="1" si="110"/>
        <v>1</v>
      </c>
      <c r="R678" s="9">
        <f t="shared" ca="1" si="111"/>
        <v>0</v>
      </c>
    </row>
    <row r="679" spans="2:18" x14ac:dyDescent="0.25">
      <c r="B679" s="17" t="s">
        <v>644</v>
      </c>
      <c r="C679" s="18" t="s">
        <v>645</v>
      </c>
      <c r="D679" s="7" t="e">
        <f ca="1">_xll.xlqPrice(C679)</f>
        <v>#NAME?</v>
      </c>
      <c r="E679" s="9" t="e">
        <f t="shared" ca="1" si="102"/>
        <v>#NAME?</v>
      </c>
      <c r="F679" s="9">
        <f t="shared" ca="1" si="103"/>
        <v>1</v>
      </c>
      <c r="G679" s="8">
        <f t="shared" ca="1" si="104"/>
        <v>0</v>
      </c>
      <c r="H679" s="8">
        <f t="shared" ca="1" si="105"/>
        <v>0</v>
      </c>
      <c r="I679" s="8">
        <f t="shared" ca="1" si="106"/>
        <v>0</v>
      </c>
      <c r="J679" s="6" t="e">
        <f ca="1">_xll.xlqxhSMA($C679,$L$4,$J$7,$K$3)</f>
        <v>#NAME?</v>
      </c>
      <c r="K679" s="7" t="e">
        <f ca="1">_xll.xlqhClose($C679,K$8,$K$3)</f>
        <v>#NAME?</v>
      </c>
      <c r="L679" s="7" t="e">
        <f ca="1">_xll.xlqhClose($C679,L$8,$K$3)</f>
        <v>#NAME?</v>
      </c>
      <c r="N679" s="9">
        <f t="shared" ca="1" si="107"/>
        <v>1</v>
      </c>
      <c r="O679" s="9">
        <f t="shared" ca="1" si="108"/>
        <v>1</v>
      </c>
      <c r="P679" s="9">
        <f t="shared" ca="1" si="109"/>
        <v>1</v>
      </c>
      <c r="Q679" s="9">
        <f t="shared" ca="1" si="110"/>
        <v>1</v>
      </c>
      <c r="R679" s="9">
        <f t="shared" ca="1" si="111"/>
        <v>0</v>
      </c>
    </row>
    <row r="680" spans="2:18" x14ac:dyDescent="0.25">
      <c r="B680" s="17" t="s">
        <v>1869</v>
      </c>
      <c r="C680" s="18" t="s">
        <v>1870</v>
      </c>
      <c r="D680" s="7" t="e">
        <f ca="1">_xll.xlqPrice(C680)</f>
        <v>#NAME?</v>
      </c>
      <c r="E680" s="9" t="e">
        <f t="shared" ca="1" si="102"/>
        <v>#NAME?</v>
      </c>
      <c r="F680" s="9">
        <f t="shared" ca="1" si="103"/>
        <v>1</v>
      </c>
      <c r="G680" s="8">
        <f t="shared" ca="1" si="104"/>
        <v>0</v>
      </c>
      <c r="H680" s="8">
        <f t="shared" ca="1" si="105"/>
        <v>0</v>
      </c>
      <c r="I680" s="8">
        <f t="shared" ca="1" si="106"/>
        <v>0</v>
      </c>
      <c r="J680" s="6" t="e">
        <f ca="1">_xll.xlqxhSMA($C680,$L$4,$J$7,$K$3)</f>
        <v>#NAME?</v>
      </c>
      <c r="K680" s="7" t="e">
        <f ca="1">_xll.xlqhClose($C680,K$8,$K$3)</f>
        <v>#NAME?</v>
      </c>
      <c r="L680" s="7" t="e">
        <f ca="1">_xll.xlqhClose($C680,L$8,$K$3)</f>
        <v>#NAME?</v>
      </c>
      <c r="N680" s="9">
        <f t="shared" ca="1" si="107"/>
        <v>1</v>
      </c>
      <c r="O680" s="9">
        <f t="shared" ca="1" si="108"/>
        <v>1</v>
      </c>
      <c r="P680" s="9">
        <f t="shared" ca="1" si="109"/>
        <v>1</v>
      </c>
      <c r="Q680" s="9">
        <f t="shared" ca="1" si="110"/>
        <v>1</v>
      </c>
      <c r="R680" s="9">
        <f t="shared" ca="1" si="111"/>
        <v>0</v>
      </c>
    </row>
    <row r="681" spans="2:18" x14ac:dyDescent="0.25">
      <c r="B681" t="s">
        <v>1875</v>
      </c>
      <c r="C681" s="39" t="s">
        <v>1876</v>
      </c>
      <c r="D681" s="7" t="e">
        <f ca="1">_xll.xlqPrice(C681)</f>
        <v>#NAME?</v>
      </c>
      <c r="E681" s="9" t="e">
        <f t="shared" ca="1" si="102"/>
        <v>#NAME?</v>
      </c>
      <c r="F681" s="9">
        <f t="shared" ca="1" si="103"/>
        <v>1</v>
      </c>
      <c r="G681" s="8">
        <f t="shared" ca="1" si="104"/>
        <v>0</v>
      </c>
      <c r="H681" s="8">
        <f t="shared" ca="1" si="105"/>
        <v>0</v>
      </c>
      <c r="I681" s="8">
        <f t="shared" ca="1" si="106"/>
        <v>0</v>
      </c>
      <c r="J681" s="6" t="e">
        <f ca="1">_xll.xlqxhSMA($C681,$L$4,$J$7,$K$3)</f>
        <v>#NAME?</v>
      </c>
      <c r="K681" s="7" t="e">
        <f ca="1">_xll.xlqhClose($C681,K$8,$K$3)</f>
        <v>#NAME?</v>
      </c>
      <c r="L681" s="7" t="e">
        <f ca="1">_xll.xlqhClose($C681,L$8,$K$3)</f>
        <v>#NAME?</v>
      </c>
      <c r="N681" s="9">
        <f t="shared" ca="1" si="107"/>
        <v>1</v>
      </c>
      <c r="O681" s="9">
        <f t="shared" ca="1" si="108"/>
        <v>1</v>
      </c>
      <c r="P681" s="9">
        <f t="shared" ca="1" si="109"/>
        <v>1</v>
      </c>
      <c r="Q681" s="9">
        <f t="shared" ca="1" si="110"/>
        <v>1</v>
      </c>
      <c r="R681" s="9">
        <f t="shared" ca="1" si="111"/>
        <v>0</v>
      </c>
    </row>
    <row r="682" spans="2:18" x14ac:dyDescent="0.25">
      <c r="B682" s="17" t="s">
        <v>973</v>
      </c>
      <c r="C682" s="18" t="s">
        <v>974</v>
      </c>
      <c r="D682" s="7" t="e">
        <f ca="1">_xll.xlqPrice(C682)</f>
        <v>#NAME?</v>
      </c>
      <c r="E682" s="9" t="e">
        <f t="shared" ca="1" si="102"/>
        <v>#NAME?</v>
      </c>
      <c r="F682" s="9">
        <f t="shared" ca="1" si="103"/>
        <v>1</v>
      </c>
      <c r="G682" s="8">
        <f t="shared" ca="1" si="104"/>
        <v>0</v>
      </c>
      <c r="H682" s="8">
        <f t="shared" ca="1" si="105"/>
        <v>0</v>
      </c>
      <c r="I682" s="8">
        <f t="shared" ca="1" si="106"/>
        <v>0</v>
      </c>
      <c r="J682" s="6" t="e">
        <f ca="1">_xll.xlqxhSMA($C682,$L$4,$J$7,$K$3)</f>
        <v>#NAME?</v>
      </c>
      <c r="K682" s="7" t="e">
        <f ca="1">_xll.xlqhClose($C682,K$8,$K$3)</f>
        <v>#NAME?</v>
      </c>
      <c r="L682" s="7" t="e">
        <f ca="1">_xll.xlqhClose($C682,L$8,$K$3)</f>
        <v>#NAME?</v>
      </c>
      <c r="N682" s="9">
        <f t="shared" ca="1" si="107"/>
        <v>1</v>
      </c>
      <c r="O682" s="9">
        <f t="shared" ca="1" si="108"/>
        <v>1</v>
      </c>
      <c r="P682" s="9">
        <f t="shared" ca="1" si="109"/>
        <v>1</v>
      </c>
      <c r="Q682" s="9">
        <f t="shared" ca="1" si="110"/>
        <v>1</v>
      </c>
      <c r="R682" s="9">
        <f t="shared" ca="1" si="111"/>
        <v>0</v>
      </c>
    </row>
    <row r="683" spans="2:18" x14ac:dyDescent="0.25">
      <c r="B683" s="17" t="s">
        <v>1841</v>
      </c>
      <c r="C683" s="18" t="s">
        <v>1842</v>
      </c>
      <c r="D683" s="7" t="e">
        <f ca="1">_xll.xlqPrice(C683)</f>
        <v>#NAME?</v>
      </c>
      <c r="E683" s="9" t="e">
        <f t="shared" ca="1" si="102"/>
        <v>#NAME?</v>
      </c>
      <c r="F683" s="9">
        <f t="shared" ca="1" si="103"/>
        <v>1</v>
      </c>
      <c r="G683" s="8">
        <f t="shared" ca="1" si="104"/>
        <v>0</v>
      </c>
      <c r="H683" s="8">
        <f t="shared" ca="1" si="105"/>
        <v>0</v>
      </c>
      <c r="I683" s="8">
        <f t="shared" ca="1" si="106"/>
        <v>0</v>
      </c>
      <c r="J683" s="6" t="e">
        <f ca="1">_xll.xlqxhSMA($C683,$L$4,$J$7,$K$3)</f>
        <v>#NAME?</v>
      </c>
      <c r="K683" s="7" t="e">
        <f ca="1">_xll.xlqhClose($C683,K$8,$K$3)</f>
        <v>#NAME?</v>
      </c>
      <c r="L683" s="7" t="e">
        <f ca="1">_xll.xlqhClose($C683,L$8,$K$3)</f>
        <v>#NAME?</v>
      </c>
      <c r="N683" s="9">
        <f t="shared" ca="1" si="107"/>
        <v>1</v>
      </c>
      <c r="O683" s="9">
        <f t="shared" ca="1" si="108"/>
        <v>1</v>
      </c>
      <c r="P683" s="9">
        <f t="shared" ca="1" si="109"/>
        <v>1</v>
      </c>
      <c r="Q683" s="9">
        <f t="shared" ca="1" si="110"/>
        <v>1</v>
      </c>
      <c r="R683" s="9">
        <f t="shared" ca="1" si="111"/>
        <v>0</v>
      </c>
    </row>
    <row r="684" spans="2:18" x14ac:dyDescent="0.25">
      <c r="B684" s="17" t="s">
        <v>1355</v>
      </c>
      <c r="C684" s="18" t="s">
        <v>1356</v>
      </c>
      <c r="D684" s="7" t="e">
        <f ca="1">_xll.xlqPrice(C684)</f>
        <v>#NAME?</v>
      </c>
      <c r="E684" s="9" t="e">
        <f t="shared" ca="1" si="102"/>
        <v>#NAME?</v>
      </c>
      <c r="F684" s="9">
        <f t="shared" ca="1" si="103"/>
        <v>1</v>
      </c>
      <c r="G684" s="8">
        <f t="shared" ca="1" si="104"/>
        <v>0</v>
      </c>
      <c r="H684" s="8">
        <f t="shared" ca="1" si="105"/>
        <v>0</v>
      </c>
      <c r="I684" s="8">
        <f t="shared" ca="1" si="106"/>
        <v>0</v>
      </c>
      <c r="J684" s="6" t="e">
        <f ca="1">_xll.xlqxhSMA($C684,$L$4,$J$7,$K$3)</f>
        <v>#NAME?</v>
      </c>
      <c r="K684" s="7" t="e">
        <f ca="1">_xll.xlqhClose($C684,K$8,$K$3)</f>
        <v>#NAME?</v>
      </c>
      <c r="L684" s="7" t="e">
        <f ca="1">_xll.xlqhClose($C684,L$8,$K$3)</f>
        <v>#NAME?</v>
      </c>
      <c r="N684" s="9">
        <f t="shared" ca="1" si="107"/>
        <v>1</v>
      </c>
      <c r="O684" s="9">
        <f t="shared" ca="1" si="108"/>
        <v>1</v>
      </c>
      <c r="P684" s="9">
        <f t="shared" ca="1" si="109"/>
        <v>1</v>
      </c>
      <c r="Q684" s="9">
        <f t="shared" ca="1" si="110"/>
        <v>1</v>
      </c>
      <c r="R684" s="9">
        <f t="shared" ca="1" si="111"/>
        <v>0</v>
      </c>
    </row>
    <row r="685" spans="2:18" x14ac:dyDescent="0.25">
      <c r="B685" t="s">
        <v>2033</v>
      </c>
      <c r="C685" s="39" t="s">
        <v>2034</v>
      </c>
      <c r="D685" s="7" t="e">
        <f ca="1">_xll.xlqPrice(C685)</f>
        <v>#NAME?</v>
      </c>
      <c r="E685" s="9" t="e">
        <f t="shared" ca="1" si="102"/>
        <v>#NAME?</v>
      </c>
      <c r="F685" s="9">
        <f t="shared" ca="1" si="103"/>
        <v>1</v>
      </c>
      <c r="G685" s="8">
        <f t="shared" ca="1" si="104"/>
        <v>0</v>
      </c>
      <c r="H685" s="8">
        <f t="shared" ca="1" si="105"/>
        <v>0</v>
      </c>
      <c r="I685" s="8">
        <f t="shared" ca="1" si="106"/>
        <v>0</v>
      </c>
      <c r="J685" s="6" t="e">
        <f ca="1">_xll.xlqxhSMA($C685,$L$4,$J$7,$K$3)</f>
        <v>#NAME?</v>
      </c>
      <c r="K685" s="7" t="e">
        <f ca="1">_xll.xlqhClose($C685,K$8,$K$3)</f>
        <v>#NAME?</v>
      </c>
      <c r="L685" s="7" t="e">
        <f ca="1">_xll.xlqhClose($C685,L$8,$K$3)</f>
        <v>#NAME?</v>
      </c>
      <c r="N685" s="9">
        <f t="shared" ca="1" si="107"/>
        <v>1</v>
      </c>
      <c r="O685" s="9">
        <f t="shared" ca="1" si="108"/>
        <v>1</v>
      </c>
      <c r="P685" s="9">
        <f t="shared" ca="1" si="109"/>
        <v>1</v>
      </c>
      <c r="Q685" s="9">
        <f t="shared" ca="1" si="110"/>
        <v>1</v>
      </c>
      <c r="R685" s="9">
        <f t="shared" ca="1" si="111"/>
        <v>0</v>
      </c>
    </row>
    <row r="686" spans="2:18" x14ac:dyDescent="0.25">
      <c r="B686" s="17" t="s">
        <v>1937</v>
      </c>
      <c r="C686" s="18" t="s">
        <v>1938</v>
      </c>
      <c r="D686" s="7" t="e">
        <f ca="1">_xll.xlqPrice(C686)</f>
        <v>#NAME?</v>
      </c>
      <c r="E686" s="9" t="e">
        <f t="shared" ca="1" si="102"/>
        <v>#NAME?</v>
      </c>
      <c r="F686" s="9">
        <f t="shared" ca="1" si="103"/>
        <v>1</v>
      </c>
      <c r="G686" s="8">
        <f t="shared" ca="1" si="104"/>
        <v>0</v>
      </c>
      <c r="H686" s="8">
        <f t="shared" ca="1" si="105"/>
        <v>0</v>
      </c>
      <c r="I686" s="8">
        <f t="shared" ca="1" si="106"/>
        <v>0</v>
      </c>
      <c r="J686" s="6" t="e">
        <f ca="1">_xll.xlqxhSMA($C686,$L$4,$J$7,$K$3)</f>
        <v>#NAME?</v>
      </c>
      <c r="K686" s="7" t="e">
        <f ca="1">_xll.xlqhClose($C686,K$8,$K$3)</f>
        <v>#NAME?</v>
      </c>
      <c r="L686" s="7" t="e">
        <f ca="1">_xll.xlqhClose($C686,L$8,$K$3)</f>
        <v>#NAME?</v>
      </c>
      <c r="N686" s="9">
        <f t="shared" ca="1" si="107"/>
        <v>1</v>
      </c>
      <c r="O686" s="9">
        <f t="shared" ca="1" si="108"/>
        <v>1</v>
      </c>
      <c r="P686" s="9">
        <f t="shared" ca="1" si="109"/>
        <v>1</v>
      </c>
      <c r="Q686" s="9">
        <f t="shared" ca="1" si="110"/>
        <v>1</v>
      </c>
      <c r="R686" s="9">
        <f t="shared" ca="1" si="111"/>
        <v>0</v>
      </c>
    </row>
    <row r="687" spans="2:18" x14ac:dyDescent="0.25">
      <c r="B687" s="17" t="s">
        <v>1329</v>
      </c>
      <c r="C687" s="18" t="s">
        <v>1330</v>
      </c>
      <c r="D687" s="7" t="e">
        <f ca="1">_xll.xlqPrice(C687)</f>
        <v>#NAME?</v>
      </c>
      <c r="E687" s="9" t="e">
        <f t="shared" ca="1" si="102"/>
        <v>#NAME?</v>
      </c>
      <c r="F687" s="9">
        <f t="shared" ca="1" si="103"/>
        <v>1</v>
      </c>
      <c r="G687" s="8">
        <f t="shared" ca="1" si="104"/>
        <v>0</v>
      </c>
      <c r="H687" s="8">
        <f t="shared" ca="1" si="105"/>
        <v>0</v>
      </c>
      <c r="I687" s="8">
        <f t="shared" ca="1" si="106"/>
        <v>0</v>
      </c>
      <c r="J687" s="6" t="e">
        <f ca="1">_xll.xlqxhSMA($C687,$L$4,$J$7,$K$3)</f>
        <v>#NAME?</v>
      </c>
      <c r="K687" s="7" t="e">
        <f ca="1">_xll.xlqhClose($C687,K$8,$K$3)</f>
        <v>#NAME?</v>
      </c>
      <c r="L687" s="7" t="e">
        <f ca="1">_xll.xlqhClose($C687,L$8,$K$3)</f>
        <v>#NAME?</v>
      </c>
      <c r="N687" s="9">
        <f t="shared" ca="1" si="107"/>
        <v>1</v>
      </c>
      <c r="O687" s="9">
        <f t="shared" ca="1" si="108"/>
        <v>1</v>
      </c>
      <c r="P687" s="9">
        <f t="shared" ca="1" si="109"/>
        <v>1</v>
      </c>
      <c r="Q687" s="9">
        <f t="shared" ca="1" si="110"/>
        <v>1</v>
      </c>
      <c r="R687" s="9">
        <f t="shared" ca="1" si="111"/>
        <v>0</v>
      </c>
    </row>
    <row r="688" spans="2:18" x14ac:dyDescent="0.25">
      <c r="B688" s="17" t="s">
        <v>975</v>
      </c>
      <c r="C688" s="18" t="s">
        <v>976</v>
      </c>
      <c r="D688" s="7" t="e">
        <f ca="1">_xll.xlqPrice(C688)</f>
        <v>#NAME?</v>
      </c>
      <c r="E688" s="9" t="e">
        <f t="shared" ca="1" si="102"/>
        <v>#NAME?</v>
      </c>
      <c r="F688" s="9">
        <f t="shared" ca="1" si="103"/>
        <v>1</v>
      </c>
      <c r="G688" s="8">
        <f t="shared" ca="1" si="104"/>
        <v>0</v>
      </c>
      <c r="H688" s="8">
        <f t="shared" ca="1" si="105"/>
        <v>0</v>
      </c>
      <c r="I688" s="8">
        <f t="shared" ca="1" si="106"/>
        <v>0</v>
      </c>
      <c r="J688" s="6" t="e">
        <f ca="1">_xll.xlqxhSMA($C688,$L$4,$J$7,$K$3)</f>
        <v>#NAME?</v>
      </c>
      <c r="K688" s="7" t="e">
        <f ca="1">_xll.xlqhClose($C688,K$8,$K$3)</f>
        <v>#NAME?</v>
      </c>
      <c r="L688" s="7" t="e">
        <f ca="1">_xll.xlqhClose($C688,L$8,$K$3)</f>
        <v>#NAME?</v>
      </c>
      <c r="N688" s="9">
        <f t="shared" ca="1" si="107"/>
        <v>1</v>
      </c>
      <c r="O688" s="9">
        <f t="shared" ca="1" si="108"/>
        <v>1</v>
      </c>
      <c r="P688" s="9">
        <f t="shared" ca="1" si="109"/>
        <v>1</v>
      </c>
      <c r="Q688" s="9">
        <f t="shared" ca="1" si="110"/>
        <v>1</v>
      </c>
      <c r="R688" s="9">
        <f t="shared" ca="1" si="111"/>
        <v>0</v>
      </c>
    </row>
    <row r="689" spans="2:18" x14ac:dyDescent="0.25">
      <c r="B689" s="17" t="s">
        <v>1373</v>
      </c>
      <c r="C689" s="18" t="s">
        <v>1374</v>
      </c>
      <c r="D689" s="7" t="e">
        <f ca="1">_xll.xlqPrice(C689)</f>
        <v>#NAME?</v>
      </c>
      <c r="E689" s="9" t="e">
        <f t="shared" ca="1" si="102"/>
        <v>#NAME?</v>
      </c>
      <c r="F689" s="9">
        <f t="shared" ca="1" si="103"/>
        <v>1</v>
      </c>
      <c r="G689" s="8">
        <f t="shared" ca="1" si="104"/>
        <v>0</v>
      </c>
      <c r="H689" s="8">
        <f t="shared" ca="1" si="105"/>
        <v>0</v>
      </c>
      <c r="I689" s="8">
        <f t="shared" ca="1" si="106"/>
        <v>0</v>
      </c>
      <c r="J689" s="6" t="e">
        <f ca="1">_xll.xlqxhSMA($C689,$L$4,$J$7,$K$3)</f>
        <v>#NAME?</v>
      </c>
      <c r="K689" s="7" t="e">
        <f ca="1">_xll.xlqhClose($C689,K$8,$K$3)</f>
        <v>#NAME?</v>
      </c>
      <c r="L689" s="7" t="e">
        <f ca="1">_xll.xlqhClose($C689,L$8,$K$3)</f>
        <v>#NAME?</v>
      </c>
      <c r="N689" s="9">
        <f t="shared" ca="1" si="107"/>
        <v>1</v>
      </c>
      <c r="O689" s="9">
        <f t="shared" ca="1" si="108"/>
        <v>1</v>
      </c>
      <c r="P689" s="9">
        <f t="shared" ca="1" si="109"/>
        <v>1</v>
      </c>
      <c r="Q689" s="9">
        <f t="shared" ca="1" si="110"/>
        <v>1</v>
      </c>
      <c r="R689" s="9">
        <f t="shared" ca="1" si="111"/>
        <v>0</v>
      </c>
    </row>
    <row r="690" spans="2:18" x14ac:dyDescent="0.25">
      <c r="B690" s="17" t="s">
        <v>574</v>
      </c>
      <c r="C690" s="18" t="s">
        <v>575</v>
      </c>
      <c r="D690" s="7" t="e">
        <f ca="1">_xll.xlqPrice(C690)</f>
        <v>#NAME?</v>
      </c>
      <c r="E690" s="9" t="e">
        <f t="shared" ca="1" si="102"/>
        <v>#NAME?</v>
      </c>
      <c r="F690" s="9">
        <f t="shared" ca="1" si="103"/>
        <v>1</v>
      </c>
      <c r="G690" s="8">
        <f t="shared" ca="1" si="104"/>
        <v>0</v>
      </c>
      <c r="H690" s="8">
        <f t="shared" ca="1" si="105"/>
        <v>0</v>
      </c>
      <c r="I690" s="8">
        <f t="shared" ca="1" si="106"/>
        <v>0</v>
      </c>
      <c r="J690" s="6" t="e">
        <f ca="1">_xll.xlqxhSMA($C690,$L$4,$J$7,$K$3)</f>
        <v>#NAME?</v>
      </c>
      <c r="K690" s="7" t="e">
        <f ca="1">_xll.xlqhClose($C690,K$8,$K$3)</f>
        <v>#NAME?</v>
      </c>
      <c r="L690" s="7" t="e">
        <f ca="1">_xll.xlqhClose($C690,L$8,$K$3)</f>
        <v>#NAME?</v>
      </c>
      <c r="N690" s="9">
        <f t="shared" ca="1" si="107"/>
        <v>1</v>
      </c>
      <c r="O690" s="9">
        <f t="shared" ca="1" si="108"/>
        <v>1</v>
      </c>
      <c r="P690" s="9">
        <f t="shared" ca="1" si="109"/>
        <v>1</v>
      </c>
      <c r="Q690" s="9">
        <f t="shared" ca="1" si="110"/>
        <v>1</v>
      </c>
      <c r="R690" s="9">
        <f t="shared" ca="1" si="111"/>
        <v>0</v>
      </c>
    </row>
    <row r="691" spans="2:18" x14ac:dyDescent="0.25">
      <c r="B691" s="17" t="s">
        <v>2175</v>
      </c>
      <c r="C691" s="18" t="s">
        <v>2176</v>
      </c>
      <c r="D691" s="7" t="e">
        <f ca="1">_xll.xlqPrice(C691)</f>
        <v>#NAME?</v>
      </c>
      <c r="E691" s="9" t="e">
        <f t="shared" ca="1" si="102"/>
        <v>#NAME?</v>
      </c>
      <c r="F691" s="9">
        <f t="shared" ca="1" si="103"/>
        <v>1</v>
      </c>
      <c r="G691" s="8">
        <f t="shared" ca="1" si="104"/>
        <v>0</v>
      </c>
      <c r="H691" s="8">
        <f t="shared" ca="1" si="105"/>
        <v>0</v>
      </c>
      <c r="I691" s="8">
        <f t="shared" ca="1" si="106"/>
        <v>0</v>
      </c>
      <c r="J691" s="6" t="e">
        <f ca="1">_xll.xlqxhSMA($C691,$L$4,$J$7,$K$3)</f>
        <v>#NAME?</v>
      </c>
      <c r="K691" s="7" t="e">
        <f ca="1">_xll.xlqhClose($C691,K$8,$K$3)</f>
        <v>#NAME?</v>
      </c>
      <c r="L691" s="7" t="e">
        <f ca="1">_xll.xlqhClose($C691,L$8,$K$3)</f>
        <v>#NAME?</v>
      </c>
      <c r="N691" s="9">
        <f t="shared" ca="1" si="107"/>
        <v>1</v>
      </c>
      <c r="O691" s="9">
        <f t="shared" ca="1" si="108"/>
        <v>1</v>
      </c>
      <c r="P691" s="9">
        <f t="shared" ca="1" si="109"/>
        <v>1</v>
      </c>
      <c r="Q691" s="9">
        <f t="shared" ca="1" si="110"/>
        <v>1</v>
      </c>
      <c r="R691" s="9">
        <f t="shared" ca="1" si="111"/>
        <v>0</v>
      </c>
    </row>
    <row r="692" spans="2:18" x14ac:dyDescent="0.25">
      <c r="B692" s="17" t="s">
        <v>2347</v>
      </c>
      <c r="C692" s="18" t="s">
        <v>2348</v>
      </c>
      <c r="D692" s="7" t="e">
        <f ca="1">_xll.xlqPrice(C692)</f>
        <v>#NAME?</v>
      </c>
      <c r="E692" s="9" t="e">
        <f t="shared" ca="1" si="102"/>
        <v>#NAME?</v>
      </c>
      <c r="F692" s="9">
        <f t="shared" ca="1" si="103"/>
        <v>1</v>
      </c>
      <c r="G692" s="8">
        <f t="shared" ca="1" si="104"/>
        <v>0</v>
      </c>
      <c r="H692" s="8">
        <f t="shared" ca="1" si="105"/>
        <v>0</v>
      </c>
      <c r="I692" s="8">
        <f t="shared" ca="1" si="106"/>
        <v>0</v>
      </c>
      <c r="J692" s="6" t="e">
        <f ca="1">_xll.xlqxhSMA($C692,$L$4,$J$7,$K$3)</f>
        <v>#NAME?</v>
      </c>
      <c r="K692" s="7" t="e">
        <f ca="1">_xll.xlqhClose($C692,K$8,$K$3)</f>
        <v>#NAME?</v>
      </c>
      <c r="L692" s="7" t="e">
        <f ca="1">_xll.xlqhClose($C692,L$8,$K$3)</f>
        <v>#NAME?</v>
      </c>
      <c r="N692" s="9">
        <f t="shared" ca="1" si="107"/>
        <v>1</v>
      </c>
      <c r="O692" s="9">
        <f t="shared" ca="1" si="108"/>
        <v>1</v>
      </c>
      <c r="P692" s="9">
        <f t="shared" ca="1" si="109"/>
        <v>1</v>
      </c>
      <c r="Q692" s="9">
        <f t="shared" ca="1" si="110"/>
        <v>1</v>
      </c>
      <c r="R692" s="9">
        <f t="shared" ca="1" si="111"/>
        <v>0</v>
      </c>
    </row>
    <row r="693" spans="2:18" x14ac:dyDescent="0.25">
      <c r="B693" s="17" t="s">
        <v>1081</v>
      </c>
      <c r="C693" s="18" t="s">
        <v>1082</v>
      </c>
      <c r="D693" s="7" t="e">
        <f ca="1">_xll.xlqPrice(C693)</f>
        <v>#NAME?</v>
      </c>
      <c r="E693" s="9" t="e">
        <f t="shared" ca="1" si="102"/>
        <v>#NAME?</v>
      </c>
      <c r="F693" s="9">
        <f t="shared" ca="1" si="103"/>
        <v>1</v>
      </c>
      <c r="G693" s="8">
        <f t="shared" ca="1" si="104"/>
        <v>0</v>
      </c>
      <c r="H693" s="8">
        <f t="shared" ca="1" si="105"/>
        <v>0</v>
      </c>
      <c r="I693" s="8">
        <f t="shared" ca="1" si="106"/>
        <v>0</v>
      </c>
      <c r="J693" s="6" t="e">
        <f ca="1">_xll.xlqxhSMA($C693,$L$4,$J$7,$K$3)</f>
        <v>#NAME?</v>
      </c>
      <c r="K693" s="7" t="e">
        <f ca="1">_xll.xlqhClose($C693,K$8,$K$3)</f>
        <v>#NAME?</v>
      </c>
      <c r="L693" s="7" t="e">
        <f ca="1">_xll.xlqhClose($C693,L$8,$K$3)</f>
        <v>#NAME?</v>
      </c>
      <c r="N693" s="9">
        <f t="shared" ca="1" si="107"/>
        <v>1</v>
      </c>
      <c r="O693" s="9">
        <f t="shared" ca="1" si="108"/>
        <v>1</v>
      </c>
      <c r="P693" s="9">
        <f t="shared" ca="1" si="109"/>
        <v>1</v>
      </c>
      <c r="Q693" s="9">
        <f t="shared" ca="1" si="110"/>
        <v>1</v>
      </c>
      <c r="R693" s="9">
        <f t="shared" ca="1" si="111"/>
        <v>0</v>
      </c>
    </row>
    <row r="694" spans="2:18" x14ac:dyDescent="0.25">
      <c r="B694" s="17" t="s">
        <v>682</v>
      </c>
      <c r="C694" s="18" t="s">
        <v>683</v>
      </c>
      <c r="D694" s="7" t="e">
        <f ca="1">_xll.xlqPrice(C694)</f>
        <v>#NAME?</v>
      </c>
      <c r="E694" s="9" t="e">
        <f t="shared" ca="1" si="102"/>
        <v>#NAME?</v>
      </c>
      <c r="F694" s="9">
        <f t="shared" ca="1" si="103"/>
        <v>1</v>
      </c>
      <c r="G694" s="8">
        <f t="shared" ca="1" si="104"/>
        <v>0</v>
      </c>
      <c r="H694" s="8">
        <f t="shared" ca="1" si="105"/>
        <v>0</v>
      </c>
      <c r="I694" s="8">
        <f t="shared" ca="1" si="106"/>
        <v>0</v>
      </c>
      <c r="J694" s="6" t="e">
        <f ca="1">_xll.xlqxhSMA($C694,$L$4,$J$7,$K$3)</f>
        <v>#NAME?</v>
      </c>
      <c r="K694" s="7" t="e">
        <f ca="1">_xll.xlqhClose($C694,K$8,$K$3)</f>
        <v>#NAME?</v>
      </c>
      <c r="L694" s="7" t="e">
        <f ca="1">_xll.xlqhClose($C694,L$8,$K$3)</f>
        <v>#NAME?</v>
      </c>
      <c r="N694" s="9">
        <f t="shared" ca="1" si="107"/>
        <v>1</v>
      </c>
      <c r="O694" s="9">
        <f t="shared" ca="1" si="108"/>
        <v>1</v>
      </c>
      <c r="P694" s="9">
        <f t="shared" ca="1" si="109"/>
        <v>1</v>
      </c>
      <c r="Q694" s="9">
        <f t="shared" ca="1" si="110"/>
        <v>1</v>
      </c>
      <c r="R694" s="9">
        <f t="shared" ca="1" si="111"/>
        <v>0</v>
      </c>
    </row>
    <row r="695" spans="2:18" x14ac:dyDescent="0.25">
      <c r="B695" s="17" t="s">
        <v>63</v>
      </c>
      <c r="C695" s="18" t="s">
        <v>64</v>
      </c>
      <c r="D695" s="7" t="e">
        <f ca="1">_xll.xlqPrice(C695)</f>
        <v>#NAME?</v>
      </c>
      <c r="E695" s="9" t="e">
        <f t="shared" ca="1" si="102"/>
        <v>#NAME?</v>
      </c>
      <c r="F695" s="9">
        <f t="shared" ca="1" si="103"/>
        <v>1</v>
      </c>
      <c r="G695" s="8">
        <f t="shared" ca="1" si="104"/>
        <v>0</v>
      </c>
      <c r="H695" s="8">
        <f t="shared" ca="1" si="105"/>
        <v>0</v>
      </c>
      <c r="I695" s="8">
        <f t="shared" ca="1" si="106"/>
        <v>0</v>
      </c>
      <c r="J695" s="6" t="e">
        <f ca="1">_xll.xlqxhSMA($C695,$L$4,$J$7,$K$3)</f>
        <v>#NAME?</v>
      </c>
      <c r="K695" s="7" t="e">
        <f ca="1">_xll.xlqhClose($C695,K$8,$K$3)</f>
        <v>#NAME?</v>
      </c>
      <c r="L695" s="7" t="e">
        <f ca="1">_xll.xlqhClose($C695,L$8,$K$3)</f>
        <v>#NAME?</v>
      </c>
      <c r="N695" s="9">
        <f t="shared" ca="1" si="107"/>
        <v>1</v>
      </c>
      <c r="O695" s="9">
        <f t="shared" ca="1" si="108"/>
        <v>1</v>
      </c>
      <c r="P695" s="9">
        <f t="shared" ca="1" si="109"/>
        <v>1</v>
      </c>
      <c r="Q695" s="9">
        <f t="shared" ca="1" si="110"/>
        <v>1</v>
      </c>
      <c r="R695" s="9">
        <f t="shared" ca="1" si="111"/>
        <v>0</v>
      </c>
    </row>
    <row r="696" spans="2:18" x14ac:dyDescent="0.25">
      <c r="B696" s="17" t="s">
        <v>560</v>
      </c>
      <c r="C696" s="18" t="s">
        <v>561</v>
      </c>
      <c r="D696" s="7" t="e">
        <f ca="1">_xll.xlqPrice(C696)</f>
        <v>#NAME?</v>
      </c>
      <c r="E696" s="9" t="e">
        <f t="shared" ca="1" si="102"/>
        <v>#NAME?</v>
      </c>
      <c r="F696" s="9">
        <f t="shared" ca="1" si="103"/>
        <v>1</v>
      </c>
      <c r="G696" s="8">
        <f t="shared" ca="1" si="104"/>
        <v>0</v>
      </c>
      <c r="H696" s="8">
        <f t="shared" ca="1" si="105"/>
        <v>0</v>
      </c>
      <c r="I696" s="8">
        <f t="shared" ca="1" si="106"/>
        <v>0</v>
      </c>
      <c r="J696" s="6" t="e">
        <f ca="1">_xll.xlqxhSMA($C696,$L$4,$J$7,$K$3)</f>
        <v>#NAME?</v>
      </c>
      <c r="K696" s="7" t="e">
        <f ca="1">_xll.xlqhClose($C696,K$8,$K$3)</f>
        <v>#NAME?</v>
      </c>
      <c r="L696" s="7" t="e">
        <f ca="1">_xll.xlqhClose($C696,L$8,$K$3)</f>
        <v>#NAME?</v>
      </c>
      <c r="N696" s="9">
        <f t="shared" ca="1" si="107"/>
        <v>1</v>
      </c>
      <c r="O696" s="9">
        <f t="shared" ca="1" si="108"/>
        <v>1</v>
      </c>
      <c r="P696" s="9">
        <f t="shared" ca="1" si="109"/>
        <v>1</v>
      </c>
      <c r="Q696" s="9">
        <f t="shared" ca="1" si="110"/>
        <v>1</v>
      </c>
      <c r="R696" s="9">
        <f t="shared" ca="1" si="111"/>
        <v>0</v>
      </c>
    </row>
    <row r="697" spans="2:18" x14ac:dyDescent="0.25">
      <c r="B697" s="17" t="s">
        <v>606</v>
      </c>
      <c r="C697" s="18" t="s">
        <v>607</v>
      </c>
      <c r="D697" s="7" t="e">
        <f ca="1">_xll.xlqPrice(C697)</f>
        <v>#NAME?</v>
      </c>
      <c r="E697" s="9" t="e">
        <f t="shared" ca="1" si="102"/>
        <v>#NAME?</v>
      </c>
      <c r="F697" s="9">
        <f t="shared" ca="1" si="103"/>
        <v>1</v>
      </c>
      <c r="G697" s="8">
        <f t="shared" ca="1" si="104"/>
        <v>0</v>
      </c>
      <c r="H697" s="8">
        <f t="shared" ca="1" si="105"/>
        <v>0</v>
      </c>
      <c r="I697" s="8">
        <f t="shared" ca="1" si="106"/>
        <v>0</v>
      </c>
      <c r="J697" s="6" t="e">
        <f ca="1">_xll.xlqxhSMA($C697,$L$4,$J$7,$K$3)</f>
        <v>#NAME?</v>
      </c>
      <c r="K697" s="7" t="e">
        <f ca="1">_xll.xlqhClose($C697,K$8,$K$3)</f>
        <v>#NAME?</v>
      </c>
      <c r="L697" s="7" t="e">
        <f ca="1">_xll.xlqhClose($C697,L$8,$K$3)</f>
        <v>#NAME?</v>
      </c>
      <c r="N697" s="9">
        <f t="shared" ca="1" si="107"/>
        <v>1</v>
      </c>
      <c r="O697" s="9">
        <f t="shared" ca="1" si="108"/>
        <v>1</v>
      </c>
      <c r="P697" s="9">
        <f t="shared" ca="1" si="109"/>
        <v>1</v>
      </c>
      <c r="Q697" s="9">
        <f t="shared" ca="1" si="110"/>
        <v>1</v>
      </c>
      <c r="R697" s="9">
        <f t="shared" ca="1" si="111"/>
        <v>0</v>
      </c>
    </row>
    <row r="698" spans="2:18" x14ac:dyDescent="0.25">
      <c r="B698" t="s">
        <v>1221</v>
      </c>
      <c r="C698" s="39" t="s">
        <v>1222</v>
      </c>
      <c r="D698" s="7" t="e">
        <f ca="1">_xll.xlqPrice(C698)</f>
        <v>#NAME?</v>
      </c>
      <c r="E698" s="9" t="e">
        <f t="shared" ca="1" si="102"/>
        <v>#NAME?</v>
      </c>
      <c r="F698" s="9">
        <f t="shared" ca="1" si="103"/>
        <v>1</v>
      </c>
      <c r="G698" s="8">
        <f t="shared" ca="1" si="104"/>
        <v>0</v>
      </c>
      <c r="H698" s="8">
        <f t="shared" ca="1" si="105"/>
        <v>0</v>
      </c>
      <c r="I698" s="8">
        <f t="shared" ca="1" si="106"/>
        <v>0</v>
      </c>
      <c r="J698" s="6" t="e">
        <f ca="1">_xll.xlqxhSMA($C698,$L$4,$J$7,$K$3)</f>
        <v>#NAME?</v>
      </c>
      <c r="K698" s="7" t="e">
        <f ca="1">_xll.xlqhClose($C698,K$8,$K$3)</f>
        <v>#NAME?</v>
      </c>
      <c r="L698" s="7" t="e">
        <f ca="1">_xll.xlqhClose($C698,L$8,$K$3)</f>
        <v>#NAME?</v>
      </c>
      <c r="N698" s="9">
        <f t="shared" ca="1" si="107"/>
        <v>1</v>
      </c>
      <c r="O698" s="9">
        <f t="shared" ca="1" si="108"/>
        <v>1</v>
      </c>
      <c r="P698" s="9">
        <f t="shared" ca="1" si="109"/>
        <v>1</v>
      </c>
      <c r="Q698" s="9">
        <f t="shared" ca="1" si="110"/>
        <v>1</v>
      </c>
      <c r="R698" s="9">
        <f t="shared" ca="1" si="111"/>
        <v>0</v>
      </c>
    </row>
    <row r="699" spans="2:18" x14ac:dyDescent="0.25">
      <c r="B699" t="s">
        <v>1933</v>
      </c>
      <c r="C699" s="39" t="s">
        <v>1934</v>
      </c>
      <c r="D699" s="7" t="e">
        <f ca="1">_xll.xlqPrice(C699)</f>
        <v>#NAME?</v>
      </c>
      <c r="E699" s="9" t="e">
        <f t="shared" ca="1" si="102"/>
        <v>#NAME?</v>
      </c>
      <c r="F699" s="9">
        <f t="shared" ca="1" si="103"/>
        <v>1</v>
      </c>
      <c r="G699" s="8">
        <f t="shared" ca="1" si="104"/>
        <v>0</v>
      </c>
      <c r="H699" s="8">
        <f t="shared" ca="1" si="105"/>
        <v>0</v>
      </c>
      <c r="I699" s="8">
        <f t="shared" ca="1" si="106"/>
        <v>0</v>
      </c>
      <c r="J699" s="6" t="e">
        <f ca="1">_xll.xlqxhSMA($C699,$L$4,$J$7,$K$3)</f>
        <v>#NAME?</v>
      </c>
      <c r="K699" s="7" t="e">
        <f ca="1">_xll.xlqhClose($C699,K$8,$K$3)</f>
        <v>#NAME?</v>
      </c>
      <c r="L699" s="7" t="e">
        <f ca="1">_xll.xlqhClose($C699,L$8,$K$3)</f>
        <v>#NAME?</v>
      </c>
      <c r="N699" s="9">
        <f t="shared" ca="1" si="107"/>
        <v>1</v>
      </c>
      <c r="O699" s="9">
        <f t="shared" ca="1" si="108"/>
        <v>1</v>
      </c>
      <c r="P699" s="9">
        <f t="shared" ca="1" si="109"/>
        <v>1</v>
      </c>
      <c r="Q699" s="9">
        <f t="shared" ca="1" si="110"/>
        <v>1</v>
      </c>
      <c r="R699" s="9">
        <f t="shared" ca="1" si="111"/>
        <v>0</v>
      </c>
    </row>
    <row r="700" spans="2:18" x14ac:dyDescent="0.25">
      <c r="B700" s="17" t="s">
        <v>314</v>
      </c>
      <c r="C700" s="18" t="s">
        <v>315</v>
      </c>
      <c r="D700" s="7" t="e">
        <f ca="1">_xll.xlqPrice(C700)</f>
        <v>#NAME?</v>
      </c>
      <c r="E700" s="9" t="e">
        <f t="shared" ca="1" si="102"/>
        <v>#NAME?</v>
      </c>
      <c r="F700" s="9">
        <f t="shared" ca="1" si="103"/>
        <v>1</v>
      </c>
      <c r="G700" s="8">
        <f t="shared" ca="1" si="104"/>
        <v>0</v>
      </c>
      <c r="H700" s="8">
        <f t="shared" ca="1" si="105"/>
        <v>0</v>
      </c>
      <c r="I700" s="8">
        <f t="shared" ca="1" si="106"/>
        <v>0</v>
      </c>
      <c r="J700" s="6" t="e">
        <f ca="1">_xll.xlqxhSMA($C700,$L$4,$J$7,$K$3)</f>
        <v>#NAME?</v>
      </c>
      <c r="K700" s="7" t="e">
        <f ca="1">_xll.xlqhClose($C700,K$8,$K$3)</f>
        <v>#NAME?</v>
      </c>
      <c r="L700" s="7" t="e">
        <f ca="1">_xll.xlqhClose($C700,L$8,$K$3)</f>
        <v>#NAME?</v>
      </c>
      <c r="N700" s="9">
        <f t="shared" ca="1" si="107"/>
        <v>1</v>
      </c>
      <c r="O700" s="9">
        <f t="shared" ca="1" si="108"/>
        <v>1</v>
      </c>
      <c r="P700" s="9">
        <f t="shared" ca="1" si="109"/>
        <v>1</v>
      </c>
      <c r="Q700" s="9">
        <f t="shared" ca="1" si="110"/>
        <v>1</v>
      </c>
      <c r="R700" s="9">
        <f t="shared" ca="1" si="111"/>
        <v>0</v>
      </c>
    </row>
    <row r="701" spans="2:18" x14ac:dyDescent="0.25">
      <c r="B701" s="17" t="s">
        <v>318</v>
      </c>
      <c r="C701" s="18" t="s">
        <v>319</v>
      </c>
      <c r="D701" s="7" t="e">
        <f ca="1">_xll.xlqPrice(C701)</f>
        <v>#NAME?</v>
      </c>
      <c r="E701" s="9" t="e">
        <f t="shared" ca="1" si="102"/>
        <v>#NAME?</v>
      </c>
      <c r="F701" s="9">
        <f t="shared" ca="1" si="103"/>
        <v>1</v>
      </c>
      <c r="G701" s="8">
        <f t="shared" ca="1" si="104"/>
        <v>0</v>
      </c>
      <c r="H701" s="8">
        <f t="shared" ca="1" si="105"/>
        <v>0</v>
      </c>
      <c r="I701" s="8">
        <f t="shared" ca="1" si="106"/>
        <v>0</v>
      </c>
      <c r="J701" s="6" t="e">
        <f ca="1">_xll.xlqxhSMA($C701,$L$4,$J$7,$K$3)</f>
        <v>#NAME?</v>
      </c>
      <c r="K701" s="7" t="e">
        <f ca="1">_xll.xlqhClose($C701,K$8,$K$3)</f>
        <v>#NAME?</v>
      </c>
      <c r="L701" s="7" t="e">
        <f ca="1">_xll.xlqhClose($C701,L$8,$K$3)</f>
        <v>#NAME?</v>
      </c>
      <c r="N701" s="9">
        <f t="shared" ca="1" si="107"/>
        <v>1</v>
      </c>
      <c r="O701" s="9">
        <f t="shared" ca="1" si="108"/>
        <v>1</v>
      </c>
      <c r="P701" s="9">
        <f t="shared" ca="1" si="109"/>
        <v>1</v>
      </c>
      <c r="Q701" s="9">
        <f t="shared" ca="1" si="110"/>
        <v>1</v>
      </c>
      <c r="R701" s="9">
        <f t="shared" ca="1" si="111"/>
        <v>0</v>
      </c>
    </row>
    <row r="702" spans="2:18" x14ac:dyDescent="0.25">
      <c r="B702" s="17" t="s">
        <v>1531</v>
      </c>
      <c r="C702" s="18" t="s">
        <v>1532</v>
      </c>
      <c r="D702" s="7" t="e">
        <f ca="1">_xll.xlqPrice(C702)</f>
        <v>#NAME?</v>
      </c>
      <c r="E702" s="9" t="e">
        <f t="shared" ca="1" si="102"/>
        <v>#NAME?</v>
      </c>
      <c r="F702" s="9">
        <f t="shared" ca="1" si="103"/>
        <v>1</v>
      </c>
      <c r="G702" s="8">
        <f t="shared" ca="1" si="104"/>
        <v>0</v>
      </c>
      <c r="H702" s="8">
        <f t="shared" ca="1" si="105"/>
        <v>0</v>
      </c>
      <c r="I702" s="8">
        <f t="shared" ca="1" si="106"/>
        <v>0</v>
      </c>
      <c r="J702" s="6" t="e">
        <f ca="1">_xll.xlqxhSMA($C702,$L$4,$J$7,$K$3)</f>
        <v>#NAME?</v>
      </c>
      <c r="K702" s="7" t="e">
        <f ca="1">_xll.xlqhClose($C702,K$8,$K$3)</f>
        <v>#NAME?</v>
      </c>
      <c r="L702" s="7" t="e">
        <f ca="1">_xll.xlqhClose($C702,L$8,$K$3)</f>
        <v>#NAME?</v>
      </c>
      <c r="N702" s="9">
        <f t="shared" ca="1" si="107"/>
        <v>1</v>
      </c>
      <c r="O702" s="9">
        <f t="shared" ca="1" si="108"/>
        <v>1</v>
      </c>
      <c r="P702" s="9">
        <f t="shared" ca="1" si="109"/>
        <v>1</v>
      </c>
      <c r="Q702" s="9">
        <f t="shared" ca="1" si="110"/>
        <v>1</v>
      </c>
      <c r="R702" s="9">
        <f t="shared" ca="1" si="111"/>
        <v>0</v>
      </c>
    </row>
    <row r="703" spans="2:18" x14ac:dyDescent="0.25">
      <c r="B703" s="17" t="s">
        <v>1371</v>
      </c>
      <c r="C703" s="18" t="s">
        <v>1372</v>
      </c>
      <c r="D703" s="7" t="e">
        <f ca="1">_xll.xlqPrice(C703)</f>
        <v>#NAME?</v>
      </c>
      <c r="E703" s="9" t="e">
        <f t="shared" ca="1" si="102"/>
        <v>#NAME?</v>
      </c>
      <c r="F703" s="9">
        <f t="shared" ca="1" si="103"/>
        <v>1</v>
      </c>
      <c r="G703" s="8">
        <f t="shared" ca="1" si="104"/>
        <v>0</v>
      </c>
      <c r="H703" s="8">
        <f t="shared" ca="1" si="105"/>
        <v>0</v>
      </c>
      <c r="I703" s="8">
        <f t="shared" ca="1" si="106"/>
        <v>0</v>
      </c>
      <c r="J703" s="6" t="e">
        <f ca="1">_xll.xlqxhSMA($C703,$L$4,$J$7,$K$3)</f>
        <v>#NAME?</v>
      </c>
      <c r="K703" s="7" t="e">
        <f ca="1">_xll.xlqhClose($C703,K$8,$K$3)</f>
        <v>#NAME?</v>
      </c>
      <c r="L703" s="7" t="e">
        <f ca="1">_xll.xlqhClose($C703,L$8,$K$3)</f>
        <v>#NAME?</v>
      </c>
      <c r="N703" s="9">
        <f t="shared" ca="1" si="107"/>
        <v>1</v>
      </c>
      <c r="O703" s="9">
        <f t="shared" ca="1" si="108"/>
        <v>1</v>
      </c>
      <c r="P703" s="9">
        <f t="shared" ca="1" si="109"/>
        <v>1</v>
      </c>
      <c r="Q703" s="9">
        <f t="shared" ca="1" si="110"/>
        <v>1</v>
      </c>
      <c r="R703" s="9">
        <f t="shared" ca="1" si="111"/>
        <v>0</v>
      </c>
    </row>
    <row r="704" spans="2:18" x14ac:dyDescent="0.25">
      <c r="B704" t="s">
        <v>1619</v>
      </c>
      <c r="C704" s="39" t="s">
        <v>1620</v>
      </c>
      <c r="D704" s="7" t="e">
        <f ca="1">_xll.xlqPrice(C704)</f>
        <v>#NAME?</v>
      </c>
      <c r="E704" s="9" t="e">
        <f t="shared" ca="1" si="102"/>
        <v>#NAME?</v>
      </c>
      <c r="F704" s="9">
        <f t="shared" ca="1" si="103"/>
        <v>1</v>
      </c>
      <c r="G704" s="8">
        <f t="shared" ca="1" si="104"/>
        <v>0</v>
      </c>
      <c r="H704" s="8">
        <f t="shared" ca="1" si="105"/>
        <v>0</v>
      </c>
      <c r="I704" s="8">
        <f t="shared" ca="1" si="106"/>
        <v>0</v>
      </c>
      <c r="J704" s="6" t="e">
        <f ca="1">_xll.xlqxhSMA($C704,$L$4,$J$7,$K$3)</f>
        <v>#NAME?</v>
      </c>
      <c r="K704" s="7" t="e">
        <f ca="1">_xll.xlqhClose($C704,K$8,$K$3)</f>
        <v>#NAME?</v>
      </c>
      <c r="L704" s="7" t="e">
        <f ca="1">_xll.xlqhClose($C704,L$8,$K$3)</f>
        <v>#NAME?</v>
      </c>
      <c r="N704" s="9">
        <f t="shared" ca="1" si="107"/>
        <v>1</v>
      </c>
      <c r="O704" s="9">
        <f t="shared" ca="1" si="108"/>
        <v>1</v>
      </c>
      <c r="P704" s="9">
        <f t="shared" ca="1" si="109"/>
        <v>1</v>
      </c>
      <c r="Q704" s="9">
        <f t="shared" ca="1" si="110"/>
        <v>1</v>
      </c>
      <c r="R704" s="9">
        <f t="shared" ca="1" si="111"/>
        <v>0</v>
      </c>
    </row>
    <row r="705" spans="2:18" x14ac:dyDescent="0.25">
      <c r="B705" t="s">
        <v>1931</v>
      </c>
      <c r="C705" s="39" t="s">
        <v>1932</v>
      </c>
      <c r="D705" s="7" t="e">
        <f ca="1">_xll.xlqPrice(C705)</f>
        <v>#NAME?</v>
      </c>
      <c r="E705" s="9" t="e">
        <f t="shared" ca="1" si="102"/>
        <v>#NAME?</v>
      </c>
      <c r="F705" s="9">
        <f t="shared" ca="1" si="103"/>
        <v>1</v>
      </c>
      <c r="G705" s="8">
        <f t="shared" ca="1" si="104"/>
        <v>0</v>
      </c>
      <c r="H705" s="8">
        <f t="shared" ca="1" si="105"/>
        <v>0</v>
      </c>
      <c r="I705" s="8">
        <f t="shared" ca="1" si="106"/>
        <v>0</v>
      </c>
      <c r="J705" s="6" t="e">
        <f ca="1">_xll.xlqxhSMA($C705,$L$4,$J$7,$K$3)</f>
        <v>#NAME?</v>
      </c>
      <c r="K705" s="7" t="e">
        <f ca="1">_xll.xlqhClose($C705,K$8,$K$3)</f>
        <v>#NAME?</v>
      </c>
      <c r="L705" s="7" t="e">
        <f ca="1">_xll.xlqhClose($C705,L$8,$K$3)</f>
        <v>#NAME?</v>
      </c>
      <c r="N705" s="9">
        <f t="shared" ca="1" si="107"/>
        <v>1</v>
      </c>
      <c r="O705" s="9">
        <f t="shared" ca="1" si="108"/>
        <v>1</v>
      </c>
      <c r="P705" s="9">
        <f t="shared" ca="1" si="109"/>
        <v>1</v>
      </c>
      <c r="Q705" s="9">
        <f t="shared" ca="1" si="110"/>
        <v>1</v>
      </c>
      <c r="R705" s="9">
        <f t="shared" ca="1" si="111"/>
        <v>0</v>
      </c>
    </row>
    <row r="706" spans="2:18" x14ac:dyDescent="0.25">
      <c r="B706" s="17" t="s">
        <v>1451</v>
      </c>
      <c r="C706" s="18" t="s">
        <v>1452</v>
      </c>
      <c r="D706" s="7" t="e">
        <f ca="1">_xll.xlqPrice(C706)</f>
        <v>#NAME?</v>
      </c>
      <c r="E706" s="9" t="e">
        <f t="shared" ca="1" si="102"/>
        <v>#NAME?</v>
      </c>
      <c r="F706" s="9">
        <f t="shared" ca="1" si="103"/>
        <v>1</v>
      </c>
      <c r="G706" s="8">
        <f t="shared" ca="1" si="104"/>
        <v>0</v>
      </c>
      <c r="H706" s="8">
        <f t="shared" ca="1" si="105"/>
        <v>0</v>
      </c>
      <c r="I706" s="8">
        <f t="shared" ca="1" si="106"/>
        <v>0</v>
      </c>
      <c r="J706" s="6" t="e">
        <f ca="1">_xll.xlqxhSMA($C706,$L$4,$J$7,$K$3)</f>
        <v>#NAME?</v>
      </c>
      <c r="K706" s="7" t="e">
        <f ca="1">_xll.xlqhClose($C706,K$8,$K$3)</f>
        <v>#NAME?</v>
      </c>
      <c r="L706" s="7" t="e">
        <f ca="1">_xll.xlqhClose($C706,L$8,$K$3)</f>
        <v>#NAME?</v>
      </c>
      <c r="N706" s="9">
        <f t="shared" ca="1" si="107"/>
        <v>1</v>
      </c>
      <c r="O706" s="9">
        <f t="shared" ca="1" si="108"/>
        <v>1</v>
      </c>
      <c r="P706" s="9">
        <f t="shared" ca="1" si="109"/>
        <v>1</v>
      </c>
      <c r="Q706" s="9">
        <f t="shared" ca="1" si="110"/>
        <v>1</v>
      </c>
      <c r="R706" s="9">
        <f t="shared" ca="1" si="111"/>
        <v>0</v>
      </c>
    </row>
    <row r="707" spans="2:18" x14ac:dyDescent="0.25">
      <c r="B707" s="17" t="s">
        <v>1955</v>
      </c>
      <c r="C707" s="18" t="s">
        <v>1956</v>
      </c>
      <c r="D707" s="7" t="e">
        <f ca="1">_xll.xlqPrice(C707)</f>
        <v>#NAME?</v>
      </c>
      <c r="E707" s="9" t="e">
        <f t="shared" ca="1" si="102"/>
        <v>#NAME?</v>
      </c>
      <c r="F707" s="9">
        <f t="shared" ca="1" si="103"/>
        <v>1</v>
      </c>
      <c r="G707" s="8">
        <f t="shared" ca="1" si="104"/>
        <v>0</v>
      </c>
      <c r="H707" s="8">
        <f t="shared" ca="1" si="105"/>
        <v>0</v>
      </c>
      <c r="I707" s="8">
        <f t="shared" ca="1" si="106"/>
        <v>0</v>
      </c>
      <c r="J707" s="6" t="e">
        <f ca="1">_xll.xlqxhSMA($C707,$L$4,$J$7,$K$3)</f>
        <v>#NAME?</v>
      </c>
      <c r="K707" s="7" t="e">
        <f ca="1">_xll.xlqhClose($C707,K$8,$K$3)</f>
        <v>#NAME?</v>
      </c>
      <c r="L707" s="7" t="e">
        <f ca="1">_xll.xlqhClose($C707,L$8,$K$3)</f>
        <v>#NAME?</v>
      </c>
      <c r="N707" s="9">
        <f t="shared" ca="1" si="107"/>
        <v>1</v>
      </c>
      <c r="O707" s="9">
        <f t="shared" ca="1" si="108"/>
        <v>1</v>
      </c>
      <c r="P707" s="9">
        <f t="shared" ca="1" si="109"/>
        <v>1</v>
      </c>
      <c r="Q707" s="9">
        <f t="shared" ca="1" si="110"/>
        <v>1</v>
      </c>
      <c r="R707" s="9">
        <f t="shared" ca="1" si="111"/>
        <v>0</v>
      </c>
    </row>
    <row r="708" spans="2:18" x14ac:dyDescent="0.25">
      <c r="B708" s="17" t="s">
        <v>876</v>
      </c>
      <c r="C708" s="18" t="s">
        <v>877</v>
      </c>
      <c r="D708" s="7" t="e">
        <f ca="1">_xll.xlqPrice(C708)</f>
        <v>#NAME?</v>
      </c>
      <c r="E708" s="9" t="e">
        <f t="shared" ca="1" si="102"/>
        <v>#NAME?</v>
      </c>
      <c r="F708" s="9">
        <f t="shared" ca="1" si="103"/>
        <v>1</v>
      </c>
      <c r="G708" s="8">
        <f t="shared" ca="1" si="104"/>
        <v>0</v>
      </c>
      <c r="H708" s="8">
        <f t="shared" ca="1" si="105"/>
        <v>0</v>
      </c>
      <c r="I708" s="8">
        <f t="shared" ca="1" si="106"/>
        <v>0</v>
      </c>
      <c r="J708" s="6" t="e">
        <f ca="1">_xll.xlqxhSMA($C708,$L$4,$J$7,$K$3)</f>
        <v>#NAME?</v>
      </c>
      <c r="K708" s="7" t="e">
        <f ca="1">_xll.xlqhClose($C708,K$8,$K$3)</f>
        <v>#NAME?</v>
      </c>
      <c r="L708" s="7" t="e">
        <f ca="1">_xll.xlqhClose($C708,L$8,$K$3)</f>
        <v>#NAME?</v>
      </c>
      <c r="N708" s="9">
        <f t="shared" ca="1" si="107"/>
        <v>1</v>
      </c>
      <c r="O708" s="9">
        <f t="shared" ca="1" si="108"/>
        <v>1</v>
      </c>
      <c r="P708" s="9">
        <f t="shared" ca="1" si="109"/>
        <v>1</v>
      </c>
      <c r="Q708" s="9">
        <f t="shared" ca="1" si="110"/>
        <v>1</v>
      </c>
      <c r="R708" s="9">
        <f t="shared" ca="1" si="111"/>
        <v>0</v>
      </c>
    </row>
    <row r="709" spans="2:18" x14ac:dyDescent="0.25">
      <c r="B709" s="17" t="s">
        <v>1379</v>
      </c>
      <c r="C709" s="18" t="s">
        <v>1380</v>
      </c>
      <c r="D709" s="7" t="e">
        <f ca="1">_xll.xlqPrice(C709)</f>
        <v>#NAME?</v>
      </c>
      <c r="E709" s="9" t="e">
        <f t="shared" ca="1" si="102"/>
        <v>#NAME?</v>
      </c>
      <c r="F709" s="9">
        <f t="shared" ca="1" si="103"/>
        <v>1</v>
      </c>
      <c r="G709" s="8">
        <f t="shared" ca="1" si="104"/>
        <v>0</v>
      </c>
      <c r="H709" s="8">
        <f t="shared" ca="1" si="105"/>
        <v>0</v>
      </c>
      <c r="I709" s="8">
        <f t="shared" ca="1" si="106"/>
        <v>0</v>
      </c>
      <c r="J709" s="6" t="e">
        <f ca="1">_xll.xlqxhSMA($C709,$L$4,$J$7,$K$3)</f>
        <v>#NAME?</v>
      </c>
      <c r="K709" s="7" t="e">
        <f ca="1">_xll.xlqhClose($C709,K$8,$K$3)</f>
        <v>#NAME?</v>
      </c>
      <c r="L709" s="7" t="e">
        <f ca="1">_xll.xlqhClose($C709,L$8,$K$3)</f>
        <v>#NAME?</v>
      </c>
      <c r="N709" s="9">
        <f t="shared" ca="1" si="107"/>
        <v>1</v>
      </c>
      <c r="O709" s="9">
        <f t="shared" ca="1" si="108"/>
        <v>1</v>
      </c>
      <c r="P709" s="9">
        <f t="shared" ca="1" si="109"/>
        <v>1</v>
      </c>
      <c r="Q709" s="9">
        <f t="shared" ca="1" si="110"/>
        <v>1</v>
      </c>
      <c r="R709" s="9">
        <f t="shared" ca="1" si="111"/>
        <v>0</v>
      </c>
    </row>
    <row r="710" spans="2:18" x14ac:dyDescent="0.25">
      <c r="B710" t="s">
        <v>1705</v>
      </c>
      <c r="C710" s="39" t="s">
        <v>1706</v>
      </c>
      <c r="D710" s="7" t="e">
        <f ca="1">_xll.xlqPrice(C710)</f>
        <v>#NAME?</v>
      </c>
      <c r="E710" s="9" t="e">
        <f t="shared" ca="1" si="102"/>
        <v>#NAME?</v>
      </c>
      <c r="F710" s="9">
        <f t="shared" ca="1" si="103"/>
        <v>1</v>
      </c>
      <c r="G710" s="8">
        <f t="shared" ca="1" si="104"/>
        <v>0</v>
      </c>
      <c r="H710" s="8">
        <f t="shared" ca="1" si="105"/>
        <v>0</v>
      </c>
      <c r="I710" s="8">
        <f t="shared" ca="1" si="106"/>
        <v>0</v>
      </c>
      <c r="J710" s="6" t="e">
        <f ca="1">_xll.xlqxhSMA($C710,$L$4,$J$7,$K$3)</f>
        <v>#NAME?</v>
      </c>
      <c r="K710" s="7" t="e">
        <f ca="1">_xll.xlqhClose($C710,K$8,$K$3)</f>
        <v>#NAME?</v>
      </c>
      <c r="L710" s="7" t="e">
        <f ca="1">_xll.xlqhClose($C710,L$8,$K$3)</f>
        <v>#NAME?</v>
      </c>
      <c r="N710" s="9">
        <f t="shared" ca="1" si="107"/>
        <v>1</v>
      </c>
      <c r="O710" s="9">
        <f t="shared" ca="1" si="108"/>
        <v>1</v>
      </c>
      <c r="P710" s="9">
        <f t="shared" ca="1" si="109"/>
        <v>1</v>
      </c>
      <c r="Q710" s="9">
        <f t="shared" ca="1" si="110"/>
        <v>1</v>
      </c>
      <c r="R710" s="9">
        <f t="shared" ca="1" si="111"/>
        <v>0</v>
      </c>
    </row>
    <row r="711" spans="2:18" x14ac:dyDescent="0.25">
      <c r="B711" s="17" t="s">
        <v>838</v>
      </c>
      <c r="C711" s="18" t="s">
        <v>839</v>
      </c>
      <c r="D711" s="7" t="e">
        <f ca="1">_xll.xlqPrice(C711)</f>
        <v>#NAME?</v>
      </c>
      <c r="E711" s="9" t="e">
        <f t="shared" ca="1" si="102"/>
        <v>#NAME?</v>
      </c>
      <c r="F711" s="9">
        <f t="shared" ca="1" si="103"/>
        <v>1</v>
      </c>
      <c r="G711" s="8">
        <f t="shared" ca="1" si="104"/>
        <v>0</v>
      </c>
      <c r="H711" s="8">
        <f t="shared" ca="1" si="105"/>
        <v>0</v>
      </c>
      <c r="I711" s="8">
        <f t="shared" ca="1" si="106"/>
        <v>0</v>
      </c>
      <c r="J711" s="6" t="e">
        <f ca="1">_xll.xlqxhSMA($C711,$L$4,$J$7,$K$3)</f>
        <v>#NAME?</v>
      </c>
      <c r="K711" s="7" t="e">
        <f ca="1">_xll.xlqhClose($C711,K$8,$K$3)</f>
        <v>#NAME?</v>
      </c>
      <c r="L711" s="7" t="e">
        <f ca="1">_xll.xlqhClose($C711,L$8,$K$3)</f>
        <v>#NAME?</v>
      </c>
      <c r="N711" s="9">
        <f t="shared" ca="1" si="107"/>
        <v>1</v>
      </c>
      <c r="O711" s="9">
        <f t="shared" ca="1" si="108"/>
        <v>1</v>
      </c>
      <c r="P711" s="9">
        <f t="shared" ca="1" si="109"/>
        <v>1</v>
      </c>
      <c r="Q711" s="9">
        <f t="shared" ca="1" si="110"/>
        <v>1</v>
      </c>
      <c r="R711" s="9">
        <f t="shared" ca="1" si="111"/>
        <v>0</v>
      </c>
    </row>
    <row r="712" spans="2:18" x14ac:dyDescent="0.25">
      <c r="B712" s="17" t="s">
        <v>2101</v>
      </c>
      <c r="C712" s="18" t="s">
        <v>2102</v>
      </c>
      <c r="D712" s="7" t="e">
        <f ca="1">_xll.xlqPrice(C712)</f>
        <v>#NAME?</v>
      </c>
      <c r="E712" s="9" t="e">
        <f t="shared" ca="1" si="102"/>
        <v>#NAME?</v>
      </c>
      <c r="F712" s="9">
        <f t="shared" ca="1" si="103"/>
        <v>1</v>
      </c>
      <c r="G712" s="8">
        <f t="shared" ca="1" si="104"/>
        <v>0</v>
      </c>
      <c r="H712" s="8">
        <f t="shared" ca="1" si="105"/>
        <v>0</v>
      </c>
      <c r="I712" s="8">
        <f t="shared" ca="1" si="106"/>
        <v>0</v>
      </c>
      <c r="J712" s="6" t="e">
        <f ca="1">_xll.xlqxhSMA($C712,$L$4,$J$7,$K$3)</f>
        <v>#NAME?</v>
      </c>
      <c r="K712" s="7" t="e">
        <f ca="1">_xll.xlqhClose($C712,K$8,$K$3)</f>
        <v>#NAME?</v>
      </c>
      <c r="L712" s="7" t="e">
        <f ca="1">_xll.xlqhClose($C712,L$8,$K$3)</f>
        <v>#NAME?</v>
      </c>
      <c r="N712" s="9">
        <f t="shared" ca="1" si="107"/>
        <v>1</v>
      </c>
      <c r="O712" s="9">
        <f t="shared" ca="1" si="108"/>
        <v>1</v>
      </c>
      <c r="P712" s="9">
        <f t="shared" ca="1" si="109"/>
        <v>1</v>
      </c>
      <c r="Q712" s="9">
        <f t="shared" ca="1" si="110"/>
        <v>1</v>
      </c>
      <c r="R712" s="9">
        <f t="shared" ca="1" si="111"/>
        <v>0</v>
      </c>
    </row>
    <row r="713" spans="2:18" x14ac:dyDescent="0.25">
      <c r="B713" s="17" t="s">
        <v>1775</v>
      </c>
      <c r="C713" s="18" t="s">
        <v>1776</v>
      </c>
      <c r="D713" s="7" t="e">
        <f ca="1">_xll.xlqPrice(C713)</f>
        <v>#NAME?</v>
      </c>
      <c r="E713" s="9" t="e">
        <f t="shared" ca="1" si="102"/>
        <v>#NAME?</v>
      </c>
      <c r="F713" s="9">
        <f t="shared" ca="1" si="103"/>
        <v>1</v>
      </c>
      <c r="G713" s="8">
        <f t="shared" ca="1" si="104"/>
        <v>0</v>
      </c>
      <c r="H713" s="8">
        <f t="shared" ca="1" si="105"/>
        <v>0</v>
      </c>
      <c r="I713" s="8">
        <f t="shared" ca="1" si="106"/>
        <v>0</v>
      </c>
      <c r="J713" s="6" t="e">
        <f ca="1">_xll.xlqxhSMA($C713,$L$4,$J$7,$K$3)</f>
        <v>#NAME?</v>
      </c>
      <c r="K713" s="7" t="e">
        <f ca="1">_xll.xlqhClose($C713,K$8,$K$3)</f>
        <v>#NAME?</v>
      </c>
      <c r="L713" s="7" t="e">
        <f ca="1">_xll.xlqhClose($C713,L$8,$K$3)</f>
        <v>#NAME?</v>
      </c>
      <c r="N713" s="9">
        <f t="shared" ca="1" si="107"/>
        <v>1</v>
      </c>
      <c r="O713" s="9">
        <f t="shared" ca="1" si="108"/>
        <v>1</v>
      </c>
      <c r="P713" s="9">
        <f t="shared" ca="1" si="109"/>
        <v>1</v>
      </c>
      <c r="Q713" s="9">
        <f t="shared" ca="1" si="110"/>
        <v>1</v>
      </c>
      <c r="R713" s="9">
        <f t="shared" ca="1" si="111"/>
        <v>0</v>
      </c>
    </row>
    <row r="714" spans="2:18" x14ac:dyDescent="0.25">
      <c r="B714" s="17" t="s">
        <v>846</v>
      </c>
      <c r="C714" s="18" t="s">
        <v>847</v>
      </c>
      <c r="D714" s="7" t="e">
        <f ca="1">_xll.xlqPrice(C714)</f>
        <v>#NAME?</v>
      </c>
      <c r="E714" s="9" t="e">
        <f t="shared" ca="1" si="102"/>
        <v>#NAME?</v>
      </c>
      <c r="F714" s="9">
        <f t="shared" ca="1" si="103"/>
        <v>1</v>
      </c>
      <c r="G714" s="8">
        <f t="shared" ca="1" si="104"/>
        <v>0</v>
      </c>
      <c r="H714" s="8">
        <f t="shared" ca="1" si="105"/>
        <v>0</v>
      </c>
      <c r="I714" s="8">
        <f t="shared" ca="1" si="106"/>
        <v>0</v>
      </c>
      <c r="J714" s="6" t="e">
        <f ca="1">_xll.xlqxhSMA($C714,$L$4,$J$7,$K$3)</f>
        <v>#NAME?</v>
      </c>
      <c r="K714" s="7" t="e">
        <f ca="1">_xll.xlqhClose($C714,K$8,$K$3)</f>
        <v>#NAME?</v>
      </c>
      <c r="L714" s="7" t="e">
        <f ca="1">_xll.xlqhClose($C714,L$8,$K$3)</f>
        <v>#NAME?</v>
      </c>
      <c r="N714" s="9">
        <f t="shared" ca="1" si="107"/>
        <v>1</v>
      </c>
      <c r="O714" s="9">
        <f t="shared" ca="1" si="108"/>
        <v>1</v>
      </c>
      <c r="P714" s="9">
        <f t="shared" ca="1" si="109"/>
        <v>1</v>
      </c>
      <c r="Q714" s="9">
        <f t="shared" ca="1" si="110"/>
        <v>1</v>
      </c>
      <c r="R714" s="9">
        <f t="shared" ca="1" si="111"/>
        <v>0</v>
      </c>
    </row>
    <row r="715" spans="2:18" x14ac:dyDescent="0.25">
      <c r="B715" s="17" t="s">
        <v>1091</v>
      </c>
      <c r="C715" s="18" t="s">
        <v>1092</v>
      </c>
      <c r="D715" s="7" t="e">
        <f ca="1">_xll.xlqPrice(C715)</f>
        <v>#NAME?</v>
      </c>
      <c r="E715" s="9" t="e">
        <f t="shared" ref="E715:E778" ca="1" si="112">IF(D715&gt;J715, "Buy","Cash")</f>
        <v>#NAME?</v>
      </c>
      <c r="F715" s="9">
        <f t="shared" ref="F715:F778" ca="1" si="113">RANK(I715,$I$11:$I$1138,0)</f>
        <v>1</v>
      </c>
      <c r="G715" s="8">
        <f t="shared" ref="G715:G778" ca="1" si="114">IFERROR(($D715-K715)/K715,0)</f>
        <v>0</v>
      </c>
      <c r="H715" s="8">
        <f t="shared" ref="H715:H778" ca="1" si="115">IFERROR(($D715-L715)/L715,0)</f>
        <v>0</v>
      </c>
      <c r="I715" s="8">
        <f t="shared" ref="I715:I778" ca="1" si="116">IFERROR((G715*$G$8)+(H715*$H$8),0)</f>
        <v>0</v>
      </c>
      <c r="J715" s="6" t="e">
        <f ca="1">_xll.xlqxhSMA($C715,$L$4,$J$7,$K$3)</f>
        <v>#NAME?</v>
      </c>
      <c r="K715" s="7" t="e">
        <f ca="1">_xll.xlqhClose($C715,K$8,$K$3)</f>
        <v>#NAME?</v>
      </c>
      <c r="L715" s="7" t="e">
        <f ca="1">_xll.xlqhClose($C715,L$8,$K$3)</f>
        <v>#NAME?</v>
      </c>
      <c r="N715" s="9">
        <f t="shared" ref="N715:N778" ca="1" si="117">RANK($G715,G$11:G$1138,0)</f>
        <v>1</v>
      </c>
      <c r="O715" s="9">
        <f t="shared" ref="O715:O778" ca="1" si="118">RANK($H715,H$11:H$1138,0)</f>
        <v>1</v>
      </c>
      <c r="P715" s="9">
        <f t="shared" ref="P715:P778" ca="1" si="119">RANK($I715,I$11:I$1138,0)</f>
        <v>1</v>
      </c>
      <c r="Q715" s="9">
        <f t="shared" ref="Q715:Q778" ca="1" si="120">RANK($P715,P$11:P$1138,1)</f>
        <v>1</v>
      </c>
      <c r="R715" s="9">
        <f t="shared" ref="R715:R778" ca="1" si="121">F715-Q715</f>
        <v>0</v>
      </c>
    </row>
    <row r="716" spans="2:18" x14ac:dyDescent="0.25">
      <c r="B716" t="s">
        <v>180</v>
      </c>
      <c r="C716" s="39" t="s">
        <v>181</v>
      </c>
      <c r="D716" s="7" t="e">
        <f ca="1">_xll.xlqPrice(C716)</f>
        <v>#NAME?</v>
      </c>
      <c r="E716" s="9" t="e">
        <f t="shared" ca="1" si="112"/>
        <v>#NAME?</v>
      </c>
      <c r="F716" s="9">
        <f t="shared" ca="1" si="113"/>
        <v>1</v>
      </c>
      <c r="G716" s="8">
        <f t="shared" ca="1" si="114"/>
        <v>0</v>
      </c>
      <c r="H716" s="8">
        <f t="shared" ca="1" si="115"/>
        <v>0</v>
      </c>
      <c r="I716" s="8">
        <f t="shared" ca="1" si="116"/>
        <v>0</v>
      </c>
      <c r="J716" s="6" t="e">
        <f ca="1">_xll.xlqxhSMA($C716,$L$4,$J$7,$K$3)</f>
        <v>#NAME?</v>
      </c>
      <c r="K716" s="7" t="e">
        <f ca="1">_xll.xlqhClose($C716,K$8,$K$3)</f>
        <v>#NAME?</v>
      </c>
      <c r="L716" s="7" t="e">
        <f ca="1">_xll.xlqhClose($C716,L$8,$K$3)</f>
        <v>#NAME?</v>
      </c>
      <c r="N716" s="9">
        <f t="shared" ca="1" si="117"/>
        <v>1</v>
      </c>
      <c r="O716" s="9">
        <f t="shared" ca="1" si="118"/>
        <v>1</v>
      </c>
      <c r="P716" s="9">
        <f t="shared" ca="1" si="119"/>
        <v>1</v>
      </c>
      <c r="Q716" s="9">
        <f t="shared" ca="1" si="120"/>
        <v>1</v>
      </c>
      <c r="R716" s="9">
        <f t="shared" ca="1" si="121"/>
        <v>0</v>
      </c>
    </row>
    <row r="717" spans="2:18" x14ac:dyDescent="0.25">
      <c r="B717" s="17" t="s">
        <v>1649</v>
      </c>
      <c r="C717" s="18" t="s">
        <v>1650</v>
      </c>
      <c r="D717" s="7" t="e">
        <f ca="1">_xll.xlqPrice(C717)</f>
        <v>#NAME?</v>
      </c>
      <c r="E717" s="9" t="e">
        <f t="shared" ca="1" si="112"/>
        <v>#NAME?</v>
      </c>
      <c r="F717" s="9">
        <f t="shared" ca="1" si="113"/>
        <v>1</v>
      </c>
      <c r="G717" s="8">
        <f t="shared" ca="1" si="114"/>
        <v>0</v>
      </c>
      <c r="H717" s="8">
        <f t="shared" ca="1" si="115"/>
        <v>0</v>
      </c>
      <c r="I717" s="8">
        <f t="shared" ca="1" si="116"/>
        <v>0</v>
      </c>
      <c r="J717" s="6" t="e">
        <f ca="1">_xll.xlqxhSMA($C717,$L$4,$J$7,$K$3)</f>
        <v>#NAME?</v>
      </c>
      <c r="K717" s="7" t="e">
        <f ca="1">_xll.xlqhClose($C717,K$8,$K$3)</f>
        <v>#NAME?</v>
      </c>
      <c r="L717" s="7" t="e">
        <f ca="1">_xll.xlqhClose($C717,L$8,$K$3)</f>
        <v>#NAME?</v>
      </c>
      <c r="N717" s="9">
        <f t="shared" ca="1" si="117"/>
        <v>1</v>
      </c>
      <c r="O717" s="9">
        <f t="shared" ca="1" si="118"/>
        <v>1</v>
      </c>
      <c r="P717" s="9">
        <f t="shared" ca="1" si="119"/>
        <v>1</v>
      </c>
      <c r="Q717" s="9">
        <f t="shared" ca="1" si="120"/>
        <v>1</v>
      </c>
      <c r="R717" s="9">
        <f t="shared" ca="1" si="121"/>
        <v>0</v>
      </c>
    </row>
    <row r="718" spans="2:18" x14ac:dyDescent="0.25">
      <c r="B718" s="17" t="s">
        <v>1603</v>
      </c>
      <c r="C718" s="18" t="s">
        <v>1604</v>
      </c>
      <c r="D718" s="7" t="e">
        <f ca="1">_xll.xlqPrice(C718)</f>
        <v>#NAME?</v>
      </c>
      <c r="E718" s="9" t="e">
        <f t="shared" ca="1" si="112"/>
        <v>#NAME?</v>
      </c>
      <c r="F718" s="9">
        <f t="shared" ca="1" si="113"/>
        <v>1</v>
      </c>
      <c r="G718" s="8">
        <f t="shared" ca="1" si="114"/>
        <v>0</v>
      </c>
      <c r="H718" s="8">
        <f t="shared" ca="1" si="115"/>
        <v>0</v>
      </c>
      <c r="I718" s="8">
        <f t="shared" ca="1" si="116"/>
        <v>0</v>
      </c>
      <c r="J718" s="6" t="e">
        <f ca="1">_xll.xlqxhSMA($C718,$L$4,$J$7,$K$3)</f>
        <v>#NAME?</v>
      </c>
      <c r="K718" s="7" t="e">
        <f ca="1">_xll.xlqhClose($C718,K$8,$K$3)</f>
        <v>#NAME?</v>
      </c>
      <c r="L718" s="7" t="e">
        <f ca="1">_xll.xlqhClose($C718,L$8,$K$3)</f>
        <v>#NAME?</v>
      </c>
      <c r="N718" s="9">
        <f t="shared" ca="1" si="117"/>
        <v>1</v>
      </c>
      <c r="O718" s="9">
        <f t="shared" ca="1" si="118"/>
        <v>1</v>
      </c>
      <c r="P718" s="9">
        <f t="shared" ca="1" si="119"/>
        <v>1</v>
      </c>
      <c r="Q718" s="9">
        <f t="shared" ca="1" si="120"/>
        <v>1</v>
      </c>
      <c r="R718" s="9">
        <f t="shared" ca="1" si="121"/>
        <v>0</v>
      </c>
    </row>
    <row r="719" spans="2:18" x14ac:dyDescent="0.25">
      <c r="B719" t="s">
        <v>2119</v>
      </c>
      <c r="C719" s="39" t="s">
        <v>2120</v>
      </c>
      <c r="D719" s="7" t="e">
        <f ca="1">_xll.xlqPrice(C719)</f>
        <v>#NAME?</v>
      </c>
      <c r="E719" s="9" t="e">
        <f t="shared" ca="1" si="112"/>
        <v>#NAME?</v>
      </c>
      <c r="F719" s="9">
        <f t="shared" ca="1" si="113"/>
        <v>1</v>
      </c>
      <c r="G719" s="8">
        <f t="shared" ca="1" si="114"/>
        <v>0</v>
      </c>
      <c r="H719" s="8">
        <f t="shared" ca="1" si="115"/>
        <v>0</v>
      </c>
      <c r="I719" s="8">
        <f t="shared" ca="1" si="116"/>
        <v>0</v>
      </c>
      <c r="J719" s="6" t="e">
        <f ca="1">_xll.xlqxhSMA($C719,$L$4,$J$7,$K$3)</f>
        <v>#NAME?</v>
      </c>
      <c r="K719" s="7" t="e">
        <f ca="1">_xll.xlqhClose($C719,K$8,$K$3)</f>
        <v>#NAME?</v>
      </c>
      <c r="L719" s="7" t="e">
        <f ca="1">_xll.xlqhClose($C719,L$8,$K$3)</f>
        <v>#NAME?</v>
      </c>
      <c r="N719" s="9">
        <f t="shared" ca="1" si="117"/>
        <v>1</v>
      </c>
      <c r="O719" s="9">
        <f t="shared" ca="1" si="118"/>
        <v>1</v>
      </c>
      <c r="P719" s="9">
        <f t="shared" ca="1" si="119"/>
        <v>1</v>
      </c>
      <c r="Q719" s="9">
        <f t="shared" ca="1" si="120"/>
        <v>1</v>
      </c>
      <c r="R719" s="9">
        <f t="shared" ca="1" si="121"/>
        <v>0</v>
      </c>
    </row>
    <row r="720" spans="2:18" x14ac:dyDescent="0.25">
      <c r="B720" s="17" t="s">
        <v>828</v>
      </c>
      <c r="C720" s="18" t="s">
        <v>829</v>
      </c>
      <c r="D720" s="7" t="e">
        <f ca="1">_xll.xlqPrice(C720)</f>
        <v>#NAME?</v>
      </c>
      <c r="E720" s="9" t="e">
        <f t="shared" ca="1" si="112"/>
        <v>#NAME?</v>
      </c>
      <c r="F720" s="9">
        <f t="shared" ca="1" si="113"/>
        <v>1</v>
      </c>
      <c r="G720" s="8">
        <f t="shared" ca="1" si="114"/>
        <v>0</v>
      </c>
      <c r="H720" s="8">
        <f t="shared" ca="1" si="115"/>
        <v>0</v>
      </c>
      <c r="I720" s="8">
        <f t="shared" ca="1" si="116"/>
        <v>0</v>
      </c>
      <c r="J720" s="6" t="e">
        <f ca="1">_xll.xlqxhSMA($C720,$L$4,$J$7,$K$3)</f>
        <v>#NAME?</v>
      </c>
      <c r="K720" s="7" t="e">
        <f ca="1">_xll.xlqhClose($C720,K$8,$K$3)</f>
        <v>#NAME?</v>
      </c>
      <c r="L720" s="7" t="e">
        <f ca="1">_xll.xlqhClose($C720,L$8,$K$3)</f>
        <v>#NAME?</v>
      </c>
      <c r="N720" s="9">
        <f t="shared" ca="1" si="117"/>
        <v>1</v>
      </c>
      <c r="O720" s="9">
        <f t="shared" ca="1" si="118"/>
        <v>1</v>
      </c>
      <c r="P720" s="9">
        <f t="shared" ca="1" si="119"/>
        <v>1</v>
      </c>
      <c r="Q720" s="9">
        <f t="shared" ca="1" si="120"/>
        <v>1</v>
      </c>
      <c r="R720" s="9">
        <f t="shared" ca="1" si="121"/>
        <v>0</v>
      </c>
    </row>
    <row r="721" spans="2:18" x14ac:dyDescent="0.25">
      <c r="B721" t="s">
        <v>1919</v>
      </c>
      <c r="C721" s="39" t="s">
        <v>1920</v>
      </c>
      <c r="D721" s="7" t="e">
        <f ca="1">_xll.xlqPrice(C721)</f>
        <v>#NAME?</v>
      </c>
      <c r="E721" s="9" t="e">
        <f t="shared" ca="1" si="112"/>
        <v>#NAME?</v>
      </c>
      <c r="F721" s="9">
        <f t="shared" ca="1" si="113"/>
        <v>1</v>
      </c>
      <c r="G721" s="8">
        <f t="shared" ca="1" si="114"/>
        <v>0</v>
      </c>
      <c r="H721" s="8">
        <f t="shared" ca="1" si="115"/>
        <v>0</v>
      </c>
      <c r="I721" s="8">
        <f t="shared" ca="1" si="116"/>
        <v>0</v>
      </c>
      <c r="J721" s="6" t="e">
        <f ca="1">_xll.xlqxhSMA($C721,$L$4,$J$7,$K$3)</f>
        <v>#NAME?</v>
      </c>
      <c r="K721" s="7" t="e">
        <f ca="1">_xll.xlqhClose($C721,K$8,$K$3)</f>
        <v>#NAME?</v>
      </c>
      <c r="L721" s="7" t="e">
        <f ca="1">_xll.xlqhClose($C721,L$8,$K$3)</f>
        <v>#NAME?</v>
      </c>
      <c r="N721" s="9">
        <f t="shared" ca="1" si="117"/>
        <v>1</v>
      </c>
      <c r="O721" s="9">
        <f t="shared" ca="1" si="118"/>
        <v>1</v>
      </c>
      <c r="P721" s="9">
        <f t="shared" ca="1" si="119"/>
        <v>1</v>
      </c>
      <c r="Q721" s="9">
        <f t="shared" ca="1" si="120"/>
        <v>1</v>
      </c>
      <c r="R721" s="9">
        <f t="shared" ca="1" si="121"/>
        <v>0</v>
      </c>
    </row>
    <row r="722" spans="2:18" x14ac:dyDescent="0.25">
      <c r="B722" s="17" t="s">
        <v>674</v>
      </c>
      <c r="C722" s="18" t="s">
        <v>675</v>
      </c>
      <c r="D722" s="7" t="e">
        <f ca="1">_xll.xlqPrice(C722)</f>
        <v>#NAME?</v>
      </c>
      <c r="E722" s="9" t="e">
        <f t="shared" ca="1" si="112"/>
        <v>#NAME?</v>
      </c>
      <c r="F722" s="9">
        <f t="shared" ca="1" si="113"/>
        <v>1</v>
      </c>
      <c r="G722" s="8">
        <f t="shared" ca="1" si="114"/>
        <v>0</v>
      </c>
      <c r="H722" s="8">
        <f t="shared" ca="1" si="115"/>
        <v>0</v>
      </c>
      <c r="I722" s="8">
        <f t="shared" ca="1" si="116"/>
        <v>0</v>
      </c>
      <c r="J722" s="6" t="e">
        <f ca="1">_xll.xlqxhSMA($C722,$L$4,$J$7,$K$3)</f>
        <v>#NAME?</v>
      </c>
      <c r="K722" s="7" t="e">
        <f ca="1">_xll.xlqhClose($C722,K$8,$K$3)</f>
        <v>#NAME?</v>
      </c>
      <c r="L722" s="7" t="e">
        <f ca="1">_xll.xlqhClose($C722,L$8,$K$3)</f>
        <v>#NAME?</v>
      </c>
      <c r="N722" s="9">
        <f t="shared" ca="1" si="117"/>
        <v>1</v>
      </c>
      <c r="O722" s="9">
        <f t="shared" ca="1" si="118"/>
        <v>1</v>
      </c>
      <c r="P722" s="9">
        <f t="shared" ca="1" si="119"/>
        <v>1</v>
      </c>
      <c r="Q722" s="9">
        <f t="shared" ca="1" si="120"/>
        <v>1</v>
      </c>
      <c r="R722" s="9">
        <f t="shared" ca="1" si="121"/>
        <v>0</v>
      </c>
    </row>
    <row r="723" spans="2:18" x14ac:dyDescent="0.25">
      <c r="B723" s="17" t="s">
        <v>1127</v>
      </c>
      <c r="C723" s="18" t="s">
        <v>1128</v>
      </c>
      <c r="D723" s="7" t="e">
        <f ca="1">_xll.xlqPrice(C723)</f>
        <v>#NAME?</v>
      </c>
      <c r="E723" s="9" t="e">
        <f t="shared" ca="1" si="112"/>
        <v>#NAME?</v>
      </c>
      <c r="F723" s="9">
        <f t="shared" ca="1" si="113"/>
        <v>1</v>
      </c>
      <c r="G723" s="8">
        <f t="shared" ca="1" si="114"/>
        <v>0</v>
      </c>
      <c r="H723" s="8">
        <f t="shared" ca="1" si="115"/>
        <v>0</v>
      </c>
      <c r="I723" s="8">
        <f t="shared" ca="1" si="116"/>
        <v>0</v>
      </c>
      <c r="J723" s="6" t="e">
        <f ca="1">_xll.xlqxhSMA($C723,$L$4,$J$7,$K$3)</f>
        <v>#NAME?</v>
      </c>
      <c r="K723" s="7" t="e">
        <f ca="1">_xll.xlqhClose($C723,K$8,$K$3)</f>
        <v>#NAME?</v>
      </c>
      <c r="L723" s="7" t="e">
        <f ca="1">_xll.xlqhClose($C723,L$8,$K$3)</f>
        <v>#NAME?</v>
      </c>
      <c r="N723" s="9">
        <f t="shared" ca="1" si="117"/>
        <v>1</v>
      </c>
      <c r="O723" s="9">
        <f t="shared" ca="1" si="118"/>
        <v>1</v>
      </c>
      <c r="P723" s="9">
        <f t="shared" ca="1" si="119"/>
        <v>1</v>
      </c>
      <c r="Q723" s="9">
        <f t="shared" ca="1" si="120"/>
        <v>1</v>
      </c>
      <c r="R723" s="9">
        <f t="shared" ca="1" si="121"/>
        <v>0</v>
      </c>
    </row>
    <row r="724" spans="2:18" x14ac:dyDescent="0.25">
      <c r="B724" t="s">
        <v>1153</v>
      </c>
      <c r="C724" s="39" t="s">
        <v>1154</v>
      </c>
      <c r="D724" s="7" t="e">
        <f ca="1">_xll.xlqPrice(C724)</f>
        <v>#NAME?</v>
      </c>
      <c r="E724" s="9" t="e">
        <f t="shared" ca="1" si="112"/>
        <v>#NAME?</v>
      </c>
      <c r="F724" s="9">
        <f t="shared" ca="1" si="113"/>
        <v>1</v>
      </c>
      <c r="G724" s="8">
        <f t="shared" ca="1" si="114"/>
        <v>0</v>
      </c>
      <c r="H724" s="8">
        <f t="shared" ca="1" si="115"/>
        <v>0</v>
      </c>
      <c r="I724" s="8">
        <f t="shared" ca="1" si="116"/>
        <v>0</v>
      </c>
      <c r="J724" s="6" t="e">
        <f ca="1">_xll.xlqxhSMA($C724,$L$4,$J$7,$K$3)</f>
        <v>#NAME?</v>
      </c>
      <c r="K724" s="7" t="e">
        <f ca="1">_xll.xlqhClose($C724,K$8,$K$3)</f>
        <v>#NAME?</v>
      </c>
      <c r="L724" s="7" t="e">
        <f ca="1">_xll.xlqhClose($C724,L$8,$K$3)</f>
        <v>#NAME?</v>
      </c>
      <c r="N724" s="9">
        <f t="shared" ca="1" si="117"/>
        <v>1</v>
      </c>
      <c r="O724" s="9">
        <f t="shared" ca="1" si="118"/>
        <v>1</v>
      </c>
      <c r="P724" s="9">
        <f t="shared" ca="1" si="119"/>
        <v>1</v>
      </c>
      <c r="Q724" s="9">
        <f t="shared" ca="1" si="120"/>
        <v>1</v>
      </c>
      <c r="R724" s="9">
        <f t="shared" ca="1" si="121"/>
        <v>0</v>
      </c>
    </row>
    <row r="725" spans="2:18" x14ac:dyDescent="0.25">
      <c r="B725" s="17" t="s">
        <v>1469</v>
      </c>
      <c r="C725" s="18" t="s">
        <v>1470</v>
      </c>
      <c r="D725" s="7" t="e">
        <f ca="1">_xll.xlqPrice(C725)</f>
        <v>#NAME?</v>
      </c>
      <c r="E725" s="9" t="e">
        <f t="shared" ca="1" si="112"/>
        <v>#NAME?</v>
      </c>
      <c r="F725" s="9">
        <f t="shared" ca="1" si="113"/>
        <v>1</v>
      </c>
      <c r="G725" s="8">
        <f t="shared" ca="1" si="114"/>
        <v>0</v>
      </c>
      <c r="H725" s="8">
        <f t="shared" ca="1" si="115"/>
        <v>0</v>
      </c>
      <c r="I725" s="8">
        <f t="shared" ca="1" si="116"/>
        <v>0</v>
      </c>
      <c r="J725" s="6" t="e">
        <f ca="1">_xll.xlqxhSMA($C725,$L$4,$J$7,$K$3)</f>
        <v>#NAME?</v>
      </c>
      <c r="K725" s="7" t="e">
        <f ca="1">_xll.xlqhClose($C725,K$8,$K$3)</f>
        <v>#NAME?</v>
      </c>
      <c r="L725" s="7" t="e">
        <f ca="1">_xll.xlqhClose($C725,L$8,$K$3)</f>
        <v>#NAME?</v>
      </c>
      <c r="N725" s="9">
        <f t="shared" ca="1" si="117"/>
        <v>1</v>
      </c>
      <c r="O725" s="9">
        <f t="shared" ca="1" si="118"/>
        <v>1</v>
      </c>
      <c r="P725" s="9">
        <f t="shared" ca="1" si="119"/>
        <v>1</v>
      </c>
      <c r="Q725" s="9">
        <f t="shared" ca="1" si="120"/>
        <v>1</v>
      </c>
      <c r="R725" s="9">
        <f t="shared" ca="1" si="121"/>
        <v>0</v>
      </c>
    </row>
    <row r="726" spans="2:18" x14ac:dyDescent="0.25">
      <c r="B726" t="s">
        <v>1407</v>
      </c>
      <c r="C726" s="39" t="s">
        <v>1408</v>
      </c>
      <c r="D726" s="7" t="e">
        <f ca="1">_xll.xlqPrice(C726)</f>
        <v>#NAME?</v>
      </c>
      <c r="E726" s="9" t="e">
        <f t="shared" ca="1" si="112"/>
        <v>#NAME?</v>
      </c>
      <c r="F726" s="9">
        <f t="shared" ca="1" si="113"/>
        <v>1</v>
      </c>
      <c r="G726" s="8">
        <f t="shared" ca="1" si="114"/>
        <v>0</v>
      </c>
      <c r="H726" s="8">
        <f t="shared" ca="1" si="115"/>
        <v>0</v>
      </c>
      <c r="I726" s="8">
        <f t="shared" ca="1" si="116"/>
        <v>0</v>
      </c>
      <c r="J726" s="6" t="e">
        <f ca="1">_xll.xlqxhSMA($C726,$L$4,$J$7,$K$3)</f>
        <v>#NAME?</v>
      </c>
      <c r="K726" s="7" t="e">
        <f ca="1">_xll.xlqhClose($C726,K$8,$K$3)</f>
        <v>#NAME?</v>
      </c>
      <c r="L726" s="7" t="e">
        <f ca="1">_xll.xlqhClose($C726,L$8,$K$3)</f>
        <v>#NAME?</v>
      </c>
      <c r="N726" s="9">
        <f t="shared" ca="1" si="117"/>
        <v>1</v>
      </c>
      <c r="O726" s="9">
        <f t="shared" ca="1" si="118"/>
        <v>1</v>
      </c>
      <c r="P726" s="9">
        <f t="shared" ca="1" si="119"/>
        <v>1</v>
      </c>
      <c r="Q726" s="9">
        <f t="shared" ca="1" si="120"/>
        <v>1</v>
      </c>
      <c r="R726" s="9">
        <f t="shared" ca="1" si="121"/>
        <v>0</v>
      </c>
    </row>
    <row r="727" spans="2:18" x14ac:dyDescent="0.25">
      <c r="B727" s="17" t="s">
        <v>818</v>
      </c>
      <c r="C727" s="18" t="s">
        <v>819</v>
      </c>
      <c r="D727" s="7" t="e">
        <f ca="1">_xll.xlqPrice(C727)</f>
        <v>#NAME?</v>
      </c>
      <c r="E727" s="9" t="e">
        <f t="shared" ca="1" si="112"/>
        <v>#NAME?</v>
      </c>
      <c r="F727" s="9">
        <f t="shared" ca="1" si="113"/>
        <v>1</v>
      </c>
      <c r="G727" s="8">
        <f t="shared" ca="1" si="114"/>
        <v>0</v>
      </c>
      <c r="H727" s="8">
        <f t="shared" ca="1" si="115"/>
        <v>0</v>
      </c>
      <c r="I727" s="8">
        <f t="shared" ca="1" si="116"/>
        <v>0</v>
      </c>
      <c r="J727" s="6" t="e">
        <f ca="1">_xll.xlqxhSMA($C727,$L$4,$J$7,$K$3)</f>
        <v>#NAME?</v>
      </c>
      <c r="K727" s="7" t="e">
        <f ca="1">_xll.xlqhClose($C727,K$8,$K$3)</f>
        <v>#NAME?</v>
      </c>
      <c r="L727" s="7" t="e">
        <f ca="1">_xll.xlqhClose($C727,L$8,$K$3)</f>
        <v>#NAME?</v>
      </c>
      <c r="N727" s="9">
        <f t="shared" ca="1" si="117"/>
        <v>1</v>
      </c>
      <c r="O727" s="9">
        <f t="shared" ca="1" si="118"/>
        <v>1</v>
      </c>
      <c r="P727" s="9">
        <f t="shared" ca="1" si="119"/>
        <v>1</v>
      </c>
      <c r="Q727" s="9">
        <f t="shared" ca="1" si="120"/>
        <v>1</v>
      </c>
      <c r="R727" s="9">
        <f t="shared" ca="1" si="121"/>
        <v>0</v>
      </c>
    </row>
    <row r="728" spans="2:18" x14ac:dyDescent="0.25">
      <c r="B728" t="s">
        <v>1229</v>
      </c>
      <c r="C728" s="39" t="s">
        <v>1230</v>
      </c>
      <c r="D728" s="7" t="e">
        <f ca="1">_xll.xlqPrice(C728)</f>
        <v>#NAME?</v>
      </c>
      <c r="E728" s="9" t="e">
        <f t="shared" ca="1" si="112"/>
        <v>#NAME?</v>
      </c>
      <c r="F728" s="9">
        <f t="shared" ca="1" si="113"/>
        <v>1</v>
      </c>
      <c r="G728" s="8">
        <f t="shared" ca="1" si="114"/>
        <v>0</v>
      </c>
      <c r="H728" s="8">
        <f t="shared" ca="1" si="115"/>
        <v>0</v>
      </c>
      <c r="I728" s="8">
        <f t="shared" ca="1" si="116"/>
        <v>0</v>
      </c>
      <c r="J728" s="6" t="e">
        <f ca="1">_xll.xlqxhSMA($C728,$L$4,$J$7,$K$3)</f>
        <v>#NAME?</v>
      </c>
      <c r="K728" s="7" t="e">
        <f ca="1">_xll.xlqhClose($C728,K$8,$K$3)</f>
        <v>#NAME?</v>
      </c>
      <c r="L728" s="7" t="e">
        <f ca="1">_xll.xlqhClose($C728,L$8,$K$3)</f>
        <v>#NAME?</v>
      </c>
      <c r="N728" s="9">
        <f t="shared" ca="1" si="117"/>
        <v>1</v>
      </c>
      <c r="O728" s="9">
        <f t="shared" ca="1" si="118"/>
        <v>1</v>
      </c>
      <c r="P728" s="9">
        <f t="shared" ca="1" si="119"/>
        <v>1</v>
      </c>
      <c r="Q728" s="9">
        <f t="shared" ca="1" si="120"/>
        <v>1</v>
      </c>
      <c r="R728" s="9">
        <f t="shared" ca="1" si="121"/>
        <v>0</v>
      </c>
    </row>
    <row r="729" spans="2:18" x14ac:dyDescent="0.25">
      <c r="B729" s="17" t="s">
        <v>708</v>
      </c>
      <c r="C729" s="18" t="s">
        <v>709</v>
      </c>
      <c r="D729" s="7" t="e">
        <f ca="1">_xll.xlqPrice(C729)</f>
        <v>#NAME?</v>
      </c>
      <c r="E729" s="9" t="e">
        <f t="shared" ca="1" si="112"/>
        <v>#NAME?</v>
      </c>
      <c r="F729" s="9">
        <f t="shared" ca="1" si="113"/>
        <v>1</v>
      </c>
      <c r="G729" s="8">
        <f t="shared" ca="1" si="114"/>
        <v>0</v>
      </c>
      <c r="H729" s="8">
        <f t="shared" ca="1" si="115"/>
        <v>0</v>
      </c>
      <c r="I729" s="8">
        <f t="shared" ca="1" si="116"/>
        <v>0</v>
      </c>
      <c r="J729" s="6" t="e">
        <f ca="1">_xll.xlqxhSMA($C729,$L$4,$J$7,$K$3)</f>
        <v>#NAME?</v>
      </c>
      <c r="K729" s="7" t="e">
        <f ca="1">_xll.xlqhClose($C729,K$8,$K$3)</f>
        <v>#NAME?</v>
      </c>
      <c r="L729" s="7" t="e">
        <f ca="1">_xll.xlqhClose($C729,L$8,$K$3)</f>
        <v>#NAME?</v>
      </c>
      <c r="N729" s="9">
        <f t="shared" ca="1" si="117"/>
        <v>1</v>
      </c>
      <c r="O729" s="9">
        <f t="shared" ca="1" si="118"/>
        <v>1</v>
      </c>
      <c r="P729" s="9">
        <f t="shared" ca="1" si="119"/>
        <v>1</v>
      </c>
      <c r="Q729" s="9">
        <f t="shared" ca="1" si="120"/>
        <v>1</v>
      </c>
      <c r="R729" s="9">
        <f t="shared" ca="1" si="121"/>
        <v>0</v>
      </c>
    </row>
    <row r="730" spans="2:18" x14ac:dyDescent="0.25">
      <c r="B730" t="s">
        <v>1941</v>
      </c>
      <c r="C730" s="39" t="s">
        <v>1942</v>
      </c>
      <c r="D730" s="7" t="e">
        <f ca="1">_xll.xlqPrice(C730)</f>
        <v>#NAME?</v>
      </c>
      <c r="E730" s="9" t="e">
        <f t="shared" ca="1" si="112"/>
        <v>#NAME?</v>
      </c>
      <c r="F730" s="9">
        <f t="shared" ca="1" si="113"/>
        <v>1</v>
      </c>
      <c r="G730" s="8">
        <f t="shared" ca="1" si="114"/>
        <v>0</v>
      </c>
      <c r="H730" s="8">
        <f t="shared" ca="1" si="115"/>
        <v>0</v>
      </c>
      <c r="I730" s="8">
        <f t="shared" ca="1" si="116"/>
        <v>0</v>
      </c>
      <c r="J730" s="6" t="e">
        <f ca="1">_xll.xlqxhSMA($C730,$L$4,$J$7,$K$3)</f>
        <v>#NAME?</v>
      </c>
      <c r="K730" s="7" t="e">
        <f ca="1">_xll.xlqhClose($C730,K$8,$K$3)</f>
        <v>#NAME?</v>
      </c>
      <c r="L730" s="7" t="e">
        <f ca="1">_xll.xlqhClose($C730,L$8,$K$3)</f>
        <v>#NAME?</v>
      </c>
      <c r="N730" s="9">
        <f t="shared" ca="1" si="117"/>
        <v>1</v>
      </c>
      <c r="O730" s="9">
        <f t="shared" ca="1" si="118"/>
        <v>1</v>
      </c>
      <c r="P730" s="9">
        <f t="shared" ca="1" si="119"/>
        <v>1</v>
      </c>
      <c r="Q730" s="9">
        <f t="shared" ca="1" si="120"/>
        <v>1</v>
      </c>
      <c r="R730" s="9">
        <f t="shared" ca="1" si="121"/>
        <v>0</v>
      </c>
    </row>
    <row r="731" spans="2:18" x14ac:dyDescent="0.25">
      <c r="B731" s="17" t="s">
        <v>822</v>
      </c>
      <c r="C731" s="18" t="s">
        <v>823</v>
      </c>
      <c r="D731" s="7" t="e">
        <f ca="1">_xll.xlqPrice(C731)</f>
        <v>#NAME?</v>
      </c>
      <c r="E731" s="9" t="e">
        <f t="shared" ca="1" si="112"/>
        <v>#NAME?</v>
      </c>
      <c r="F731" s="9">
        <f t="shared" ca="1" si="113"/>
        <v>1</v>
      </c>
      <c r="G731" s="8">
        <f t="shared" ca="1" si="114"/>
        <v>0</v>
      </c>
      <c r="H731" s="8">
        <f t="shared" ca="1" si="115"/>
        <v>0</v>
      </c>
      <c r="I731" s="8">
        <f t="shared" ca="1" si="116"/>
        <v>0</v>
      </c>
      <c r="J731" s="6" t="e">
        <f ca="1">_xll.xlqxhSMA($C731,$L$4,$J$7,$K$3)</f>
        <v>#NAME?</v>
      </c>
      <c r="K731" s="7" t="e">
        <f ca="1">_xll.xlqhClose($C731,K$8,$K$3)</f>
        <v>#NAME?</v>
      </c>
      <c r="L731" s="7" t="e">
        <f ca="1">_xll.xlqhClose($C731,L$8,$K$3)</f>
        <v>#NAME?</v>
      </c>
      <c r="N731" s="9">
        <f t="shared" ca="1" si="117"/>
        <v>1</v>
      </c>
      <c r="O731" s="9">
        <f t="shared" ca="1" si="118"/>
        <v>1</v>
      </c>
      <c r="P731" s="9">
        <f t="shared" ca="1" si="119"/>
        <v>1</v>
      </c>
      <c r="Q731" s="9">
        <f t="shared" ca="1" si="120"/>
        <v>1</v>
      </c>
      <c r="R731" s="9">
        <f t="shared" ca="1" si="121"/>
        <v>0</v>
      </c>
    </row>
    <row r="732" spans="2:18" x14ac:dyDescent="0.25">
      <c r="B732" t="s">
        <v>989</v>
      </c>
      <c r="C732" s="39" t="s">
        <v>990</v>
      </c>
      <c r="D732" s="7" t="e">
        <f ca="1">_xll.xlqPrice(C732)</f>
        <v>#NAME?</v>
      </c>
      <c r="E732" s="9" t="e">
        <f t="shared" ca="1" si="112"/>
        <v>#NAME?</v>
      </c>
      <c r="F732" s="9">
        <f t="shared" ca="1" si="113"/>
        <v>1</v>
      </c>
      <c r="G732" s="8">
        <f t="shared" ca="1" si="114"/>
        <v>0</v>
      </c>
      <c r="H732" s="8">
        <f t="shared" ca="1" si="115"/>
        <v>0</v>
      </c>
      <c r="I732" s="8">
        <f t="shared" ca="1" si="116"/>
        <v>0</v>
      </c>
      <c r="J732" s="6" t="e">
        <f ca="1">_xll.xlqxhSMA($C732,$L$4,$J$7,$K$3)</f>
        <v>#NAME?</v>
      </c>
      <c r="K732" s="7" t="e">
        <f ca="1">_xll.xlqhClose($C732,K$8,$K$3)</f>
        <v>#NAME?</v>
      </c>
      <c r="L732" s="7" t="e">
        <f ca="1">_xll.xlqhClose($C732,L$8,$K$3)</f>
        <v>#NAME?</v>
      </c>
      <c r="N732" s="9">
        <f t="shared" ca="1" si="117"/>
        <v>1</v>
      </c>
      <c r="O732" s="9">
        <f t="shared" ca="1" si="118"/>
        <v>1</v>
      </c>
      <c r="P732" s="9">
        <f t="shared" ca="1" si="119"/>
        <v>1</v>
      </c>
      <c r="Q732" s="9">
        <f t="shared" ca="1" si="120"/>
        <v>1</v>
      </c>
      <c r="R732" s="9">
        <f t="shared" ca="1" si="121"/>
        <v>0</v>
      </c>
    </row>
    <row r="733" spans="2:18" x14ac:dyDescent="0.25">
      <c r="B733" s="17" t="s">
        <v>2223</v>
      </c>
      <c r="C733" s="18" t="s">
        <v>2224</v>
      </c>
      <c r="D733" s="7" t="e">
        <f ca="1">_xll.xlqPrice(C733)</f>
        <v>#NAME?</v>
      </c>
      <c r="E733" s="9" t="e">
        <f t="shared" ca="1" si="112"/>
        <v>#NAME?</v>
      </c>
      <c r="F733" s="9">
        <f t="shared" ca="1" si="113"/>
        <v>1</v>
      </c>
      <c r="G733" s="8">
        <f t="shared" ca="1" si="114"/>
        <v>0</v>
      </c>
      <c r="H733" s="8">
        <f t="shared" ca="1" si="115"/>
        <v>0</v>
      </c>
      <c r="I733" s="8">
        <f t="shared" ca="1" si="116"/>
        <v>0</v>
      </c>
      <c r="J733" s="6" t="e">
        <f ca="1">_xll.xlqxhSMA($C733,$L$4,$J$7,$K$3)</f>
        <v>#NAME?</v>
      </c>
      <c r="K733" s="7" t="e">
        <f ca="1">_xll.xlqhClose($C733,K$8,$K$3)</f>
        <v>#NAME?</v>
      </c>
      <c r="L733" s="7" t="e">
        <f ca="1">_xll.xlqhClose($C733,L$8,$K$3)</f>
        <v>#NAME?</v>
      </c>
      <c r="N733" s="9">
        <f t="shared" ca="1" si="117"/>
        <v>1</v>
      </c>
      <c r="O733" s="9">
        <f t="shared" ca="1" si="118"/>
        <v>1</v>
      </c>
      <c r="P733" s="9">
        <f t="shared" ca="1" si="119"/>
        <v>1</v>
      </c>
      <c r="Q733" s="9">
        <f t="shared" ca="1" si="120"/>
        <v>1</v>
      </c>
      <c r="R733" s="9">
        <f t="shared" ca="1" si="121"/>
        <v>0</v>
      </c>
    </row>
    <row r="734" spans="2:18" x14ac:dyDescent="0.25">
      <c r="B734" t="s">
        <v>949</v>
      </c>
      <c r="C734" s="39" t="s">
        <v>950</v>
      </c>
      <c r="D734" s="7" t="e">
        <f ca="1">_xll.xlqPrice(C734)</f>
        <v>#NAME?</v>
      </c>
      <c r="E734" s="9" t="e">
        <f t="shared" ca="1" si="112"/>
        <v>#NAME?</v>
      </c>
      <c r="F734" s="9">
        <f t="shared" ca="1" si="113"/>
        <v>1</v>
      </c>
      <c r="G734" s="8">
        <f t="shared" ca="1" si="114"/>
        <v>0</v>
      </c>
      <c r="H734" s="8">
        <f t="shared" ca="1" si="115"/>
        <v>0</v>
      </c>
      <c r="I734" s="8">
        <f t="shared" ca="1" si="116"/>
        <v>0</v>
      </c>
      <c r="J734" s="6" t="e">
        <f ca="1">_xll.xlqxhSMA($C734,$L$4,$J$7,$K$3)</f>
        <v>#NAME?</v>
      </c>
      <c r="K734" s="7" t="e">
        <f ca="1">_xll.xlqhClose($C734,K$8,$K$3)</f>
        <v>#NAME?</v>
      </c>
      <c r="L734" s="7" t="e">
        <f ca="1">_xll.xlqhClose($C734,L$8,$K$3)</f>
        <v>#NAME?</v>
      </c>
      <c r="N734" s="9">
        <f t="shared" ca="1" si="117"/>
        <v>1</v>
      </c>
      <c r="O734" s="9">
        <f t="shared" ca="1" si="118"/>
        <v>1</v>
      </c>
      <c r="P734" s="9">
        <f t="shared" ca="1" si="119"/>
        <v>1</v>
      </c>
      <c r="Q734" s="9">
        <f t="shared" ca="1" si="120"/>
        <v>1</v>
      </c>
      <c r="R734" s="9">
        <f t="shared" ca="1" si="121"/>
        <v>0</v>
      </c>
    </row>
    <row r="735" spans="2:18" x14ac:dyDescent="0.25">
      <c r="B735" s="17" t="s">
        <v>364</v>
      </c>
      <c r="C735" s="18" t="s">
        <v>365</v>
      </c>
      <c r="D735" s="7" t="e">
        <f ca="1">_xll.xlqPrice(C735)</f>
        <v>#NAME?</v>
      </c>
      <c r="E735" s="9" t="e">
        <f t="shared" ca="1" si="112"/>
        <v>#NAME?</v>
      </c>
      <c r="F735" s="9">
        <f t="shared" ca="1" si="113"/>
        <v>1</v>
      </c>
      <c r="G735" s="8">
        <f t="shared" ca="1" si="114"/>
        <v>0</v>
      </c>
      <c r="H735" s="8">
        <f t="shared" ca="1" si="115"/>
        <v>0</v>
      </c>
      <c r="I735" s="8">
        <f t="shared" ca="1" si="116"/>
        <v>0</v>
      </c>
      <c r="J735" s="6" t="e">
        <f ca="1">_xll.xlqxhSMA($C735,$L$4,$J$7,$K$3)</f>
        <v>#NAME?</v>
      </c>
      <c r="K735" s="7" t="e">
        <f ca="1">_xll.xlqhClose($C735,K$8,$K$3)</f>
        <v>#NAME?</v>
      </c>
      <c r="L735" s="7" t="e">
        <f ca="1">_xll.xlqhClose($C735,L$8,$K$3)</f>
        <v>#NAME?</v>
      </c>
      <c r="N735" s="9">
        <f t="shared" ca="1" si="117"/>
        <v>1</v>
      </c>
      <c r="O735" s="9">
        <f t="shared" ca="1" si="118"/>
        <v>1</v>
      </c>
      <c r="P735" s="9">
        <f t="shared" ca="1" si="119"/>
        <v>1</v>
      </c>
      <c r="Q735" s="9">
        <f t="shared" ca="1" si="120"/>
        <v>1</v>
      </c>
      <c r="R735" s="9">
        <f t="shared" ca="1" si="121"/>
        <v>0</v>
      </c>
    </row>
    <row r="736" spans="2:18" x14ac:dyDescent="0.25">
      <c r="B736" s="17" t="s">
        <v>756</v>
      </c>
      <c r="C736" s="18" t="s">
        <v>757</v>
      </c>
      <c r="D736" s="7" t="e">
        <f ca="1">_xll.xlqPrice(C736)</f>
        <v>#NAME?</v>
      </c>
      <c r="E736" s="9" t="e">
        <f t="shared" ca="1" si="112"/>
        <v>#NAME?</v>
      </c>
      <c r="F736" s="9">
        <f t="shared" ca="1" si="113"/>
        <v>1</v>
      </c>
      <c r="G736" s="8">
        <f t="shared" ca="1" si="114"/>
        <v>0</v>
      </c>
      <c r="H736" s="8">
        <f t="shared" ca="1" si="115"/>
        <v>0</v>
      </c>
      <c r="I736" s="8">
        <f t="shared" ca="1" si="116"/>
        <v>0</v>
      </c>
      <c r="J736" s="6" t="e">
        <f ca="1">_xll.xlqxhSMA($C736,$L$4,$J$7,$K$3)</f>
        <v>#NAME?</v>
      </c>
      <c r="K736" s="7" t="e">
        <f ca="1">_xll.xlqhClose($C736,K$8,$K$3)</f>
        <v>#NAME?</v>
      </c>
      <c r="L736" s="7" t="e">
        <f ca="1">_xll.xlqhClose($C736,L$8,$K$3)</f>
        <v>#NAME?</v>
      </c>
      <c r="N736" s="9">
        <f t="shared" ca="1" si="117"/>
        <v>1</v>
      </c>
      <c r="O736" s="9">
        <f t="shared" ca="1" si="118"/>
        <v>1</v>
      </c>
      <c r="P736" s="9">
        <f t="shared" ca="1" si="119"/>
        <v>1</v>
      </c>
      <c r="Q736" s="9">
        <f t="shared" ca="1" si="120"/>
        <v>1</v>
      </c>
      <c r="R736" s="9">
        <f t="shared" ca="1" si="121"/>
        <v>0</v>
      </c>
    </row>
    <row r="737" spans="2:18" x14ac:dyDescent="0.25">
      <c r="B737" t="s">
        <v>1301</v>
      </c>
      <c r="C737" s="39" t="s">
        <v>1302</v>
      </c>
      <c r="D737" s="7" t="e">
        <f ca="1">_xll.xlqPrice(C737)</f>
        <v>#NAME?</v>
      </c>
      <c r="E737" s="9" t="e">
        <f t="shared" ca="1" si="112"/>
        <v>#NAME?</v>
      </c>
      <c r="F737" s="9">
        <f t="shared" ca="1" si="113"/>
        <v>1</v>
      </c>
      <c r="G737" s="8">
        <f t="shared" ca="1" si="114"/>
        <v>0</v>
      </c>
      <c r="H737" s="8">
        <f t="shared" ca="1" si="115"/>
        <v>0</v>
      </c>
      <c r="I737" s="8">
        <f t="shared" ca="1" si="116"/>
        <v>0</v>
      </c>
      <c r="J737" s="6" t="e">
        <f ca="1">_xll.xlqxhSMA($C737,$L$4,$J$7,$K$3)</f>
        <v>#NAME?</v>
      </c>
      <c r="K737" s="7" t="e">
        <f ca="1">_xll.xlqhClose($C737,K$8,$K$3)</f>
        <v>#NAME?</v>
      </c>
      <c r="L737" s="7" t="e">
        <f ca="1">_xll.xlqhClose($C737,L$8,$K$3)</f>
        <v>#NAME?</v>
      </c>
      <c r="N737" s="9">
        <f t="shared" ca="1" si="117"/>
        <v>1</v>
      </c>
      <c r="O737" s="9">
        <f t="shared" ca="1" si="118"/>
        <v>1</v>
      </c>
      <c r="P737" s="9">
        <f t="shared" ca="1" si="119"/>
        <v>1</v>
      </c>
      <c r="Q737" s="9">
        <f t="shared" ca="1" si="120"/>
        <v>1</v>
      </c>
      <c r="R737" s="9">
        <f t="shared" ca="1" si="121"/>
        <v>0</v>
      </c>
    </row>
    <row r="738" spans="2:18" x14ac:dyDescent="0.25">
      <c r="B738" s="17" t="s">
        <v>490</v>
      </c>
      <c r="C738" s="18" t="s">
        <v>491</v>
      </c>
      <c r="D738" s="7" t="e">
        <f ca="1">_xll.xlqPrice(C738)</f>
        <v>#NAME?</v>
      </c>
      <c r="E738" s="9" t="e">
        <f t="shared" ca="1" si="112"/>
        <v>#NAME?</v>
      </c>
      <c r="F738" s="9">
        <f t="shared" ca="1" si="113"/>
        <v>1</v>
      </c>
      <c r="G738" s="8">
        <f t="shared" ca="1" si="114"/>
        <v>0</v>
      </c>
      <c r="H738" s="8">
        <f t="shared" ca="1" si="115"/>
        <v>0</v>
      </c>
      <c r="I738" s="8">
        <f t="shared" ca="1" si="116"/>
        <v>0</v>
      </c>
      <c r="J738" s="6" t="e">
        <f ca="1">_xll.xlqxhSMA($C738,$L$4,$J$7,$K$3)</f>
        <v>#NAME?</v>
      </c>
      <c r="K738" s="7" t="e">
        <f ca="1">_xll.xlqhClose($C738,K$8,$K$3)</f>
        <v>#NAME?</v>
      </c>
      <c r="L738" s="7" t="e">
        <f ca="1">_xll.xlqhClose($C738,L$8,$K$3)</f>
        <v>#NAME?</v>
      </c>
      <c r="N738" s="9">
        <f t="shared" ca="1" si="117"/>
        <v>1</v>
      </c>
      <c r="O738" s="9">
        <f t="shared" ca="1" si="118"/>
        <v>1</v>
      </c>
      <c r="P738" s="9">
        <f t="shared" ca="1" si="119"/>
        <v>1</v>
      </c>
      <c r="Q738" s="9">
        <f t="shared" ca="1" si="120"/>
        <v>1</v>
      </c>
      <c r="R738" s="9">
        <f t="shared" ca="1" si="121"/>
        <v>0</v>
      </c>
    </row>
    <row r="739" spans="2:18" x14ac:dyDescent="0.25">
      <c r="B739" s="17" t="s">
        <v>1049</v>
      </c>
      <c r="C739" s="18" t="s">
        <v>1050</v>
      </c>
      <c r="D739" s="7" t="e">
        <f ca="1">_xll.xlqPrice(C739)</f>
        <v>#NAME?</v>
      </c>
      <c r="E739" s="9" t="e">
        <f t="shared" ca="1" si="112"/>
        <v>#NAME?</v>
      </c>
      <c r="F739" s="9">
        <f t="shared" ca="1" si="113"/>
        <v>1</v>
      </c>
      <c r="G739" s="8">
        <f t="shared" ca="1" si="114"/>
        <v>0</v>
      </c>
      <c r="H739" s="8">
        <f t="shared" ca="1" si="115"/>
        <v>0</v>
      </c>
      <c r="I739" s="8">
        <f t="shared" ca="1" si="116"/>
        <v>0</v>
      </c>
      <c r="J739" s="6" t="e">
        <f ca="1">_xll.xlqxhSMA($C739,$L$4,$J$7,$K$3)</f>
        <v>#NAME?</v>
      </c>
      <c r="K739" s="7" t="e">
        <f ca="1">_xll.xlqhClose($C739,K$8,$K$3)</f>
        <v>#NAME?</v>
      </c>
      <c r="L739" s="7" t="e">
        <f ca="1">_xll.xlqhClose($C739,L$8,$K$3)</f>
        <v>#NAME?</v>
      </c>
      <c r="N739" s="9">
        <f t="shared" ca="1" si="117"/>
        <v>1</v>
      </c>
      <c r="O739" s="9">
        <f t="shared" ca="1" si="118"/>
        <v>1</v>
      </c>
      <c r="P739" s="9">
        <f t="shared" ca="1" si="119"/>
        <v>1</v>
      </c>
      <c r="Q739" s="9">
        <f t="shared" ca="1" si="120"/>
        <v>1</v>
      </c>
      <c r="R739" s="9">
        <f t="shared" ca="1" si="121"/>
        <v>0</v>
      </c>
    </row>
    <row r="740" spans="2:18" x14ac:dyDescent="0.25">
      <c r="B740" s="17" t="s">
        <v>2303</v>
      </c>
      <c r="C740" s="18" t="s">
        <v>2304</v>
      </c>
      <c r="D740" s="7" t="e">
        <f ca="1">_xll.xlqPrice(C740)</f>
        <v>#NAME?</v>
      </c>
      <c r="E740" s="9" t="e">
        <f t="shared" ca="1" si="112"/>
        <v>#NAME?</v>
      </c>
      <c r="F740" s="9">
        <f t="shared" ca="1" si="113"/>
        <v>1</v>
      </c>
      <c r="G740" s="8">
        <f t="shared" ca="1" si="114"/>
        <v>0</v>
      </c>
      <c r="H740" s="8">
        <f t="shared" ca="1" si="115"/>
        <v>0</v>
      </c>
      <c r="I740" s="8">
        <f t="shared" ca="1" si="116"/>
        <v>0</v>
      </c>
      <c r="J740" s="6" t="e">
        <f ca="1">_xll.xlqxhSMA($C740,$L$4,$J$7,$K$3)</f>
        <v>#NAME?</v>
      </c>
      <c r="K740" s="7" t="e">
        <f ca="1">_xll.xlqhClose($C740,K$8,$K$3)</f>
        <v>#NAME?</v>
      </c>
      <c r="L740" s="7" t="e">
        <f ca="1">_xll.xlqhClose($C740,L$8,$K$3)</f>
        <v>#NAME?</v>
      </c>
      <c r="N740" s="9">
        <f t="shared" ca="1" si="117"/>
        <v>1</v>
      </c>
      <c r="O740" s="9">
        <f t="shared" ca="1" si="118"/>
        <v>1</v>
      </c>
      <c r="P740" s="9">
        <f t="shared" ca="1" si="119"/>
        <v>1</v>
      </c>
      <c r="Q740" s="9">
        <f t="shared" ca="1" si="120"/>
        <v>1</v>
      </c>
      <c r="R740" s="9">
        <f t="shared" ca="1" si="121"/>
        <v>0</v>
      </c>
    </row>
    <row r="741" spans="2:18" x14ac:dyDescent="0.25">
      <c r="B741" t="s">
        <v>1427</v>
      </c>
      <c r="C741" s="39" t="s">
        <v>1428</v>
      </c>
      <c r="D741" s="7" t="e">
        <f ca="1">_xll.xlqPrice(C741)</f>
        <v>#NAME?</v>
      </c>
      <c r="E741" s="9" t="e">
        <f t="shared" ca="1" si="112"/>
        <v>#NAME?</v>
      </c>
      <c r="F741" s="9">
        <f t="shared" ca="1" si="113"/>
        <v>1</v>
      </c>
      <c r="G741" s="8">
        <f t="shared" ca="1" si="114"/>
        <v>0</v>
      </c>
      <c r="H741" s="8">
        <f t="shared" ca="1" si="115"/>
        <v>0</v>
      </c>
      <c r="I741" s="8">
        <f t="shared" ca="1" si="116"/>
        <v>0</v>
      </c>
      <c r="J741" s="6" t="e">
        <f ca="1">_xll.xlqxhSMA($C741,$L$4,$J$7,$K$3)</f>
        <v>#NAME?</v>
      </c>
      <c r="K741" s="7" t="e">
        <f ca="1">_xll.xlqhClose($C741,K$8,$K$3)</f>
        <v>#NAME?</v>
      </c>
      <c r="L741" s="7" t="e">
        <f ca="1">_xll.xlqhClose($C741,L$8,$K$3)</f>
        <v>#NAME?</v>
      </c>
      <c r="N741" s="9">
        <f t="shared" ca="1" si="117"/>
        <v>1</v>
      </c>
      <c r="O741" s="9">
        <f t="shared" ca="1" si="118"/>
        <v>1</v>
      </c>
      <c r="P741" s="9">
        <f t="shared" ca="1" si="119"/>
        <v>1</v>
      </c>
      <c r="Q741" s="9">
        <f t="shared" ca="1" si="120"/>
        <v>1</v>
      </c>
      <c r="R741" s="9">
        <f t="shared" ca="1" si="121"/>
        <v>0</v>
      </c>
    </row>
    <row r="742" spans="2:18" x14ac:dyDescent="0.25">
      <c r="B742" s="17" t="s">
        <v>1781</v>
      </c>
      <c r="C742" s="18" t="s">
        <v>1782</v>
      </c>
      <c r="D742" s="7" t="e">
        <f ca="1">_xll.xlqPrice(C742)</f>
        <v>#NAME?</v>
      </c>
      <c r="E742" s="9" t="e">
        <f t="shared" ca="1" si="112"/>
        <v>#NAME?</v>
      </c>
      <c r="F742" s="9">
        <f t="shared" ca="1" si="113"/>
        <v>1</v>
      </c>
      <c r="G742" s="8">
        <f t="shared" ca="1" si="114"/>
        <v>0</v>
      </c>
      <c r="H742" s="8">
        <f t="shared" ca="1" si="115"/>
        <v>0</v>
      </c>
      <c r="I742" s="8">
        <f t="shared" ca="1" si="116"/>
        <v>0</v>
      </c>
      <c r="J742" s="6" t="e">
        <f ca="1">_xll.xlqxhSMA($C742,$L$4,$J$7,$K$3)</f>
        <v>#NAME?</v>
      </c>
      <c r="K742" s="7" t="e">
        <f ca="1">_xll.xlqhClose($C742,K$8,$K$3)</f>
        <v>#NAME?</v>
      </c>
      <c r="L742" s="7" t="e">
        <f ca="1">_xll.xlqhClose($C742,L$8,$K$3)</f>
        <v>#NAME?</v>
      </c>
      <c r="N742" s="9">
        <f t="shared" ca="1" si="117"/>
        <v>1</v>
      </c>
      <c r="O742" s="9">
        <f t="shared" ca="1" si="118"/>
        <v>1</v>
      </c>
      <c r="P742" s="9">
        <f t="shared" ca="1" si="119"/>
        <v>1</v>
      </c>
      <c r="Q742" s="9">
        <f t="shared" ca="1" si="120"/>
        <v>1</v>
      </c>
      <c r="R742" s="9">
        <f t="shared" ca="1" si="121"/>
        <v>0</v>
      </c>
    </row>
    <row r="743" spans="2:18" x14ac:dyDescent="0.25">
      <c r="B743" s="17" t="s">
        <v>997</v>
      </c>
      <c r="C743" s="18" t="s">
        <v>998</v>
      </c>
      <c r="D743" s="7" t="e">
        <f ca="1">_xll.xlqPrice(C743)</f>
        <v>#NAME?</v>
      </c>
      <c r="E743" s="9" t="e">
        <f t="shared" ca="1" si="112"/>
        <v>#NAME?</v>
      </c>
      <c r="F743" s="9">
        <f t="shared" ca="1" si="113"/>
        <v>1</v>
      </c>
      <c r="G743" s="8">
        <f t="shared" ca="1" si="114"/>
        <v>0</v>
      </c>
      <c r="H743" s="8">
        <f t="shared" ca="1" si="115"/>
        <v>0</v>
      </c>
      <c r="I743" s="8">
        <f t="shared" ca="1" si="116"/>
        <v>0</v>
      </c>
      <c r="J743" s="6" t="e">
        <f ca="1">_xll.xlqxhSMA($C743,$L$4,$J$7,$K$3)</f>
        <v>#NAME?</v>
      </c>
      <c r="K743" s="7" t="e">
        <f ca="1">_xll.xlqhClose($C743,K$8,$K$3)</f>
        <v>#NAME?</v>
      </c>
      <c r="L743" s="7" t="e">
        <f ca="1">_xll.xlqhClose($C743,L$8,$K$3)</f>
        <v>#NAME?</v>
      </c>
      <c r="N743" s="9">
        <f t="shared" ca="1" si="117"/>
        <v>1</v>
      </c>
      <c r="O743" s="9">
        <f t="shared" ca="1" si="118"/>
        <v>1</v>
      </c>
      <c r="P743" s="9">
        <f t="shared" ca="1" si="119"/>
        <v>1</v>
      </c>
      <c r="Q743" s="9">
        <f t="shared" ca="1" si="120"/>
        <v>1</v>
      </c>
      <c r="R743" s="9">
        <f t="shared" ca="1" si="121"/>
        <v>0</v>
      </c>
    </row>
    <row r="744" spans="2:18" x14ac:dyDescent="0.25">
      <c r="B744" s="17" t="s">
        <v>716</v>
      </c>
      <c r="C744" s="18" t="s">
        <v>938</v>
      </c>
      <c r="D744" s="7" t="e">
        <f ca="1">_xll.xlqPrice(C744)</f>
        <v>#NAME?</v>
      </c>
      <c r="E744" s="9" t="e">
        <f t="shared" ca="1" si="112"/>
        <v>#NAME?</v>
      </c>
      <c r="F744" s="9">
        <f t="shared" ca="1" si="113"/>
        <v>1</v>
      </c>
      <c r="G744" s="8">
        <f t="shared" ca="1" si="114"/>
        <v>0</v>
      </c>
      <c r="H744" s="8">
        <f t="shared" ca="1" si="115"/>
        <v>0</v>
      </c>
      <c r="I744" s="8">
        <f t="shared" ca="1" si="116"/>
        <v>0</v>
      </c>
      <c r="J744" s="6" t="e">
        <f ca="1">_xll.xlqxhSMA($C744,$L$4,$J$7,$K$3)</f>
        <v>#NAME?</v>
      </c>
      <c r="K744" s="7" t="e">
        <f ca="1">_xll.xlqhClose($C744,K$8,$K$3)</f>
        <v>#NAME?</v>
      </c>
      <c r="L744" s="7" t="e">
        <f ca="1">_xll.xlqhClose($C744,L$8,$K$3)</f>
        <v>#NAME?</v>
      </c>
      <c r="N744" s="9">
        <f t="shared" ca="1" si="117"/>
        <v>1</v>
      </c>
      <c r="O744" s="9">
        <f t="shared" ca="1" si="118"/>
        <v>1</v>
      </c>
      <c r="P744" s="9">
        <f t="shared" ca="1" si="119"/>
        <v>1</v>
      </c>
      <c r="Q744" s="9">
        <f t="shared" ca="1" si="120"/>
        <v>1</v>
      </c>
      <c r="R744" s="9">
        <f t="shared" ca="1" si="121"/>
        <v>0</v>
      </c>
    </row>
    <row r="745" spans="2:18" x14ac:dyDescent="0.25">
      <c r="B745" s="17" t="s">
        <v>49</v>
      </c>
      <c r="C745" s="18" t="s">
        <v>50</v>
      </c>
      <c r="D745" s="7" t="e">
        <f ca="1">_xll.xlqPrice(C745)</f>
        <v>#NAME?</v>
      </c>
      <c r="E745" s="9" t="e">
        <f t="shared" ca="1" si="112"/>
        <v>#NAME?</v>
      </c>
      <c r="F745" s="9">
        <f t="shared" ca="1" si="113"/>
        <v>1</v>
      </c>
      <c r="G745" s="8">
        <f t="shared" ca="1" si="114"/>
        <v>0</v>
      </c>
      <c r="H745" s="8">
        <f t="shared" ca="1" si="115"/>
        <v>0</v>
      </c>
      <c r="I745" s="8">
        <f t="shared" ca="1" si="116"/>
        <v>0</v>
      </c>
      <c r="J745" s="6" t="e">
        <f ca="1">_xll.xlqxhSMA($C745,$L$4,$J$7,$K$3)</f>
        <v>#NAME?</v>
      </c>
      <c r="K745" s="7" t="e">
        <f ca="1">_xll.xlqhClose($C745,K$8,$K$3)</f>
        <v>#NAME?</v>
      </c>
      <c r="L745" s="7" t="e">
        <f ca="1">_xll.xlqhClose($C745,L$8,$K$3)</f>
        <v>#NAME?</v>
      </c>
      <c r="N745" s="9">
        <f t="shared" ca="1" si="117"/>
        <v>1</v>
      </c>
      <c r="O745" s="9">
        <f t="shared" ca="1" si="118"/>
        <v>1</v>
      </c>
      <c r="P745" s="9">
        <f t="shared" ca="1" si="119"/>
        <v>1</v>
      </c>
      <c r="Q745" s="9">
        <f t="shared" ca="1" si="120"/>
        <v>1</v>
      </c>
      <c r="R745" s="9">
        <f t="shared" ca="1" si="121"/>
        <v>0</v>
      </c>
    </row>
    <row r="746" spans="2:18" x14ac:dyDescent="0.25">
      <c r="B746" s="17" t="s">
        <v>282</v>
      </c>
      <c r="C746" s="18" t="s">
        <v>283</v>
      </c>
      <c r="D746" s="7" t="e">
        <f ca="1">_xll.xlqPrice(C746)</f>
        <v>#NAME?</v>
      </c>
      <c r="E746" s="9" t="e">
        <f t="shared" ca="1" si="112"/>
        <v>#NAME?</v>
      </c>
      <c r="F746" s="9">
        <f t="shared" ca="1" si="113"/>
        <v>1</v>
      </c>
      <c r="G746" s="8">
        <f t="shared" ca="1" si="114"/>
        <v>0</v>
      </c>
      <c r="H746" s="8">
        <f t="shared" ca="1" si="115"/>
        <v>0</v>
      </c>
      <c r="I746" s="8">
        <f t="shared" ca="1" si="116"/>
        <v>0</v>
      </c>
      <c r="J746" s="6" t="e">
        <f ca="1">_xll.xlqxhSMA($C746,$L$4,$J$7,$K$3)</f>
        <v>#NAME?</v>
      </c>
      <c r="K746" s="7" t="e">
        <f ca="1">_xll.xlqhClose($C746,K$8,$K$3)</f>
        <v>#NAME?</v>
      </c>
      <c r="L746" s="7" t="e">
        <f ca="1">_xll.xlqhClose($C746,L$8,$K$3)</f>
        <v>#NAME?</v>
      </c>
      <c r="N746" s="9">
        <f t="shared" ca="1" si="117"/>
        <v>1</v>
      </c>
      <c r="O746" s="9">
        <f t="shared" ca="1" si="118"/>
        <v>1</v>
      </c>
      <c r="P746" s="9">
        <f t="shared" ca="1" si="119"/>
        <v>1</v>
      </c>
      <c r="Q746" s="9">
        <f t="shared" ca="1" si="120"/>
        <v>1</v>
      </c>
      <c r="R746" s="9">
        <f t="shared" ca="1" si="121"/>
        <v>0</v>
      </c>
    </row>
    <row r="747" spans="2:18" x14ac:dyDescent="0.25">
      <c r="B747" t="s">
        <v>1711</v>
      </c>
      <c r="C747" s="39" t="s">
        <v>1712</v>
      </c>
      <c r="D747" s="7" t="e">
        <f ca="1">_xll.xlqPrice(C747)</f>
        <v>#NAME?</v>
      </c>
      <c r="E747" s="9" t="e">
        <f t="shared" ca="1" si="112"/>
        <v>#NAME?</v>
      </c>
      <c r="F747" s="9">
        <f t="shared" ca="1" si="113"/>
        <v>1</v>
      </c>
      <c r="G747" s="8">
        <f t="shared" ca="1" si="114"/>
        <v>0</v>
      </c>
      <c r="H747" s="8">
        <f t="shared" ca="1" si="115"/>
        <v>0</v>
      </c>
      <c r="I747" s="8">
        <f t="shared" ca="1" si="116"/>
        <v>0</v>
      </c>
      <c r="J747" s="6" t="e">
        <f ca="1">_xll.xlqxhSMA($C747,$L$4,$J$7,$K$3)</f>
        <v>#NAME?</v>
      </c>
      <c r="K747" s="7" t="e">
        <f ca="1">_xll.xlqhClose($C747,K$8,$K$3)</f>
        <v>#NAME?</v>
      </c>
      <c r="L747" s="7" t="e">
        <f ca="1">_xll.xlqhClose($C747,L$8,$K$3)</f>
        <v>#NAME?</v>
      </c>
      <c r="N747" s="9">
        <f t="shared" ca="1" si="117"/>
        <v>1</v>
      </c>
      <c r="O747" s="9">
        <f t="shared" ca="1" si="118"/>
        <v>1</v>
      </c>
      <c r="P747" s="9">
        <f t="shared" ca="1" si="119"/>
        <v>1</v>
      </c>
      <c r="Q747" s="9">
        <f t="shared" ca="1" si="120"/>
        <v>1</v>
      </c>
      <c r="R747" s="9">
        <f t="shared" ca="1" si="121"/>
        <v>0</v>
      </c>
    </row>
    <row r="748" spans="2:18" x14ac:dyDescent="0.25">
      <c r="B748" s="17" t="s">
        <v>548</v>
      </c>
      <c r="C748" s="18" t="s">
        <v>549</v>
      </c>
      <c r="D748" s="7" t="e">
        <f ca="1">_xll.xlqPrice(C748)</f>
        <v>#NAME?</v>
      </c>
      <c r="E748" s="9" t="e">
        <f t="shared" ca="1" si="112"/>
        <v>#NAME?</v>
      </c>
      <c r="F748" s="9">
        <f t="shared" ca="1" si="113"/>
        <v>1</v>
      </c>
      <c r="G748" s="8">
        <f t="shared" ca="1" si="114"/>
        <v>0</v>
      </c>
      <c r="H748" s="8">
        <f t="shared" ca="1" si="115"/>
        <v>0</v>
      </c>
      <c r="I748" s="8">
        <f t="shared" ca="1" si="116"/>
        <v>0</v>
      </c>
      <c r="J748" s="6" t="e">
        <f ca="1">_xll.xlqxhSMA($C748,$L$4,$J$7,$K$3)</f>
        <v>#NAME?</v>
      </c>
      <c r="K748" s="7" t="e">
        <f ca="1">_xll.xlqhClose($C748,K$8,$K$3)</f>
        <v>#NAME?</v>
      </c>
      <c r="L748" s="7" t="e">
        <f ca="1">_xll.xlqhClose($C748,L$8,$K$3)</f>
        <v>#NAME?</v>
      </c>
      <c r="N748" s="9">
        <f t="shared" ca="1" si="117"/>
        <v>1</v>
      </c>
      <c r="O748" s="9">
        <f t="shared" ca="1" si="118"/>
        <v>1</v>
      </c>
      <c r="P748" s="9">
        <f t="shared" ca="1" si="119"/>
        <v>1</v>
      </c>
      <c r="Q748" s="9">
        <f t="shared" ca="1" si="120"/>
        <v>1</v>
      </c>
      <c r="R748" s="9">
        <f t="shared" ca="1" si="121"/>
        <v>0</v>
      </c>
    </row>
    <row r="749" spans="2:18" x14ac:dyDescent="0.25">
      <c r="B749" s="17" t="s">
        <v>2127</v>
      </c>
      <c r="C749" s="18" t="s">
        <v>2128</v>
      </c>
      <c r="D749" s="7" t="e">
        <f ca="1">_xll.xlqPrice(C749)</f>
        <v>#NAME?</v>
      </c>
      <c r="E749" s="9" t="e">
        <f t="shared" ca="1" si="112"/>
        <v>#NAME?</v>
      </c>
      <c r="F749" s="9">
        <f t="shared" ca="1" si="113"/>
        <v>1</v>
      </c>
      <c r="G749" s="8">
        <f t="shared" ca="1" si="114"/>
        <v>0</v>
      </c>
      <c r="H749" s="8">
        <f t="shared" ca="1" si="115"/>
        <v>0</v>
      </c>
      <c r="I749" s="8">
        <f t="shared" ca="1" si="116"/>
        <v>0</v>
      </c>
      <c r="J749" s="6" t="e">
        <f ca="1">_xll.xlqxhSMA($C749,$L$4,$J$7,$K$3)</f>
        <v>#NAME?</v>
      </c>
      <c r="K749" s="7" t="e">
        <f ca="1">_xll.xlqhClose($C749,K$8,$K$3)</f>
        <v>#NAME?</v>
      </c>
      <c r="L749" s="7" t="e">
        <f ca="1">_xll.xlqhClose($C749,L$8,$K$3)</f>
        <v>#NAME?</v>
      </c>
      <c r="N749" s="9">
        <f t="shared" ca="1" si="117"/>
        <v>1</v>
      </c>
      <c r="O749" s="9">
        <f t="shared" ca="1" si="118"/>
        <v>1</v>
      </c>
      <c r="P749" s="9">
        <f t="shared" ca="1" si="119"/>
        <v>1</v>
      </c>
      <c r="Q749" s="9">
        <f t="shared" ca="1" si="120"/>
        <v>1</v>
      </c>
      <c r="R749" s="9">
        <f t="shared" ca="1" si="121"/>
        <v>0</v>
      </c>
    </row>
    <row r="750" spans="2:18" x14ac:dyDescent="0.25">
      <c r="B750" s="17" t="s">
        <v>400</v>
      </c>
      <c r="C750" s="18" t="s">
        <v>401</v>
      </c>
      <c r="D750" s="7" t="e">
        <f ca="1">_xll.xlqPrice(C750)</f>
        <v>#NAME?</v>
      </c>
      <c r="E750" s="9" t="e">
        <f t="shared" ca="1" si="112"/>
        <v>#NAME?</v>
      </c>
      <c r="F750" s="9">
        <f t="shared" ca="1" si="113"/>
        <v>1</v>
      </c>
      <c r="G750" s="8">
        <f t="shared" ca="1" si="114"/>
        <v>0</v>
      </c>
      <c r="H750" s="8">
        <f t="shared" ca="1" si="115"/>
        <v>0</v>
      </c>
      <c r="I750" s="8">
        <f t="shared" ca="1" si="116"/>
        <v>0</v>
      </c>
      <c r="J750" s="6" t="e">
        <f ca="1">_xll.xlqxhSMA($C750,$L$4,$J$7,$K$3)</f>
        <v>#NAME?</v>
      </c>
      <c r="K750" s="7" t="e">
        <f ca="1">_xll.xlqhClose($C750,K$8,$K$3)</f>
        <v>#NAME?</v>
      </c>
      <c r="L750" s="7" t="e">
        <f ca="1">_xll.xlqhClose($C750,L$8,$K$3)</f>
        <v>#NAME?</v>
      </c>
      <c r="N750" s="9">
        <f t="shared" ca="1" si="117"/>
        <v>1</v>
      </c>
      <c r="O750" s="9">
        <f t="shared" ca="1" si="118"/>
        <v>1</v>
      </c>
      <c r="P750" s="9">
        <f t="shared" ca="1" si="119"/>
        <v>1</v>
      </c>
      <c r="Q750" s="9">
        <f t="shared" ca="1" si="120"/>
        <v>1</v>
      </c>
      <c r="R750" s="9">
        <f t="shared" ca="1" si="121"/>
        <v>0</v>
      </c>
    </row>
    <row r="751" spans="2:18" x14ac:dyDescent="0.25">
      <c r="B751" s="17" t="s">
        <v>1527</v>
      </c>
      <c r="C751" s="18" t="s">
        <v>1528</v>
      </c>
      <c r="D751" s="7" t="e">
        <f ca="1">_xll.xlqPrice(C751)</f>
        <v>#NAME?</v>
      </c>
      <c r="E751" s="9" t="e">
        <f t="shared" ca="1" si="112"/>
        <v>#NAME?</v>
      </c>
      <c r="F751" s="9">
        <f t="shared" ca="1" si="113"/>
        <v>1</v>
      </c>
      <c r="G751" s="8">
        <f t="shared" ca="1" si="114"/>
        <v>0</v>
      </c>
      <c r="H751" s="8">
        <f t="shared" ca="1" si="115"/>
        <v>0</v>
      </c>
      <c r="I751" s="8">
        <f t="shared" ca="1" si="116"/>
        <v>0</v>
      </c>
      <c r="J751" s="6" t="e">
        <f ca="1">_xll.xlqxhSMA($C751,$L$4,$J$7,$K$3)</f>
        <v>#NAME?</v>
      </c>
      <c r="K751" s="7" t="e">
        <f ca="1">_xll.xlqhClose($C751,K$8,$K$3)</f>
        <v>#NAME?</v>
      </c>
      <c r="L751" s="7" t="e">
        <f ca="1">_xll.xlqhClose($C751,L$8,$K$3)</f>
        <v>#NAME?</v>
      </c>
      <c r="N751" s="9">
        <f t="shared" ca="1" si="117"/>
        <v>1</v>
      </c>
      <c r="O751" s="9">
        <f t="shared" ca="1" si="118"/>
        <v>1</v>
      </c>
      <c r="P751" s="9">
        <f t="shared" ca="1" si="119"/>
        <v>1</v>
      </c>
      <c r="Q751" s="9">
        <f t="shared" ca="1" si="120"/>
        <v>1</v>
      </c>
      <c r="R751" s="9">
        <f t="shared" ca="1" si="121"/>
        <v>0</v>
      </c>
    </row>
    <row r="752" spans="2:18" x14ac:dyDescent="0.25">
      <c r="B752" t="s">
        <v>1659</v>
      </c>
      <c r="C752" s="39" t="s">
        <v>1660</v>
      </c>
      <c r="D752" s="7" t="e">
        <f ca="1">_xll.xlqPrice(C752)</f>
        <v>#NAME?</v>
      </c>
      <c r="E752" s="9" t="e">
        <f t="shared" ca="1" si="112"/>
        <v>#NAME?</v>
      </c>
      <c r="F752" s="9">
        <f t="shared" ca="1" si="113"/>
        <v>1</v>
      </c>
      <c r="G752" s="8">
        <f t="shared" ca="1" si="114"/>
        <v>0</v>
      </c>
      <c r="H752" s="8">
        <f t="shared" ca="1" si="115"/>
        <v>0</v>
      </c>
      <c r="I752" s="8">
        <f t="shared" ca="1" si="116"/>
        <v>0</v>
      </c>
      <c r="J752" s="6" t="e">
        <f ca="1">_xll.xlqxhSMA($C752,$L$4,$J$7,$K$3)</f>
        <v>#NAME?</v>
      </c>
      <c r="K752" s="7" t="e">
        <f ca="1">_xll.xlqhClose($C752,K$8,$K$3)</f>
        <v>#NAME?</v>
      </c>
      <c r="L752" s="7" t="e">
        <f ca="1">_xll.xlqhClose($C752,L$8,$K$3)</f>
        <v>#NAME?</v>
      </c>
      <c r="N752" s="9">
        <f t="shared" ca="1" si="117"/>
        <v>1</v>
      </c>
      <c r="O752" s="9">
        <f t="shared" ca="1" si="118"/>
        <v>1</v>
      </c>
      <c r="P752" s="9">
        <f t="shared" ca="1" si="119"/>
        <v>1</v>
      </c>
      <c r="Q752" s="9">
        <f t="shared" ca="1" si="120"/>
        <v>1</v>
      </c>
      <c r="R752" s="9">
        <f t="shared" ca="1" si="121"/>
        <v>0</v>
      </c>
    </row>
    <row r="753" spans="2:18" x14ac:dyDescent="0.25">
      <c r="B753" s="17" t="s">
        <v>610</v>
      </c>
      <c r="C753" s="18" t="s">
        <v>611</v>
      </c>
      <c r="D753" s="7" t="e">
        <f ca="1">_xll.xlqPrice(C753)</f>
        <v>#NAME?</v>
      </c>
      <c r="E753" s="9" t="e">
        <f t="shared" ca="1" si="112"/>
        <v>#NAME?</v>
      </c>
      <c r="F753" s="9">
        <f t="shared" ca="1" si="113"/>
        <v>1</v>
      </c>
      <c r="G753" s="8">
        <f t="shared" ca="1" si="114"/>
        <v>0</v>
      </c>
      <c r="H753" s="8">
        <f t="shared" ca="1" si="115"/>
        <v>0</v>
      </c>
      <c r="I753" s="8">
        <f t="shared" ca="1" si="116"/>
        <v>0</v>
      </c>
      <c r="J753" s="6" t="e">
        <f ca="1">_xll.xlqxhSMA($C753,$L$4,$J$7,$K$3)</f>
        <v>#NAME?</v>
      </c>
      <c r="K753" s="7" t="e">
        <f ca="1">_xll.xlqhClose($C753,K$8,$K$3)</f>
        <v>#NAME?</v>
      </c>
      <c r="L753" s="7" t="e">
        <f ca="1">_xll.xlqhClose($C753,L$8,$K$3)</f>
        <v>#NAME?</v>
      </c>
      <c r="N753" s="9">
        <f t="shared" ca="1" si="117"/>
        <v>1</v>
      </c>
      <c r="O753" s="9">
        <f t="shared" ca="1" si="118"/>
        <v>1</v>
      </c>
      <c r="P753" s="9">
        <f t="shared" ca="1" si="119"/>
        <v>1</v>
      </c>
      <c r="Q753" s="9">
        <f t="shared" ca="1" si="120"/>
        <v>1</v>
      </c>
      <c r="R753" s="9">
        <f t="shared" ca="1" si="121"/>
        <v>0</v>
      </c>
    </row>
    <row r="754" spans="2:18" x14ac:dyDescent="0.25">
      <c r="B754" s="17" t="s">
        <v>770</v>
      </c>
      <c r="C754" s="18" t="s">
        <v>771</v>
      </c>
      <c r="D754" s="7" t="e">
        <f ca="1">_xll.xlqPrice(C754)</f>
        <v>#NAME?</v>
      </c>
      <c r="E754" s="9" t="e">
        <f t="shared" ca="1" si="112"/>
        <v>#NAME?</v>
      </c>
      <c r="F754" s="9">
        <f t="shared" ca="1" si="113"/>
        <v>1</v>
      </c>
      <c r="G754" s="8">
        <f t="shared" ca="1" si="114"/>
        <v>0</v>
      </c>
      <c r="H754" s="8">
        <f t="shared" ca="1" si="115"/>
        <v>0</v>
      </c>
      <c r="I754" s="8">
        <f t="shared" ca="1" si="116"/>
        <v>0</v>
      </c>
      <c r="J754" s="6" t="e">
        <f ca="1">_xll.xlqxhSMA($C754,$L$4,$J$7,$K$3)</f>
        <v>#NAME?</v>
      </c>
      <c r="K754" s="7" t="e">
        <f ca="1">_xll.xlqhClose($C754,K$8,$K$3)</f>
        <v>#NAME?</v>
      </c>
      <c r="L754" s="7" t="e">
        <f ca="1">_xll.xlqhClose($C754,L$8,$K$3)</f>
        <v>#NAME?</v>
      </c>
      <c r="N754" s="9">
        <f t="shared" ca="1" si="117"/>
        <v>1</v>
      </c>
      <c r="O754" s="9">
        <f t="shared" ca="1" si="118"/>
        <v>1</v>
      </c>
      <c r="P754" s="9">
        <f t="shared" ca="1" si="119"/>
        <v>1</v>
      </c>
      <c r="Q754" s="9">
        <f t="shared" ca="1" si="120"/>
        <v>1</v>
      </c>
      <c r="R754" s="9">
        <f t="shared" ca="1" si="121"/>
        <v>0</v>
      </c>
    </row>
    <row r="755" spans="2:18" x14ac:dyDescent="0.25">
      <c r="B755" t="s">
        <v>1401</v>
      </c>
      <c r="C755" s="39" t="s">
        <v>1402</v>
      </c>
      <c r="D755" s="7" t="e">
        <f ca="1">_xll.xlqPrice(C755)</f>
        <v>#NAME?</v>
      </c>
      <c r="E755" s="9" t="e">
        <f t="shared" ca="1" si="112"/>
        <v>#NAME?</v>
      </c>
      <c r="F755" s="9">
        <f t="shared" ca="1" si="113"/>
        <v>1</v>
      </c>
      <c r="G755" s="8">
        <f t="shared" ca="1" si="114"/>
        <v>0</v>
      </c>
      <c r="H755" s="8">
        <f t="shared" ca="1" si="115"/>
        <v>0</v>
      </c>
      <c r="I755" s="8">
        <f t="shared" ca="1" si="116"/>
        <v>0</v>
      </c>
      <c r="J755" s="6" t="e">
        <f ca="1">_xll.xlqxhSMA($C755,$L$4,$J$7,$K$3)</f>
        <v>#NAME?</v>
      </c>
      <c r="K755" s="7" t="e">
        <f ca="1">_xll.xlqhClose($C755,K$8,$K$3)</f>
        <v>#NAME?</v>
      </c>
      <c r="L755" s="7" t="e">
        <f ca="1">_xll.xlqhClose($C755,L$8,$K$3)</f>
        <v>#NAME?</v>
      </c>
      <c r="N755" s="9">
        <f t="shared" ca="1" si="117"/>
        <v>1</v>
      </c>
      <c r="O755" s="9">
        <f t="shared" ca="1" si="118"/>
        <v>1</v>
      </c>
      <c r="P755" s="9">
        <f t="shared" ca="1" si="119"/>
        <v>1</v>
      </c>
      <c r="Q755" s="9">
        <f t="shared" ca="1" si="120"/>
        <v>1</v>
      </c>
      <c r="R755" s="9">
        <f t="shared" ca="1" si="121"/>
        <v>0</v>
      </c>
    </row>
    <row r="756" spans="2:18" x14ac:dyDescent="0.25">
      <c r="B756" s="17" t="s">
        <v>380</v>
      </c>
      <c r="C756" s="18" t="s">
        <v>381</v>
      </c>
      <c r="D756" s="7" t="e">
        <f ca="1">_xll.xlqPrice(C756)</f>
        <v>#NAME?</v>
      </c>
      <c r="E756" s="9" t="e">
        <f t="shared" ca="1" si="112"/>
        <v>#NAME?</v>
      </c>
      <c r="F756" s="9">
        <f t="shared" ca="1" si="113"/>
        <v>1</v>
      </c>
      <c r="G756" s="8">
        <f t="shared" ca="1" si="114"/>
        <v>0</v>
      </c>
      <c r="H756" s="8">
        <f t="shared" ca="1" si="115"/>
        <v>0</v>
      </c>
      <c r="I756" s="8">
        <f t="shared" ca="1" si="116"/>
        <v>0</v>
      </c>
      <c r="J756" s="6" t="e">
        <f ca="1">_xll.xlqxhSMA($C756,$L$4,$J$7,$K$3)</f>
        <v>#NAME?</v>
      </c>
      <c r="K756" s="7" t="e">
        <f ca="1">_xll.xlqhClose($C756,K$8,$K$3)</f>
        <v>#NAME?</v>
      </c>
      <c r="L756" s="7" t="e">
        <f ca="1">_xll.xlqhClose($C756,L$8,$K$3)</f>
        <v>#NAME?</v>
      </c>
      <c r="N756" s="9">
        <f t="shared" ca="1" si="117"/>
        <v>1</v>
      </c>
      <c r="O756" s="9">
        <f t="shared" ca="1" si="118"/>
        <v>1</v>
      </c>
      <c r="P756" s="9">
        <f t="shared" ca="1" si="119"/>
        <v>1</v>
      </c>
      <c r="Q756" s="9">
        <f t="shared" ca="1" si="120"/>
        <v>1</v>
      </c>
      <c r="R756" s="9">
        <f t="shared" ca="1" si="121"/>
        <v>0</v>
      </c>
    </row>
    <row r="757" spans="2:18" x14ac:dyDescent="0.25">
      <c r="B757" s="17" t="s">
        <v>470</v>
      </c>
      <c r="C757" s="18" t="s">
        <v>471</v>
      </c>
      <c r="D757" s="7" t="e">
        <f ca="1">_xll.xlqPrice(C757)</f>
        <v>#NAME?</v>
      </c>
      <c r="E757" s="9" t="e">
        <f t="shared" ca="1" si="112"/>
        <v>#NAME?</v>
      </c>
      <c r="F757" s="9">
        <f t="shared" ca="1" si="113"/>
        <v>1</v>
      </c>
      <c r="G757" s="8">
        <f t="shared" ca="1" si="114"/>
        <v>0</v>
      </c>
      <c r="H757" s="8">
        <f t="shared" ca="1" si="115"/>
        <v>0</v>
      </c>
      <c r="I757" s="8">
        <f t="shared" ca="1" si="116"/>
        <v>0</v>
      </c>
      <c r="J757" s="6" t="e">
        <f ca="1">_xll.xlqxhSMA($C757,$L$4,$J$7,$K$3)</f>
        <v>#NAME?</v>
      </c>
      <c r="K757" s="7" t="e">
        <f ca="1">_xll.xlqhClose($C757,K$8,$K$3)</f>
        <v>#NAME?</v>
      </c>
      <c r="L757" s="7" t="e">
        <f ca="1">_xll.xlqhClose($C757,L$8,$K$3)</f>
        <v>#NAME?</v>
      </c>
      <c r="N757" s="9">
        <f t="shared" ca="1" si="117"/>
        <v>1</v>
      </c>
      <c r="O757" s="9">
        <f t="shared" ca="1" si="118"/>
        <v>1</v>
      </c>
      <c r="P757" s="9">
        <f t="shared" ca="1" si="119"/>
        <v>1</v>
      </c>
      <c r="Q757" s="9">
        <f t="shared" ca="1" si="120"/>
        <v>1</v>
      </c>
      <c r="R757" s="9">
        <f t="shared" ca="1" si="121"/>
        <v>0</v>
      </c>
    </row>
    <row r="758" spans="2:18" x14ac:dyDescent="0.25">
      <c r="B758" s="17" t="s">
        <v>2269</v>
      </c>
      <c r="C758" s="18" t="s">
        <v>2270</v>
      </c>
      <c r="D758" s="7" t="e">
        <f ca="1">_xll.xlqPrice(C758)</f>
        <v>#NAME?</v>
      </c>
      <c r="E758" s="9" t="e">
        <f t="shared" ca="1" si="112"/>
        <v>#NAME?</v>
      </c>
      <c r="F758" s="9">
        <f t="shared" ca="1" si="113"/>
        <v>1</v>
      </c>
      <c r="G758" s="8">
        <f t="shared" ca="1" si="114"/>
        <v>0</v>
      </c>
      <c r="H758" s="8">
        <f t="shared" ca="1" si="115"/>
        <v>0</v>
      </c>
      <c r="I758" s="8">
        <f t="shared" ca="1" si="116"/>
        <v>0</v>
      </c>
      <c r="J758" s="6" t="e">
        <f ca="1">_xll.xlqxhSMA($C758,$L$4,$J$7,$K$3)</f>
        <v>#NAME?</v>
      </c>
      <c r="K758" s="7" t="e">
        <f ca="1">_xll.xlqhClose($C758,K$8,$K$3)</f>
        <v>#NAME?</v>
      </c>
      <c r="L758" s="7" t="e">
        <f ca="1">_xll.xlqhClose($C758,L$8,$K$3)</f>
        <v>#NAME?</v>
      </c>
      <c r="N758" s="9">
        <f t="shared" ca="1" si="117"/>
        <v>1</v>
      </c>
      <c r="O758" s="9">
        <f t="shared" ca="1" si="118"/>
        <v>1</v>
      </c>
      <c r="P758" s="9">
        <f t="shared" ca="1" si="119"/>
        <v>1</v>
      </c>
      <c r="Q758" s="9">
        <f t="shared" ca="1" si="120"/>
        <v>1</v>
      </c>
      <c r="R758" s="9">
        <f t="shared" ca="1" si="121"/>
        <v>0</v>
      </c>
    </row>
    <row r="759" spans="2:18" x14ac:dyDescent="0.25">
      <c r="B759" s="17" t="s">
        <v>834</v>
      </c>
      <c r="C759" s="18" t="s">
        <v>835</v>
      </c>
      <c r="D759" s="7" t="e">
        <f ca="1">_xll.xlqPrice(C759)</f>
        <v>#NAME?</v>
      </c>
      <c r="E759" s="9" t="e">
        <f t="shared" ca="1" si="112"/>
        <v>#NAME?</v>
      </c>
      <c r="F759" s="9">
        <f t="shared" ca="1" si="113"/>
        <v>1</v>
      </c>
      <c r="G759" s="8">
        <f t="shared" ca="1" si="114"/>
        <v>0</v>
      </c>
      <c r="H759" s="8">
        <f t="shared" ca="1" si="115"/>
        <v>0</v>
      </c>
      <c r="I759" s="8">
        <f t="shared" ca="1" si="116"/>
        <v>0</v>
      </c>
      <c r="J759" s="6" t="e">
        <f ca="1">_xll.xlqxhSMA($C759,$L$4,$J$7,$K$3)</f>
        <v>#NAME?</v>
      </c>
      <c r="K759" s="7" t="e">
        <f ca="1">_xll.xlqhClose($C759,K$8,$K$3)</f>
        <v>#NAME?</v>
      </c>
      <c r="L759" s="7" t="e">
        <f ca="1">_xll.xlqhClose($C759,L$8,$K$3)</f>
        <v>#NAME?</v>
      </c>
      <c r="N759" s="9">
        <f t="shared" ca="1" si="117"/>
        <v>1</v>
      </c>
      <c r="O759" s="9">
        <f t="shared" ca="1" si="118"/>
        <v>1</v>
      </c>
      <c r="P759" s="9">
        <f t="shared" ca="1" si="119"/>
        <v>1</v>
      </c>
      <c r="Q759" s="9">
        <f t="shared" ca="1" si="120"/>
        <v>1</v>
      </c>
      <c r="R759" s="9">
        <f t="shared" ca="1" si="121"/>
        <v>0</v>
      </c>
    </row>
    <row r="760" spans="2:18" x14ac:dyDescent="0.25">
      <c r="B760" t="s">
        <v>1753</v>
      </c>
      <c r="C760" s="39" t="s">
        <v>1754</v>
      </c>
      <c r="D760" s="7" t="e">
        <f ca="1">_xll.xlqPrice(C760)</f>
        <v>#NAME?</v>
      </c>
      <c r="E760" s="9" t="e">
        <f t="shared" ca="1" si="112"/>
        <v>#NAME?</v>
      </c>
      <c r="F760" s="9">
        <f t="shared" ca="1" si="113"/>
        <v>1</v>
      </c>
      <c r="G760" s="8">
        <f t="shared" ca="1" si="114"/>
        <v>0</v>
      </c>
      <c r="H760" s="8">
        <f t="shared" ca="1" si="115"/>
        <v>0</v>
      </c>
      <c r="I760" s="8">
        <f t="shared" ca="1" si="116"/>
        <v>0</v>
      </c>
      <c r="J760" s="6" t="e">
        <f ca="1">_xll.xlqxhSMA($C760,$L$4,$J$7,$K$3)</f>
        <v>#NAME?</v>
      </c>
      <c r="K760" s="7" t="e">
        <f ca="1">_xll.xlqhClose($C760,K$8,$K$3)</f>
        <v>#NAME?</v>
      </c>
      <c r="L760" s="7" t="e">
        <f ca="1">_xll.xlqhClose($C760,L$8,$K$3)</f>
        <v>#NAME?</v>
      </c>
      <c r="N760" s="9">
        <f t="shared" ca="1" si="117"/>
        <v>1</v>
      </c>
      <c r="O760" s="9">
        <f t="shared" ca="1" si="118"/>
        <v>1</v>
      </c>
      <c r="P760" s="9">
        <f t="shared" ca="1" si="119"/>
        <v>1</v>
      </c>
      <c r="Q760" s="9">
        <f t="shared" ca="1" si="120"/>
        <v>1</v>
      </c>
      <c r="R760" s="9">
        <f t="shared" ca="1" si="121"/>
        <v>0</v>
      </c>
    </row>
    <row r="761" spans="2:18" x14ac:dyDescent="0.25">
      <c r="B761" s="17" t="s">
        <v>672</v>
      </c>
      <c r="C761" s="18" t="s">
        <v>673</v>
      </c>
      <c r="D761" s="7" t="e">
        <f ca="1">_xll.xlqPrice(C761)</f>
        <v>#NAME?</v>
      </c>
      <c r="E761" s="9" t="e">
        <f t="shared" ca="1" si="112"/>
        <v>#NAME?</v>
      </c>
      <c r="F761" s="9">
        <f t="shared" ca="1" si="113"/>
        <v>1</v>
      </c>
      <c r="G761" s="8">
        <f t="shared" ca="1" si="114"/>
        <v>0</v>
      </c>
      <c r="H761" s="8">
        <f t="shared" ca="1" si="115"/>
        <v>0</v>
      </c>
      <c r="I761" s="8">
        <f t="shared" ca="1" si="116"/>
        <v>0</v>
      </c>
      <c r="J761" s="6" t="e">
        <f ca="1">_xll.xlqxhSMA($C761,$L$4,$J$7,$K$3)</f>
        <v>#NAME?</v>
      </c>
      <c r="K761" s="7" t="e">
        <f ca="1">_xll.xlqhClose($C761,K$8,$K$3)</f>
        <v>#NAME?</v>
      </c>
      <c r="L761" s="7" t="e">
        <f ca="1">_xll.xlqhClose($C761,L$8,$K$3)</f>
        <v>#NAME?</v>
      </c>
      <c r="N761" s="9">
        <f t="shared" ca="1" si="117"/>
        <v>1</v>
      </c>
      <c r="O761" s="9">
        <f t="shared" ca="1" si="118"/>
        <v>1</v>
      </c>
      <c r="P761" s="9">
        <f t="shared" ca="1" si="119"/>
        <v>1</v>
      </c>
      <c r="Q761" s="9">
        <f t="shared" ca="1" si="120"/>
        <v>1</v>
      </c>
      <c r="R761" s="9">
        <f t="shared" ca="1" si="121"/>
        <v>0</v>
      </c>
    </row>
    <row r="762" spans="2:18" x14ac:dyDescent="0.25">
      <c r="B762" s="17" t="s">
        <v>784</v>
      </c>
      <c r="C762" s="18" t="s">
        <v>785</v>
      </c>
      <c r="D762" s="7" t="e">
        <f ca="1">_xll.xlqPrice(C762)</f>
        <v>#NAME?</v>
      </c>
      <c r="E762" s="9" t="e">
        <f t="shared" ca="1" si="112"/>
        <v>#NAME?</v>
      </c>
      <c r="F762" s="9">
        <f t="shared" ca="1" si="113"/>
        <v>1</v>
      </c>
      <c r="G762" s="8">
        <f t="shared" ca="1" si="114"/>
        <v>0</v>
      </c>
      <c r="H762" s="8">
        <f t="shared" ca="1" si="115"/>
        <v>0</v>
      </c>
      <c r="I762" s="8">
        <f t="shared" ca="1" si="116"/>
        <v>0</v>
      </c>
      <c r="J762" s="6" t="e">
        <f ca="1">_xll.xlqxhSMA($C762,$L$4,$J$7,$K$3)</f>
        <v>#NAME?</v>
      </c>
      <c r="K762" s="7" t="e">
        <f ca="1">_xll.xlqhClose($C762,K$8,$K$3)</f>
        <v>#NAME?</v>
      </c>
      <c r="L762" s="7" t="e">
        <f ca="1">_xll.xlqhClose($C762,L$8,$K$3)</f>
        <v>#NAME?</v>
      </c>
      <c r="N762" s="9">
        <f t="shared" ca="1" si="117"/>
        <v>1</v>
      </c>
      <c r="O762" s="9">
        <f t="shared" ca="1" si="118"/>
        <v>1</v>
      </c>
      <c r="P762" s="9">
        <f t="shared" ca="1" si="119"/>
        <v>1</v>
      </c>
      <c r="Q762" s="9">
        <f t="shared" ca="1" si="120"/>
        <v>1</v>
      </c>
      <c r="R762" s="9">
        <f t="shared" ca="1" si="121"/>
        <v>0</v>
      </c>
    </row>
    <row r="763" spans="2:18" x14ac:dyDescent="0.25">
      <c r="B763" s="17" t="s">
        <v>1539</v>
      </c>
      <c r="C763" s="18" t="s">
        <v>1540</v>
      </c>
      <c r="D763" s="7" t="e">
        <f ca="1">_xll.xlqPrice(C763)</f>
        <v>#NAME?</v>
      </c>
      <c r="E763" s="9" t="e">
        <f t="shared" ca="1" si="112"/>
        <v>#NAME?</v>
      </c>
      <c r="F763" s="9">
        <f t="shared" ca="1" si="113"/>
        <v>1</v>
      </c>
      <c r="G763" s="8">
        <f t="shared" ca="1" si="114"/>
        <v>0</v>
      </c>
      <c r="H763" s="8">
        <f t="shared" ca="1" si="115"/>
        <v>0</v>
      </c>
      <c r="I763" s="8">
        <f t="shared" ca="1" si="116"/>
        <v>0</v>
      </c>
      <c r="J763" s="6" t="e">
        <f ca="1">_xll.xlqxhSMA($C763,$L$4,$J$7,$K$3)</f>
        <v>#NAME?</v>
      </c>
      <c r="K763" s="7" t="e">
        <f ca="1">_xll.xlqhClose($C763,K$8,$K$3)</f>
        <v>#NAME?</v>
      </c>
      <c r="L763" s="7" t="e">
        <f ca="1">_xll.xlqhClose($C763,L$8,$K$3)</f>
        <v>#NAME?</v>
      </c>
      <c r="N763" s="9">
        <f t="shared" ca="1" si="117"/>
        <v>1</v>
      </c>
      <c r="O763" s="9">
        <f t="shared" ca="1" si="118"/>
        <v>1</v>
      </c>
      <c r="P763" s="9">
        <f t="shared" ca="1" si="119"/>
        <v>1</v>
      </c>
      <c r="Q763" s="9">
        <f t="shared" ca="1" si="120"/>
        <v>1</v>
      </c>
      <c r="R763" s="9">
        <f t="shared" ca="1" si="121"/>
        <v>0</v>
      </c>
    </row>
    <row r="764" spans="2:18" x14ac:dyDescent="0.25">
      <c r="B764" s="17" t="s">
        <v>694</v>
      </c>
      <c r="C764" s="18" t="s">
        <v>695</v>
      </c>
      <c r="D764" s="7" t="e">
        <f ca="1">_xll.xlqPrice(C764)</f>
        <v>#NAME?</v>
      </c>
      <c r="E764" s="9" t="e">
        <f t="shared" ca="1" si="112"/>
        <v>#NAME?</v>
      </c>
      <c r="F764" s="9">
        <f t="shared" ca="1" si="113"/>
        <v>1</v>
      </c>
      <c r="G764" s="8">
        <f t="shared" ca="1" si="114"/>
        <v>0</v>
      </c>
      <c r="H764" s="8">
        <f t="shared" ca="1" si="115"/>
        <v>0</v>
      </c>
      <c r="I764" s="8">
        <f t="shared" ca="1" si="116"/>
        <v>0</v>
      </c>
      <c r="J764" s="6" t="e">
        <f ca="1">_xll.xlqxhSMA($C764,$L$4,$J$7,$K$3)</f>
        <v>#NAME?</v>
      </c>
      <c r="K764" s="7" t="e">
        <f ca="1">_xll.xlqhClose($C764,K$8,$K$3)</f>
        <v>#NAME?</v>
      </c>
      <c r="L764" s="7" t="e">
        <f ca="1">_xll.xlqhClose($C764,L$8,$K$3)</f>
        <v>#NAME?</v>
      </c>
      <c r="N764" s="9">
        <f t="shared" ca="1" si="117"/>
        <v>1</v>
      </c>
      <c r="O764" s="9">
        <f t="shared" ca="1" si="118"/>
        <v>1</v>
      </c>
      <c r="P764" s="9">
        <f t="shared" ca="1" si="119"/>
        <v>1</v>
      </c>
      <c r="Q764" s="9">
        <f t="shared" ca="1" si="120"/>
        <v>1</v>
      </c>
      <c r="R764" s="9">
        <f t="shared" ca="1" si="121"/>
        <v>0</v>
      </c>
    </row>
    <row r="765" spans="2:18" x14ac:dyDescent="0.25">
      <c r="B765" s="17" t="s">
        <v>1873</v>
      </c>
      <c r="C765" s="18" t="s">
        <v>1874</v>
      </c>
      <c r="D765" s="7" t="e">
        <f ca="1">_xll.xlqPrice(C765)</f>
        <v>#NAME?</v>
      </c>
      <c r="E765" s="9" t="e">
        <f t="shared" ca="1" si="112"/>
        <v>#NAME?</v>
      </c>
      <c r="F765" s="9">
        <f t="shared" ca="1" si="113"/>
        <v>1</v>
      </c>
      <c r="G765" s="8">
        <f t="shared" ca="1" si="114"/>
        <v>0</v>
      </c>
      <c r="H765" s="8">
        <f t="shared" ca="1" si="115"/>
        <v>0</v>
      </c>
      <c r="I765" s="8">
        <f t="shared" ca="1" si="116"/>
        <v>0</v>
      </c>
      <c r="J765" s="6" t="e">
        <f ca="1">_xll.xlqxhSMA($C765,$L$4,$J$7,$K$3)</f>
        <v>#NAME?</v>
      </c>
      <c r="K765" s="7" t="e">
        <f ca="1">_xll.xlqhClose($C765,K$8,$K$3)</f>
        <v>#NAME?</v>
      </c>
      <c r="L765" s="7" t="e">
        <f ca="1">_xll.xlqhClose($C765,L$8,$K$3)</f>
        <v>#NAME?</v>
      </c>
      <c r="N765" s="9">
        <f t="shared" ca="1" si="117"/>
        <v>1</v>
      </c>
      <c r="O765" s="9">
        <f t="shared" ca="1" si="118"/>
        <v>1</v>
      </c>
      <c r="P765" s="9">
        <f t="shared" ca="1" si="119"/>
        <v>1</v>
      </c>
      <c r="Q765" s="9">
        <f t="shared" ca="1" si="120"/>
        <v>1</v>
      </c>
      <c r="R765" s="9">
        <f t="shared" ca="1" si="121"/>
        <v>0</v>
      </c>
    </row>
    <row r="766" spans="2:18" x14ac:dyDescent="0.25">
      <c r="B766" s="17" t="s">
        <v>612</v>
      </c>
      <c r="C766" s="18" t="s">
        <v>613</v>
      </c>
      <c r="D766" s="7" t="e">
        <f ca="1">_xll.xlqPrice(C766)</f>
        <v>#NAME?</v>
      </c>
      <c r="E766" s="9" t="e">
        <f t="shared" ca="1" si="112"/>
        <v>#NAME?</v>
      </c>
      <c r="F766" s="9">
        <f t="shared" ca="1" si="113"/>
        <v>1</v>
      </c>
      <c r="G766" s="8">
        <f t="shared" ca="1" si="114"/>
        <v>0</v>
      </c>
      <c r="H766" s="8">
        <f t="shared" ca="1" si="115"/>
        <v>0</v>
      </c>
      <c r="I766" s="8">
        <f t="shared" ca="1" si="116"/>
        <v>0</v>
      </c>
      <c r="J766" s="6" t="e">
        <f ca="1">_xll.xlqxhSMA($C766,$L$4,$J$7,$K$3)</f>
        <v>#NAME?</v>
      </c>
      <c r="K766" s="7" t="e">
        <f ca="1">_xll.xlqhClose($C766,K$8,$K$3)</f>
        <v>#NAME?</v>
      </c>
      <c r="L766" s="7" t="e">
        <f ca="1">_xll.xlqhClose($C766,L$8,$K$3)</f>
        <v>#NAME?</v>
      </c>
      <c r="N766" s="9">
        <f t="shared" ca="1" si="117"/>
        <v>1</v>
      </c>
      <c r="O766" s="9">
        <f t="shared" ca="1" si="118"/>
        <v>1</v>
      </c>
      <c r="P766" s="9">
        <f t="shared" ca="1" si="119"/>
        <v>1</v>
      </c>
      <c r="Q766" s="9">
        <f t="shared" ca="1" si="120"/>
        <v>1</v>
      </c>
      <c r="R766" s="9">
        <f t="shared" ca="1" si="121"/>
        <v>0</v>
      </c>
    </row>
    <row r="767" spans="2:18" x14ac:dyDescent="0.25">
      <c r="B767" s="17" t="s">
        <v>1183</v>
      </c>
      <c r="C767" s="18" t="s">
        <v>1184</v>
      </c>
      <c r="D767" s="7" t="e">
        <f ca="1">_xll.xlqPrice(C767)</f>
        <v>#NAME?</v>
      </c>
      <c r="E767" s="9" t="e">
        <f t="shared" ca="1" si="112"/>
        <v>#NAME?</v>
      </c>
      <c r="F767" s="9">
        <f t="shared" ca="1" si="113"/>
        <v>1</v>
      </c>
      <c r="G767" s="8">
        <f t="shared" ca="1" si="114"/>
        <v>0</v>
      </c>
      <c r="H767" s="8">
        <f t="shared" ca="1" si="115"/>
        <v>0</v>
      </c>
      <c r="I767" s="8">
        <f t="shared" ca="1" si="116"/>
        <v>0</v>
      </c>
      <c r="J767" s="6" t="e">
        <f ca="1">_xll.xlqxhSMA($C767,$L$4,$J$7,$K$3)</f>
        <v>#NAME?</v>
      </c>
      <c r="K767" s="7" t="e">
        <f ca="1">_xll.xlqhClose($C767,K$8,$K$3)</f>
        <v>#NAME?</v>
      </c>
      <c r="L767" s="7" t="e">
        <f ca="1">_xll.xlqhClose($C767,L$8,$K$3)</f>
        <v>#NAME?</v>
      </c>
      <c r="N767" s="9">
        <f t="shared" ca="1" si="117"/>
        <v>1</v>
      </c>
      <c r="O767" s="9">
        <f t="shared" ca="1" si="118"/>
        <v>1</v>
      </c>
      <c r="P767" s="9">
        <f t="shared" ca="1" si="119"/>
        <v>1</v>
      </c>
      <c r="Q767" s="9">
        <f t="shared" ca="1" si="120"/>
        <v>1</v>
      </c>
      <c r="R767" s="9">
        <f t="shared" ca="1" si="121"/>
        <v>0</v>
      </c>
    </row>
    <row r="768" spans="2:18" x14ac:dyDescent="0.25">
      <c r="B768" s="17" t="s">
        <v>648</v>
      </c>
      <c r="C768" s="18" t="s">
        <v>649</v>
      </c>
      <c r="D768" s="7" t="e">
        <f ca="1">_xll.xlqPrice(C768)</f>
        <v>#NAME?</v>
      </c>
      <c r="E768" s="9" t="e">
        <f t="shared" ca="1" si="112"/>
        <v>#NAME?</v>
      </c>
      <c r="F768" s="9">
        <f t="shared" ca="1" si="113"/>
        <v>1</v>
      </c>
      <c r="G768" s="8">
        <f t="shared" ca="1" si="114"/>
        <v>0</v>
      </c>
      <c r="H768" s="8">
        <f t="shared" ca="1" si="115"/>
        <v>0</v>
      </c>
      <c r="I768" s="8">
        <f t="shared" ca="1" si="116"/>
        <v>0</v>
      </c>
      <c r="J768" s="6" t="e">
        <f ca="1">_xll.xlqxhSMA($C768,$L$4,$J$7,$K$3)</f>
        <v>#NAME?</v>
      </c>
      <c r="K768" s="7" t="e">
        <f ca="1">_xll.xlqhClose($C768,K$8,$K$3)</f>
        <v>#NAME?</v>
      </c>
      <c r="L768" s="7" t="e">
        <f ca="1">_xll.xlqhClose($C768,L$8,$K$3)</f>
        <v>#NAME?</v>
      </c>
      <c r="N768" s="9">
        <f t="shared" ca="1" si="117"/>
        <v>1</v>
      </c>
      <c r="O768" s="9">
        <f t="shared" ca="1" si="118"/>
        <v>1</v>
      </c>
      <c r="P768" s="9">
        <f t="shared" ca="1" si="119"/>
        <v>1</v>
      </c>
      <c r="Q768" s="9">
        <f t="shared" ca="1" si="120"/>
        <v>1</v>
      </c>
      <c r="R768" s="9">
        <f t="shared" ca="1" si="121"/>
        <v>0</v>
      </c>
    </row>
    <row r="769" spans="2:18" x14ac:dyDescent="0.25">
      <c r="B769" s="17" t="s">
        <v>706</v>
      </c>
      <c r="C769" s="18" t="s">
        <v>707</v>
      </c>
      <c r="D769" s="7" t="e">
        <f ca="1">_xll.xlqPrice(C769)</f>
        <v>#NAME?</v>
      </c>
      <c r="E769" s="9" t="e">
        <f t="shared" ca="1" si="112"/>
        <v>#NAME?</v>
      </c>
      <c r="F769" s="9">
        <f t="shared" ca="1" si="113"/>
        <v>1</v>
      </c>
      <c r="G769" s="8">
        <f t="shared" ca="1" si="114"/>
        <v>0</v>
      </c>
      <c r="H769" s="8">
        <f t="shared" ca="1" si="115"/>
        <v>0</v>
      </c>
      <c r="I769" s="8">
        <f t="shared" ca="1" si="116"/>
        <v>0</v>
      </c>
      <c r="J769" s="6" t="e">
        <f ca="1">_xll.xlqxhSMA($C769,$L$4,$J$7,$K$3)</f>
        <v>#NAME?</v>
      </c>
      <c r="K769" s="7" t="e">
        <f ca="1">_xll.xlqhClose($C769,K$8,$K$3)</f>
        <v>#NAME?</v>
      </c>
      <c r="L769" s="7" t="e">
        <f ca="1">_xll.xlqhClose($C769,L$8,$K$3)</f>
        <v>#NAME?</v>
      </c>
      <c r="N769" s="9">
        <f t="shared" ca="1" si="117"/>
        <v>1</v>
      </c>
      <c r="O769" s="9">
        <f t="shared" ca="1" si="118"/>
        <v>1</v>
      </c>
      <c r="P769" s="9">
        <f t="shared" ca="1" si="119"/>
        <v>1</v>
      </c>
      <c r="Q769" s="9">
        <f t="shared" ca="1" si="120"/>
        <v>1</v>
      </c>
      <c r="R769" s="9">
        <f t="shared" ca="1" si="121"/>
        <v>0</v>
      </c>
    </row>
    <row r="770" spans="2:18" x14ac:dyDescent="0.25">
      <c r="B770" s="17" t="s">
        <v>1729</v>
      </c>
      <c r="C770" s="18" t="s">
        <v>1730</v>
      </c>
      <c r="D770" s="7" t="e">
        <f ca="1">_xll.xlqPrice(C770)</f>
        <v>#NAME?</v>
      </c>
      <c r="E770" s="9" t="e">
        <f t="shared" ca="1" si="112"/>
        <v>#NAME?</v>
      </c>
      <c r="F770" s="9">
        <f t="shared" ca="1" si="113"/>
        <v>1</v>
      </c>
      <c r="G770" s="8">
        <f t="shared" ca="1" si="114"/>
        <v>0</v>
      </c>
      <c r="H770" s="8">
        <f t="shared" ca="1" si="115"/>
        <v>0</v>
      </c>
      <c r="I770" s="8">
        <f t="shared" ca="1" si="116"/>
        <v>0</v>
      </c>
      <c r="J770" s="6" t="e">
        <f ca="1">_xll.xlqxhSMA($C770,$L$4,$J$7,$K$3)</f>
        <v>#NAME?</v>
      </c>
      <c r="K770" s="7" t="e">
        <f ca="1">_xll.xlqhClose($C770,K$8,$K$3)</f>
        <v>#NAME?</v>
      </c>
      <c r="L770" s="7" t="e">
        <f ca="1">_xll.xlqhClose($C770,L$8,$K$3)</f>
        <v>#NAME?</v>
      </c>
      <c r="N770" s="9">
        <f t="shared" ca="1" si="117"/>
        <v>1</v>
      </c>
      <c r="O770" s="9">
        <f t="shared" ca="1" si="118"/>
        <v>1</v>
      </c>
      <c r="P770" s="9">
        <f t="shared" ca="1" si="119"/>
        <v>1</v>
      </c>
      <c r="Q770" s="9">
        <f t="shared" ca="1" si="120"/>
        <v>1</v>
      </c>
      <c r="R770" s="9">
        <f t="shared" ca="1" si="121"/>
        <v>0</v>
      </c>
    </row>
    <row r="771" spans="2:18" x14ac:dyDescent="0.25">
      <c r="B771" s="17" t="s">
        <v>1533</v>
      </c>
      <c r="C771" s="18" t="s">
        <v>1534</v>
      </c>
      <c r="D771" s="7" t="e">
        <f ca="1">_xll.xlqPrice(C771)</f>
        <v>#NAME?</v>
      </c>
      <c r="E771" s="9" t="e">
        <f t="shared" ca="1" si="112"/>
        <v>#NAME?</v>
      </c>
      <c r="F771" s="9">
        <f t="shared" ca="1" si="113"/>
        <v>1</v>
      </c>
      <c r="G771" s="8">
        <f t="shared" ca="1" si="114"/>
        <v>0</v>
      </c>
      <c r="H771" s="8">
        <f t="shared" ca="1" si="115"/>
        <v>0</v>
      </c>
      <c r="I771" s="8">
        <f t="shared" ca="1" si="116"/>
        <v>0</v>
      </c>
      <c r="J771" s="6" t="e">
        <f ca="1">_xll.xlqxhSMA($C771,$L$4,$J$7,$K$3)</f>
        <v>#NAME?</v>
      </c>
      <c r="K771" s="7" t="e">
        <f ca="1">_xll.xlqhClose($C771,K$8,$K$3)</f>
        <v>#NAME?</v>
      </c>
      <c r="L771" s="7" t="e">
        <f ca="1">_xll.xlqhClose($C771,L$8,$K$3)</f>
        <v>#NAME?</v>
      </c>
      <c r="N771" s="9">
        <f t="shared" ca="1" si="117"/>
        <v>1</v>
      </c>
      <c r="O771" s="9">
        <f t="shared" ca="1" si="118"/>
        <v>1</v>
      </c>
      <c r="P771" s="9">
        <f t="shared" ca="1" si="119"/>
        <v>1</v>
      </c>
      <c r="Q771" s="9">
        <f t="shared" ca="1" si="120"/>
        <v>1</v>
      </c>
      <c r="R771" s="9">
        <f t="shared" ca="1" si="121"/>
        <v>0</v>
      </c>
    </row>
    <row r="772" spans="2:18" x14ac:dyDescent="0.25">
      <c r="B772" s="17" t="s">
        <v>154</v>
      </c>
      <c r="C772" s="18" t="s">
        <v>155</v>
      </c>
      <c r="D772" s="7" t="e">
        <f ca="1">_xll.xlqPrice(C772)</f>
        <v>#NAME?</v>
      </c>
      <c r="E772" s="9" t="e">
        <f t="shared" ca="1" si="112"/>
        <v>#NAME?</v>
      </c>
      <c r="F772" s="9">
        <f t="shared" ca="1" si="113"/>
        <v>1</v>
      </c>
      <c r="G772" s="8">
        <f t="shared" ca="1" si="114"/>
        <v>0</v>
      </c>
      <c r="H772" s="8">
        <f t="shared" ca="1" si="115"/>
        <v>0</v>
      </c>
      <c r="I772" s="8">
        <f t="shared" ca="1" si="116"/>
        <v>0</v>
      </c>
      <c r="J772" s="6" t="e">
        <f ca="1">_xll.xlqxhSMA($C772,$L$4,$J$7,$K$3)</f>
        <v>#NAME?</v>
      </c>
      <c r="K772" s="7" t="e">
        <f ca="1">_xll.xlqhClose($C772,K$8,$K$3)</f>
        <v>#NAME?</v>
      </c>
      <c r="L772" s="7" t="e">
        <f ca="1">_xll.xlqhClose($C772,L$8,$K$3)</f>
        <v>#NAME?</v>
      </c>
      <c r="N772" s="9">
        <f t="shared" ca="1" si="117"/>
        <v>1</v>
      </c>
      <c r="O772" s="9">
        <f t="shared" ca="1" si="118"/>
        <v>1</v>
      </c>
      <c r="P772" s="9">
        <f t="shared" ca="1" si="119"/>
        <v>1</v>
      </c>
      <c r="Q772" s="9">
        <f t="shared" ca="1" si="120"/>
        <v>1</v>
      </c>
      <c r="R772" s="9">
        <f t="shared" ca="1" si="121"/>
        <v>0</v>
      </c>
    </row>
    <row r="773" spans="2:18" x14ac:dyDescent="0.25">
      <c r="B773" s="17" t="s">
        <v>390</v>
      </c>
      <c r="C773" s="18" t="s">
        <v>391</v>
      </c>
      <c r="D773" s="7" t="e">
        <f ca="1">_xll.xlqPrice(C773)</f>
        <v>#NAME?</v>
      </c>
      <c r="E773" s="9" t="e">
        <f t="shared" ca="1" si="112"/>
        <v>#NAME?</v>
      </c>
      <c r="F773" s="9">
        <f t="shared" ca="1" si="113"/>
        <v>1</v>
      </c>
      <c r="G773" s="8">
        <f t="shared" ca="1" si="114"/>
        <v>0</v>
      </c>
      <c r="H773" s="8">
        <f t="shared" ca="1" si="115"/>
        <v>0</v>
      </c>
      <c r="I773" s="8">
        <f t="shared" ca="1" si="116"/>
        <v>0</v>
      </c>
      <c r="J773" s="6" t="e">
        <f ca="1">_xll.xlqxhSMA($C773,$L$4,$J$7,$K$3)</f>
        <v>#NAME?</v>
      </c>
      <c r="K773" s="7" t="e">
        <f ca="1">_xll.xlqhClose($C773,K$8,$K$3)</f>
        <v>#NAME?</v>
      </c>
      <c r="L773" s="7" t="e">
        <f ca="1">_xll.xlqhClose($C773,L$8,$K$3)</f>
        <v>#NAME?</v>
      </c>
      <c r="N773" s="9">
        <f t="shared" ca="1" si="117"/>
        <v>1</v>
      </c>
      <c r="O773" s="9">
        <f t="shared" ca="1" si="118"/>
        <v>1</v>
      </c>
      <c r="P773" s="9">
        <f t="shared" ca="1" si="119"/>
        <v>1</v>
      </c>
      <c r="Q773" s="9">
        <f t="shared" ca="1" si="120"/>
        <v>1</v>
      </c>
      <c r="R773" s="9">
        <f t="shared" ca="1" si="121"/>
        <v>0</v>
      </c>
    </row>
    <row r="774" spans="2:18" x14ac:dyDescent="0.25">
      <c r="B774" s="17" t="s">
        <v>670</v>
      </c>
      <c r="C774" s="18" t="s">
        <v>671</v>
      </c>
      <c r="D774" s="7" t="e">
        <f ca="1">_xll.xlqPrice(C774)</f>
        <v>#NAME?</v>
      </c>
      <c r="E774" s="9" t="e">
        <f t="shared" ca="1" si="112"/>
        <v>#NAME?</v>
      </c>
      <c r="F774" s="9">
        <f t="shared" ca="1" si="113"/>
        <v>1</v>
      </c>
      <c r="G774" s="8">
        <f t="shared" ca="1" si="114"/>
        <v>0</v>
      </c>
      <c r="H774" s="8">
        <f t="shared" ca="1" si="115"/>
        <v>0</v>
      </c>
      <c r="I774" s="8">
        <f t="shared" ca="1" si="116"/>
        <v>0</v>
      </c>
      <c r="J774" s="6" t="e">
        <f ca="1">_xll.xlqxhSMA($C774,$L$4,$J$7,$K$3)</f>
        <v>#NAME?</v>
      </c>
      <c r="K774" s="7" t="e">
        <f ca="1">_xll.xlqhClose($C774,K$8,$K$3)</f>
        <v>#NAME?</v>
      </c>
      <c r="L774" s="7" t="e">
        <f ca="1">_xll.xlqhClose($C774,L$8,$K$3)</f>
        <v>#NAME?</v>
      </c>
      <c r="N774" s="9">
        <f t="shared" ca="1" si="117"/>
        <v>1</v>
      </c>
      <c r="O774" s="9">
        <f t="shared" ca="1" si="118"/>
        <v>1</v>
      </c>
      <c r="P774" s="9">
        <f t="shared" ca="1" si="119"/>
        <v>1</v>
      </c>
      <c r="Q774" s="9">
        <f t="shared" ca="1" si="120"/>
        <v>1</v>
      </c>
      <c r="R774" s="9">
        <f t="shared" ca="1" si="121"/>
        <v>0</v>
      </c>
    </row>
    <row r="775" spans="2:18" x14ac:dyDescent="0.25">
      <c r="B775" t="s">
        <v>1223</v>
      </c>
      <c r="C775" s="39" t="s">
        <v>1224</v>
      </c>
      <c r="D775" s="7" t="e">
        <f ca="1">_xll.xlqPrice(C775)</f>
        <v>#NAME?</v>
      </c>
      <c r="E775" s="9" t="e">
        <f t="shared" ca="1" si="112"/>
        <v>#NAME?</v>
      </c>
      <c r="F775" s="9">
        <f t="shared" ca="1" si="113"/>
        <v>1</v>
      </c>
      <c r="G775" s="8">
        <f t="shared" ca="1" si="114"/>
        <v>0</v>
      </c>
      <c r="H775" s="8">
        <f t="shared" ca="1" si="115"/>
        <v>0</v>
      </c>
      <c r="I775" s="8">
        <f t="shared" ca="1" si="116"/>
        <v>0</v>
      </c>
      <c r="J775" s="6" t="e">
        <f ca="1">_xll.xlqxhSMA($C775,$L$4,$J$7,$K$3)</f>
        <v>#NAME?</v>
      </c>
      <c r="K775" s="7" t="e">
        <f ca="1">_xll.xlqhClose($C775,K$8,$K$3)</f>
        <v>#NAME?</v>
      </c>
      <c r="L775" s="7" t="e">
        <f ca="1">_xll.xlqhClose($C775,L$8,$K$3)</f>
        <v>#NAME?</v>
      </c>
      <c r="N775" s="9">
        <f t="shared" ca="1" si="117"/>
        <v>1</v>
      </c>
      <c r="O775" s="9">
        <f t="shared" ca="1" si="118"/>
        <v>1</v>
      </c>
      <c r="P775" s="9">
        <f t="shared" ca="1" si="119"/>
        <v>1</v>
      </c>
      <c r="Q775" s="9">
        <f t="shared" ca="1" si="120"/>
        <v>1</v>
      </c>
      <c r="R775" s="9">
        <f t="shared" ca="1" si="121"/>
        <v>0</v>
      </c>
    </row>
    <row r="776" spans="2:18" x14ac:dyDescent="0.25">
      <c r="B776" s="17" t="s">
        <v>999</v>
      </c>
      <c r="C776" s="18" t="s">
        <v>1000</v>
      </c>
      <c r="D776" s="7" t="e">
        <f ca="1">_xll.xlqPrice(C776)</f>
        <v>#NAME?</v>
      </c>
      <c r="E776" s="9" t="e">
        <f t="shared" ca="1" si="112"/>
        <v>#NAME?</v>
      </c>
      <c r="F776" s="9">
        <f t="shared" ca="1" si="113"/>
        <v>1</v>
      </c>
      <c r="G776" s="8">
        <f t="shared" ca="1" si="114"/>
        <v>0</v>
      </c>
      <c r="H776" s="8">
        <f t="shared" ca="1" si="115"/>
        <v>0</v>
      </c>
      <c r="I776" s="8">
        <f t="shared" ca="1" si="116"/>
        <v>0</v>
      </c>
      <c r="J776" s="6" t="e">
        <f ca="1">_xll.xlqxhSMA($C776,$L$4,$J$7,$K$3)</f>
        <v>#NAME?</v>
      </c>
      <c r="K776" s="7" t="e">
        <f ca="1">_xll.xlqhClose($C776,K$8,$K$3)</f>
        <v>#NAME?</v>
      </c>
      <c r="L776" s="7" t="e">
        <f ca="1">_xll.xlqhClose($C776,L$8,$K$3)</f>
        <v>#NAME?</v>
      </c>
      <c r="N776" s="9">
        <f t="shared" ca="1" si="117"/>
        <v>1</v>
      </c>
      <c r="O776" s="9">
        <f t="shared" ca="1" si="118"/>
        <v>1</v>
      </c>
      <c r="P776" s="9">
        <f t="shared" ca="1" si="119"/>
        <v>1</v>
      </c>
      <c r="Q776" s="9">
        <f t="shared" ca="1" si="120"/>
        <v>1</v>
      </c>
      <c r="R776" s="9">
        <f t="shared" ca="1" si="121"/>
        <v>0</v>
      </c>
    </row>
    <row r="777" spans="2:18" x14ac:dyDescent="0.25">
      <c r="B777" s="17" t="s">
        <v>1335</v>
      </c>
      <c r="C777" s="18" t="s">
        <v>1336</v>
      </c>
      <c r="D777" s="7" t="e">
        <f ca="1">_xll.xlqPrice(C777)</f>
        <v>#NAME?</v>
      </c>
      <c r="E777" s="9" t="e">
        <f t="shared" ca="1" si="112"/>
        <v>#NAME?</v>
      </c>
      <c r="F777" s="9">
        <f t="shared" ca="1" si="113"/>
        <v>1</v>
      </c>
      <c r="G777" s="8">
        <f t="shared" ca="1" si="114"/>
        <v>0</v>
      </c>
      <c r="H777" s="8">
        <f t="shared" ca="1" si="115"/>
        <v>0</v>
      </c>
      <c r="I777" s="8">
        <f t="shared" ca="1" si="116"/>
        <v>0</v>
      </c>
      <c r="J777" s="6" t="e">
        <f ca="1">_xll.xlqxhSMA($C777,$L$4,$J$7,$K$3)</f>
        <v>#NAME?</v>
      </c>
      <c r="K777" s="7" t="e">
        <f ca="1">_xll.xlqhClose($C777,K$8,$K$3)</f>
        <v>#NAME?</v>
      </c>
      <c r="L777" s="7" t="e">
        <f ca="1">_xll.xlqhClose($C777,L$8,$K$3)</f>
        <v>#NAME?</v>
      </c>
      <c r="N777" s="9">
        <f t="shared" ca="1" si="117"/>
        <v>1</v>
      </c>
      <c r="O777" s="9">
        <f t="shared" ca="1" si="118"/>
        <v>1</v>
      </c>
      <c r="P777" s="9">
        <f t="shared" ca="1" si="119"/>
        <v>1</v>
      </c>
      <c r="Q777" s="9">
        <f t="shared" ca="1" si="120"/>
        <v>1</v>
      </c>
      <c r="R777" s="9">
        <f t="shared" ca="1" si="121"/>
        <v>0</v>
      </c>
    </row>
    <row r="778" spans="2:18" x14ac:dyDescent="0.25">
      <c r="B778" t="s">
        <v>1255</v>
      </c>
      <c r="C778" s="39" t="s">
        <v>1256</v>
      </c>
      <c r="D778" s="7" t="e">
        <f ca="1">_xll.xlqPrice(C778)</f>
        <v>#NAME?</v>
      </c>
      <c r="E778" s="9" t="e">
        <f t="shared" ca="1" si="112"/>
        <v>#NAME?</v>
      </c>
      <c r="F778" s="9">
        <f t="shared" ca="1" si="113"/>
        <v>1</v>
      </c>
      <c r="G778" s="8">
        <f t="shared" ca="1" si="114"/>
        <v>0</v>
      </c>
      <c r="H778" s="8">
        <f t="shared" ca="1" si="115"/>
        <v>0</v>
      </c>
      <c r="I778" s="8">
        <f t="shared" ca="1" si="116"/>
        <v>0</v>
      </c>
      <c r="J778" s="6" t="e">
        <f ca="1">_xll.xlqxhSMA($C778,$L$4,$J$7,$K$3)</f>
        <v>#NAME?</v>
      </c>
      <c r="K778" s="7" t="e">
        <f ca="1">_xll.xlqhClose($C778,K$8,$K$3)</f>
        <v>#NAME?</v>
      </c>
      <c r="L778" s="7" t="e">
        <f ca="1">_xll.xlqhClose($C778,L$8,$K$3)</f>
        <v>#NAME?</v>
      </c>
      <c r="N778" s="9">
        <f t="shared" ca="1" si="117"/>
        <v>1</v>
      </c>
      <c r="O778" s="9">
        <f t="shared" ca="1" si="118"/>
        <v>1</v>
      </c>
      <c r="P778" s="9">
        <f t="shared" ca="1" si="119"/>
        <v>1</v>
      </c>
      <c r="Q778" s="9">
        <f t="shared" ca="1" si="120"/>
        <v>1</v>
      </c>
      <c r="R778" s="9">
        <f t="shared" ca="1" si="121"/>
        <v>0</v>
      </c>
    </row>
    <row r="779" spans="2:18" x14ac:dyDescent="0.25">
      <c r="B779" s="17" t="s">
        <v>636</v>
      </c>
      <c r="C779" s="18" t="s">
        <v>637</v>
      </c>
      <c r="D779" s="7" t="e">
        <f ca="1">_xll.xlqPrice(C779)</f>
        <v>#NAME?</v>
      </c>
      <c r="E779" s="9" t="e">
        <f t="shared" ref="E779:E842" ca="1" si="122">IF(D779&gt;J779, "Buy","Cash")</f>
        <v>#NAME?</v>
      </c>
      <c r="F779" s="9">
        <f t="shared" ref="F779:F842" ca="1" si="123">RANK(I779,$I$11:$I$1138,0)</f>
        <v>1</v>
      </c>
      <c r="G779" s="8">
        <f t="shared" ref="G779:G842" ca="1" si="124">IFERROR(($D779-K779)/K779,0)</f>
        <v>0</v>
      </c>
      <c r="H779" s="8">
        <f t="shared" ref="H779:H842" ca="1" si="125">IFERROR(($D779-L779)/L779,0)</f>
        <v>0</v>
      </c>
      <c r="I779" s="8">
        <f t="shared" ref="I779:I842" ca="1" si="126">IFERROR((G779*$G$8)+(H779*$H$8),0)</f>
        <v>0</v>
      </c>
      <c r="J779" s="6" t="e">
        <f ca="1">_xll.xlqxhSMA($C779,$L$4,$J$7,$K$3)</f>
        <v>#NAME?</v>
      </c>
      <c r="K779" s="7" t="e">
        <f ca="1">_xll.xlqhClose($C779,K$8,$K$3)</f>
        <v>#NAME?</v>
      </c>
      <c r="L779" s="7" t="e">
        <f ca="1">_xll.xlqhClose($C779,L$8,$K$3)</f>
        <v>#NAME?</v>
      </c>
      <c r="N779" s="9">
        <f t="shared" ref="N779:N842" ca="1" si="127">RANK($G779,G$11:G$1138,0)</f>
        <v>1</v>
      </c>
      <c r="O779" s="9">
        <f t="shared" ref="O779:O842" ca="1" si="128">RANK($H779,H$11:H$1138,0)</f>
        <v>1</v>
      </c>
      <c r="P779" s="9">
        <f t="shared" ref="P779:P842" ca="1" si="129">RANK($I779,I$11:I$1138,0)</f>
        <v>1</v>
      </c>
      <c r="Q779" s="9">
        <f t="shared" ref="Q779:Q842" ca="1" si="130">RANK($P779,P$11:P$1138,1)</f>
        <v>1</v>
      </c>
      <c r="R779" s="9">
        <f t="shared" ref="R779:R842" ca="1" si="131">F779-Q779</f>
        <v>0</v>
      </c>
    </row>
    <row r="780" spans="2:18" x14ac:dyDescent="0.25">
      <c r="B780" t="s">
        <v>1579</v>
      </c>
      <c r="C780" s="39" t="s">
        <v>1580</v>
      </c>
      <c r="D780" s="7" t="e">
        <f ca="1">_xll.xlqPrice(C780)</f>
        <v>#NAME?</v>
      </c>
      <c r="E780" s="9" t="e">
        <f t="shared" ca="1" si="122"/>
        <v>#NAME?</v>
      </c>
      <c r="F780" s="9">
        <f t="shared" ca="1" si="123"/>
        <v>1</v>
      </c>
      <c r="G780" s="8">
        <f t="shared" ca="1" si="124"/>
        <v>0</v>
      </c>
      <c r="H780" s="8">
        <f t="shared" ca="1" si="125"/>
        <v>0</v>
      </c>
      <c r="I780" s="8">
        <f t="shared" ca="1" si="126"/>
        <v>0</v>
      </c>
      <c r="J780" s="6" t="e">
        <f ca="1">_xll.xlqxhSMA($C780,$L$4,$J$7,$K$3)</f>
        <v>#NAME?</v>
      </c>
      <c r="K780" s="7" t="e">
        <f ca="1">_xll.xlqhClose($C780,K$8,$K$3)</f>
        <v>#NAME?</v>
      </c>
      <c r="L780" s="7" t="e">
        <f ca="1">_xll.xlqhClose($C780,L$8,$K$3)</f>
        <v>#NAME?</v>
      </c>
      <c r="N780" s="9">
        <f t="shared" ca="1" si="127"/>
        <v>1</v>
      </c>
      <c r="O780" s="9">
        <f t="shared" ca="1" si="128"/>
        <v>1</v>
      </c>
      <c r="P780" s="9">
        <f t="shared" ca="1" si="129"/>
        <v>1</v>
      </c>
      <c r="Q780" s="9">
        <f t="shared" ca="1" si="130"/>
        <v>1</v>
      </c>
      <c r="R780" s="9">
        <f t="shared" ca="1" si="131"/>
        <v>0</v>
      </c>
    </row>
    <row r="781" spans="2:18" x14ac:dyDescent="0.25">
      <c r="B781" t="s">
        <v>1553</v>
      </c>
      <c r="C781" s="39" t="s">
        <v>1554</v>
      </c>
      <c r="D781" s="7" t="e">
        <f ca="1">_xll.xlqPrice(C781)</f>
        <v>#NAME?</v>
      </c>
      <c r="E781" s="9" t="e">
        <f t="shared" ca="1" si="122"/>
        <v>#NAME?</v>
      </c>
      <c r="F781" s="9">
        <f t="shared" ca="1" si="123"/>
        <v>1</v>
      </c>
      <c r="G781" s="8">
        <f t="shared" ca="1" si="124"/>
        <v>0</v>
      </c>
      <c r="H781" s="8">
        <f t="shared" ca="1" si="125"/>
        <v>0</v>
      </c>
      <c r="I781" s="8">
        <f t="shared" ca="1" si="126"/>
        <v>0</v>
      </c>
      <c r="J781" s="6" t="e">
        <f ca="1">_xll.xlqxhSMA($C781,$L$4,$J$7,$K$3)</f>
        <v>#NAME?</v>
      </c>
      <c r="K781" s="7" t="e">
        <f ca="1">_xll.xlqhClose($C781,K$8,$K$3)</f>
        <v>#NAME?</v>
      </c>
      <c r="L781" s="7" t="e">
        <f ca="1">_xll.xlqhClose($C781,L$8,$K$3)</f>
        <v>#NAME?</v>
      </c>
      <c r="N781" s="9">
        <f t="shared" ca="1" si="127"/>
        <v>1</v>
      </c>
      <c r="O781" s="9">
        <f t="shared" ca="1" si="128"/>
        <v>1</v>
      </c>
      <c r="P781" s="9">
        <f t="shared" ca="1" si="129"/>
        <v>1</v>
      </c>
      <c r="Q781" s="9">
        <f t="shared" ca="1" si="130"/>
        <v>1</v>
      </c>
      <c r="R781" s="9">
        <f t="shared" ca="1" si="131"/>
        <v>0</v>
      </c>
    </row>
    <row r="782" spans="2:18" x14ac:dyDescent="0.25">
      <c r="B782" s="17" t="s">
        <v>1749</v>
      </c>
      <c r="C782" s="18" t="s">
        <v>1750</v>
      </c>
      <c r="D782" s="7" t="e">
        <f ca="1">_xll.xlqPrice(C782)</f>
        <v>#NAME?</v>
      </c>
      <c r="E782" s="9" t="e">
        <f t="shared" ca="1" si="122"/>
        <v>#NAME?</v>
      </c>
      <c r="F782" s="9">
        <f t="shared" ca="1" si="123"/>
        <v>1</v>
      </c>
      <c r="G782" s="8">
        <f t="shared" ca="1" si="124"/>
        <v>0</v>
      </c>
      <c r="H782" s="8">
        <f t="shared" ca="1" si="125"/>
        <v>0</v>
      </c>
      <c r="I782" s="8">
        <f t="shared" ca="1" si="126"/>
        <v>0</v>
      </c>
      <c r="J782" s="6" t="e">
        <f ca="1">_xll.xlqxhSMA($C782,$L$4,$J$7,$K$3)</f>
        <v>#NAME?</v>
      </c>
      <c r="K782" s="7" t="e">
        <f ca="1">_xll.xlqhClose($C782,K$8,$K$3)</f>
        <v>#NAME?</v>
      </c>
      <c r="L782" s="7" t="e">
        <f ca="1">_xll.xlqhClose($C782,L$8,$K$3)</f>
        <v>#NAME?</v>
      </c>
      <c r="N782" s="9">
        <f t="shared" ca="1" si="127"/>
        <v>1</v>
      </c>
      <c r="O782" s="9">
        <f t="shared" ca="1" si="128"/>
        <v>1</v>
      </c>
      <c r="P782" s="9">
        <f t="shared" ca="1" si="129"/>
        <v>1</v>
      </c>
      <c r="Q782" s="9">
        <f t="shared" ca="1" si="130"/>
        <v>1</v>
      </c>
      <c r="R782" s="9">
        <f t="shared" ca="1" si="131"/>
        <v>0</v>
      </c>
    </row>
    <row r="783" spans="2:18" x14ac:dyDescent="0.25">
      <c r="B783" t="s">
        <v>2005</v>
      </c>
      <c r="C783" s="39" t="s">
        <v>2006</v>
      </c>
      <c r="D783" s="7" t="e">
        <f ca="1">_xll.xlqPrice(C783)</f>
        <v>#NAME?</v>
      </c>
      <c r="E783" s="9" t="e">
        <f t="shared" ca="1" si="122"/>
        <v>#NAME?</v>
      </c>
      <c r="F783" s="9">
        <f t="shared" ca="1" si="123"/>
        <v>1</v>
      </c>
      <c r="G783" s="8">
        <f t="shared" ca="1" si="124"/>
        <v>0</v>
      </c>
      <c r="H783" s="8">
        <f t="shared" ca="1" si="125"/>
        <v>0</v>
      </c>
      <c r="I783" s="8">
        <f t="shared" ca="1" si="126"/>
        <v>0</v>
      </c>
      <c r="J783" s="6" t="e">
        <f ca="1">_xll.xlqxhSMA($C783,$L$4,$J$7,$K$3)</f>
        <v>#NAME?</v>
      </c>
      <c r="K783" s="7" t="e">
        <f ca="1">_xll.xlqhClose($C783,K$8,$K$3)</f>
        <v>#NAME?</v>
      </c>
      <c r="L783" s="7" t="e">
        <f ca="1">_xll.xlqhClose($C783,L$8,$K$3)</f>
        <v>#NAME?</v>
      </c>
      <c r="N783" s="9">
        <f t="shared" ca="1" si="127"/>
        <v>1</v>
      </c>
      <c r="O783" s="9">
        <f t="shared" ca="1" si="128"/>
        <v>1</v>
      </c>
      <c r="P783" s="9">
        <f t="shared" ca="1" si="129"/>
        <v>1</v>
      </c>
      <c r="Q783" s="9">
        <f t="shared" ca="1" si="130"/>
        <v>1</v>
      </c>
      <c r="R783" s="9">
        <f t="shared" ca="1" si="131"/>
        <v>0</v>
      </c>
    </row>
    <row r="784" spans="2:18" x14ac:dyDescent="0.25">
      <c r="B784" s="17" t="s">
        <v>1605</v>
      </c>
      <c r="C784" s="18" t="s">
        <v>1606</v>
      </c>
      <c r="D784" s="7" t="e">
        <f ca="1">_xll.xlqPrice(C784)</f>
        <v>#NAME?</v>
      </c>
      <c r="E784" s="9" t="e">
        <f t="shared" ca="1" si="122"/>
        <v>#NAME?</v>
      </c>
      <c r="F784" s="9">
        <f t="shared" ca="1" si="123"/>
        <v>1</v>
      </c>
      <c r="G784" s="8">
        <f t="shared" ca="1" si="124"/>
        <v>0</v>
      </c>
      <c r="H784" s="8">
        <f t="shared" ca="1" si="125"/>
        <v>0</v>
      </c>
      <c r="I784" s="8">
        <f t="shared" ca="1" si="126"/>
        <v>0</v>
      </c>
      <c r="J784" s="6" t="e">
        <f ca="1">_xll.xlqxhSMA($C784,$L$4,$J$7,$K$3)</f>
        <v>#NAME?</v>
      </c>
      <c r="K784" s="7" t="e">
        <f ca="1">_xll.xlqhClose($C784,K$8,$K$3)</f>
        <v>#NAME?</v>
      </c>
      <c r="L784" s="7" t="e">
        <f ca="1">_xll.xlqhClose($C784,L$8,$K$3)</f>
        <v>#NAME?</v>
      </c>
      <c r="N784" s="9">
        <f t="shared" ca="1" si="127"/>
        <v>1</v>
      </c>
      <c r="O784" s="9">
        <f t="shared" ca="1" si="128"/>
        <v>1</v>
      </c>
      <c r="P784" s="9">
        <f t="shared" ca="1" si="129"/>
        <v>1</v>
      </c>
      <c r="Q784" s="9">
        <f t="shared" ca="1" si="130"/>
        <v>1</v>
      </c>
      <c r="R784" s="9">
        <f t="shared" ca="1" si="131"/>
        <v>0</v>
      </c>
    </row>
    <row r="785" spans="2:18" x14ac:dyDescent="0.25">
      <c r="B785" t="s">
        <v>2031</v>
      </c>
      <c r="C785" s="39" t="s">
        <v>2032</v>
      </c>
      <c r="D785" s="7" t="e">
        <f ca="1">_xll.xlqPrice(C785)</f>
        <v>#NAME?</v>
      </c>
      <c r="E785" s="9" t="e">
        <f t="shared" ca="1" si="122"/>
        <v>#NAME?</v>
      </c>
      <c r="F785" s="9">
        <f t="shared" ca="1" si="123"/>
        <v>1</v>
      </c>
      <c r="G785" s="8">
        <f t="shared" ca="1" si="124"/>
        <v>0</v>
      </c>
      <c r="H785" s="8">
        <f t="shared" ca="1" si="125"/>
        <v>0</v>
      </c>
      <c r="I785" s="8">
        <f t="shared" ca="1" si="126"/>
        <v>0</v>
      </c>
      <c r="J785" s="6" t="e">
        <f ca="1">_xll.xlqxhSMA($C785,$L$4,$J$7,$K$3)</f>
        <v>#NAME?</v>
      </c>
      <c r="K785" s="7" t="e">
        <f ca="1">_xll.xlqhClose($C785,K$8,$K$3)</f>
        <v>#NAME?</v>
      </c>
      <c r="L785" s="7" t="e">
        <f ca="1">_xll.xlqhClose($C785,L$8,$K$3)</f>
        <v>#NAME?</v>
      </c>
      <c r="N785" s="9">
        <f t="shared" ca="1" si="127"/>
        <v>1</v>
      </c>
      <c r="O785" s="9">
        <f t="shared" ca="1" si="128"/>
        <v>1</v>
      </c>
      <c r="P785" s="9">
        <f t="shared" ca="1" si="129"/>
        <v>1</v>
      </c>
      <c r="Q785" s="9">
        <f t="shared" ca="1" si="130"/>
        <v>1</v>
      </c>
      <c r="R785" s="9">
        <f t="shared" ca="1" si="131"/>
        <v>0</v>
      </c>
    </row>
    <row r="786" spans="2:18" x14ac:dyDescent="0.25">
      <c r="B786" s="17" t="s">
        <v>428</v>
      </c>
      <c r="C786" s="18" t="s">
        <v>429</v>
      </c>
      <c r="D786" s="7" t="e">
        <f ca="1">_xll.xlqPrice(C786)</f>
        <v>#NAME?</v>
      </c>
      <c r="E786" s="9" t="e">
        <f t="shared" ca="1" si="122"/>
        <v>#NAME?</v>
      </c>
      <c r="F786" s="9">
        <f t="shared" ca="1" si="123"/>
        <v>1</v>
      </c>
      <c r="G786" s="8">
        <f t="shared" ca="1" si="124"/>
        <v>0</v>
      </c>
      <c r="H786" s="8">
        <f t="shared" ca="1" si="125"/>
        <v>0</v>
      </c>
      <c r="I786" s="8">
        <f t="shared" ca="1" si="126"/>
        <v>0</v>
      </c>
      <c r="J786" s="6" t="e">
        <f ca="1">_xll.xlqxhSMA($C786,$L$4,$J$7,$K$3)</f>
        <v>#NAME?</v>
      </c>
      <c r="K786" s="7" t="e">
        <f ca="1">_xll.xlqhClose($C786,K$8,$K$3)</f>
        <v>#NAME?</v>
      </c>
      <c r="L786" s="7" t="e">
        <f ca="1">_xll.xlqhClose($C786,L$8,$K$3)</f>
        <v>#NAME?</v>
      </c>
      <c r="N786" s="9">
        <f t="shared" ca="1" si="127"/>
        <v>1</v>
      </c>
      <c r="O786" s="9">
        <f t="shared" ca="1" si="128"/>
        <v>1</v>
      </c>
      <c r="P786" s="9">
        <f t="shared" ca="1" si="129"/>
        <v>1</v>
      </c>
      <c r="Q786" s="9">
        <f t="shared" ca="1" si="130"/>
        <v>1</v>
      </c>
      <c r="R786" s="9">
        <f t="shared" ca="1" si="131"/>
        <v>0</v>
      </c>
    </row>
    <row r="787" spans="2:18" x14ac:dyDescent="0.25">
      <c r="B787" t="s">
        <v>466</v>
      </c>
      <c r="C787" s="39" t="s">
        <v>467</v>
      </c>
      <c r="D787" s="7" t="e">
        <f ca="1">_xll.xlqPrice(C787)</f>
        <v>#NAME?</v>
      </c>
      <c r="E787" s="9" t="e">
        <f t="shared" ca="1" si="122"/>
        <v>#NAME?</v>
      </c>
      <c r="F787" s="9">
        <f t="shared" ca="1" si="123"/>
        <v>1</v>
      </c>
      <c r="G787" s="8">
        <f t="shared" ca="1" si="124"/>
        <v>0</v>
      </c>
      <c r="H787" s="8">
        <f t="shared" ca="1" si="125"/>
        <v>0</v>
      </c>
      <c r="I787" s="8">
        <f t="shared" ca="1" si="126"/>
        <v>0</v>
      </c>
      <c r="J787" s="6" t="e">
        <f ca="1">_xll.xlqxhSMA($C787,$L$4,$J$7,$K$3)</f>
        <v>#NAME?</v>
      </c>
      <c r="K787" s="7" t="e">
        <f ca="1">_xll.xlqhClose($C787,K$8,$K$3)</f>
        <v>#NAME?</v>
      </c>
      <c r="L787" s="7" t="e">
        <f ca="1">_xll.xlqhClose($C787,L$8,$K$3)</f>
        <v>#NAME?</v>
      </c>
      <c r="N787" s="9">
        <f t="shared" ca="1" si="127"/>
        <v>1</v>
      </c>
      <c r="O787" s="9">
        <f t="shared" ca="1" si="128"/>
        <v>1</v>
      </c>
      <c r="P787" s="9">
        <f t="shared" ca="1" si="129"/>
        <v>1</v>
      </c>
      <c r="Q787" s="9">
        <f t="shared" ca="1" si="130"/>
        <v>1</v>
      </c>
      <c r="R787" s="9">
        <f t="shared" ca="1" si="131"/>
        <v>0</v>
      </c>
    </row>
    <row r="788" spans="2:18" x14ac:dyDescent="0.25">
      <c r="B788" s="17" t="s">
        <v>2047</v>
      </c>
      <c r="C788" s="18" t="s">
        <v>2048</v>
      </c>
      <c r="D788" s="7" t="e">
        <f ca="1">_xll.xlqPrice(C788)</f>
        <v>#NAME?</v>
      </c>
      <c r="E788" s="9" t="e">
        <f t="shared" ca="1" si="122"/>
        <v>#NAME?</v>
      </c>
      <c r="F788" s="9">
        <f t="shared" ca="1" si="123"/>
        <v>1</v>
      </c>
      <c r="G788" s="8">
        <f t="shared" ca="1" si="124"/>
        <v>0</v>
      </c>
      <c r="H788" s="8">
        <f t="shared" ca="1" si="125"/>
        <v>0</v>
      </c>
      <c r="I788" s="8">
        <f t="shared" ca="1" si="126"/>
        <v>0</v>
      </c>
      <c r="J788" s="6" t="e">
        <f ca="1">_xll.xlqxhSMA($C788,$L$4,$J$7,$K$3)</f>
        <v>#NAME?</v>
      </c>
      <c r="K788" s="7" t="e">
        <f ca="1">_xll.xlqhClose($C788,K$8,$K$3)</f>
        <v>#NAME?</v>
      </c>
      <c r="L788" s="7" t="e">
        <f ca="1">_xll.xlqhClose($C788,L$8,$K$3)</f>
        <v>#NAME?</v>
      </c>
      <c r="N788" s="9">
        <f t="shared" ca="1" si="127"/>
        <v>1</v>
      </c>
      <c r="O788" s="9">
        <f t="shared" ca="1" si="128"/>
        <v>1</v>
      </c>
      <c r="P788" s="9">
        <f t="shared" ca="1" si="129"/>
        <v>1</v>
      </c>
      <c r="Q788" s="9">
        <f t="shared" ca="1" si="130"/>
        <v>1</v>
      </c>
      <c r="R788" s="9">
        <f t="shared" ca="1" si="131"/>
        <v>0</v>
      </c>
    </row>
    <row r="789" spans="2:18" x14ac:dyDescent="0.25">
      <c r="B789" s="17" t="s">
        <v>1167</v>
      </c>
      <c r="C789" s="18" t="s">
        <v>1168</v>
      </c>
      <c r="D789" s="7" t="e">
        <f ca="1">_xll.xlqPrice(C789)</f>
        <v>#NAME?</v>
      </c>
      <c r="E789" s="9" t="e">
        <f t="shared" ca="1" si="122"/>
        <v>#NAME?</v>
      </c>
      <c r="F789" s="9">
        <f t="shared" ca="1" si="123"/>
        <v>1</v>
      </c>
      <c r="G789" s="8">
        <f t="shared" ca="1" si="124"/>
        <v>0</v>
      </c>
      <c r="H789" s="8">
        <f t="shared" ca="1" si="125"/>
        <v>0</v>
      </c>
      <c r="I789" s="8">
        <f t="shared" ca="1" si="126"/>
        <v>0</v>
      </c>
      <c r="J789" s="6" t="e">
        <f ca="1">_xll.xlqxhSMA($C789,$L$4,$J$7,$K$3)</f>
        <v>#NAME?</v>
      </c>
      <c r="K789" s="7" t="e">
        <f ca="1">_xll.xlqhClose($C789,K$8,$K$3)</f>
        <v>#NAME?</v>
      </c>
      <c r="L789" s="7" t="e">
        <f ca="1">_xll.xlqhClose($C789,L$8,$K$3)</f>
        <v>#NAME?</v>
      </c>
      <c r="N789" s="9">
        <f t="shared" ca="1" si="127"/>
        <v>1</v>
      </c>
      <c r="O789" s="9">
        <f t="shared" ca="1" si="128"/>
        <v>1</v>
      </c>
      <c r="P789" s="9">
        <f t="shared" ca="1" si="129"/>
        <v>1</v>
      </c>
      <c r="Q789" s="9">
        <f t="shared" ca="1" si="130"/>
        <v>1</v>
      </c>
      <c r="R789" s="9">
        <f t="shared" ca="1" si="131"/>
        <v>0</v>
      </c>
    </row>
    <row r="790" spans="2:18" x14ac:dyDescent="0.25">
      <c r="B790" s="17" t="s">
        <v>752</v>
      </c>
      <c r="C790" s="18" t="s">
        <v>753</v>
      </c>
      <c r="D790" s="7" t="e">
        <f ca="1">_xll.xlqPrice(C790)</f>
        <v>#NAME?</v>
      </c>
      <c r="E790" s="9" t="e">
        <f t="shared" ca="1" si="122"/>
        <v>#NAME?</v>
      </c>
      <c r="F790" s="9">
        <f t="shared" ca="1" si="123"/>
        <v>1</v>
      </c>
      <c r="G790" s="8">
        <f t="shared" ca="1" si="124"/>
        <v>0</v>
      </c>
      <c r="H790" s="8">
        <f t="shared" ca="1" si="125"/>
        <v>0</v>
      </c>
      <c r="I790" s="8">
        <f t="shared" ca="1" si="126"/>
        <v>0</v>
      </c>
      <c r="J790" s="6" t="e">
        <f ca="1">_xll.xlqxhSMA($C790,$L$4,$J$7,$K$3)</f>
        <v>#NAME?</v>
      </c>
      <c r="K790" s="7" t="e">
        <f ca="1">_xll.xlqhClose($C790,K$8,$K$3)</f>
        <v>#NAME?</v>
      </c>
      <c r="L790" s="7" t="e">
        <f ca="1">_xll.xlqhClose($C790,L$8,$K$3)</f>
        <v>#NAME?</v>
      </c>
      <c r="N790" s="9">
        <f t="shared" ca="1" si="127"/>
        <v>1</v>
      </c>
      <c r="O790" s="9">
        <f t="shared" ca="1" si="128"/>
        <v>1</v>
      </c>
      <c r="P790" s="9">
        <f t="shared" ca="1" si="129"/>
        <v>1</v>
      </c>
      <c r="Q790" s="9">
        <f t="shared" ca="1" si="130"/>
        <v>1</v>
      </c>
      <c r="R790" s="9">
        <f t="shared" ca="1" si="131"/>
        <v>0</v>
      </c>
    </row>
    <row r="791" spans="2:18" x14ac:dyDescent="0.25">
      <c r="B791" t="s">
        <v>874</v>
      </c>
      <c r="C791" s="39" t="s">
        <v>875</v>
      </c>
      <c r="D791" s="7" t="e">
        <f ca="1">_xll.xlqPrice(C791)</f>
        <v>#NAME?</v>
      </c>
      <c r="E791" s="9" t="e">
        <f t="shared" ca="1" si="122"/>
        <v>#NAME?</v>
      </c>
      <c r="F791" s="9">
        <f t="shared" ca="1" si="123"/>
        <v>1</v>
      </c>
      <c r="G791" s="8">
        <f t="shared" ca="1" si="124"/>
        <v>0</v>
      </c>
      <c r="H791" s="8">
        <f t="shared" ca="1" si="125"/>
        <v>0</v>
      </c>
      <c r="I791" s="8">
        <f t="shared" ca="1" si="126"/>
        <v>0</v>
      </c>
      <c r="J791" s="6" t="e">
        <f ca="1">_xll.xlqxhSMA($C791,$L$4,$J$7,$K$3)</f>
        <v>#NAME?</v>
      </c>
      <c r="K791" s="7" t="e">
        <f ca="1">_xll.xlqhClose($C791,K$8,$K$3)</f>
        <v>#NAME?</v>
      </c>
      <c r="L791" s="7" t="e">
        <f ca="1">_xll.xlqhClose($C791,L$8,$K$3)</f>
        <v>#NAME?</v>
      </c>
      <c r="N791" s="9">
        <f t="shared" ca="1" si="127"/>
        <v>1</v>
      </c>
      <c r="O791" s="9">
        <f t="shared" ca="1" si="128"/>
        <v>1</v>
      </c>
      <c r="P791" s="9">
        <f t="shared" ca="1" si="129"/>
        <v>1</v>
      </c>
      <c r="Q791" s="9">
        <f t="shared" ca="1" si="130"/>
        <v>1</v>
      </c>
      <c r="R791" s="9">
        <f t="shared" ca="1" si="131"/>
        <v>0</v>
      </c>
    </row>
    <row r="792" spans="2:18" x14ac:dyDescent="0.25">
      <c r="B792" t="s">
        <v>979</v>
      </c>
      <c r="C792" s="39" t="s">
        <v>980</v>
      </c>
      <c r="D792" s="7" t="e">
        <f ca="1">_xll.xlqPrice(C792)</f>
        <v>#NAME?</v>
      </c>
      <c r="E792" s="9" t="e">
        <f t="shared" ca="1" si="122"/>
        <v>#NAME?</v>
      </c>
      <c r="F792" s="9">
        <f t="shared" ca="1" si="123"/>
        <v>1</v>
      </c>
      <c r="G792" s="8">
        <f t="shared" ca="1" si="124"/>
        <v>0</v>
      </c>
      <c r="H792" s="8">
        <f t="shared" ca="1" si="125"/>
        <v>0</v>
      </c>
      <c r="I792" s="8">
        <f t="shared" ca="1" si="126"/>
        <v>0</v>
      </c>
      <c r="J792" s="6" t="e">
        <f ca="1">_xll.xlqxhSMA($C792,$L$4,$J$7,$K$3)</f>
        <v>#NAME?</v>
      </c>
      <c r="K792" s="7" t="e">
        <f ca="1">_xll.xlqhClose($C792,K$8,$K$3)</f>
        <v>#NAME?</v>
      </c>
      <c r="L792" s="7" t="e">
        <f ca="1">_xll.xlqhClose($C792,L$8,$K$3)</f>
        <v>#NAME?</v>
      </c>
      <c r="N792" s="9">
        <f t="shared" ca="1" si="127"/>
        <v>1</v>
      </c>
      <c r="O792" s="9">
        <f t="shared" ca="1" si="128"/>
        <v>1</v>
      </c>
      <c r="P792" s="9">
        <f t="shared" ca="1" si="129"/>
        <v>1</v>
      </c>
      <c r="Q792" s="9">
        <f t="shared" ca="1" si="130"/>
        <v>1</v>
      </c>
      <c r="R792" s="9">
        <f t="shared" ca="1" si="131"/>
        <v>0</v>
      </c>
    </row>
    <row r="793" spans="2:18" x14ac:dyDescent="0.25">
      <c r="B793" s="17" t="s">
        <v>366</v>
      </c>
      <c r="C793" s="18" t="s">
        <v>367</v>
      </c>
      <c r="D793" s="7" t="e">
        <f ca="1">_xll.xlqPrice(C793)</f>
        <v>#NAME?</v>
      </c>
      <c r="E793" s="9" t="e">
        <f t="shared" ca="1" si="122"/>
        <v>#NAME?</v>
      </c>
      <c r="F793" s="9">
        <f t="shared" ca="1" si="123"/>
        <v>1</v>
      </c>
      <c r="G793" s="8">
        <f t="shared" ca="1" si="124"/>
        <v>0</v>
      </c>
      <c r="H793" s="8">
        <f t="shared" ca="1" si="125"/>
        <v>0</v>
      </c>
      <c r="I793" s="8">
        <f t="shared" ca="1" si="126"/>
        <v>0</v>
      </c>
      <c r="J793" s="6" t="e">
        <f ca="1">_xll.xlqxhSMA($C793,$L$4,$J$7,$K$3)</f>
        <v>#NAME?</v>
      </c>
      <c r="K793" s="7" t="e">
        <f ca="1">_xll.xlqhClose($C793,K$8,$K$3)</f>
        <v>#NAME?</v>
      </c>
      <c r="L793" s="7" t="e">
        <f ca="1">_xll.xlqhClose($C793,L$8,$K$3)</f>
        <v>#NAME?</v>
      </c>
      <c r="N793" s="9">
        <f t="shared" ca="1" si="127"/>
        <v>1</v>
      </c>
      <c r="O793" s="9">
        <f t="shared" ca="1" si="128"/>
        <v>1</v>
      </c>
      <c r="P793" s="9">
        <f t="shared" ca="1" si="129"/>
        <v>1</v>
      </c>
      <c r="Q793" s="9">
        <f t="shared" ca="1" si="130"/>
        <v>1</v>
      </c>
      <c r="R793" s="9">
        <f t="shared" ca="1" si="131"/>
        <v>0</v>
      </c>
    </row>
    <row r="794" spans="2:18" x14ac:dyDescent="0.25">
      <c r="B794" s="17" t="s">
        <v>2247</v>
      </c>
      <c r="C794" s="18" t="s">
        <v>2248</v>
      </c>
      <c r="D794" s="7" t="e">
        <f ca="1">_xll.xlqPrice(C794)</f>
        <v>#NAME?</v>
      </c>
      <c r="E794" s="9" t="e">
        <f t="shared" ca="1" si="122"/>
        <v>#NAME?</v>
      </c>
      <c r="F794" s="9">
        <f t="shared" ca="1" si="123"/>
        <v>1</v>
      </c>
      <c r="G794" s="8">
        <f t="shared" ca="1" si="124"/>
        <v>0</v>
      </c>
      <c r="H794" s="8">
        <f t="shared" ca="1" si="125"/>
        <v>0</v>
      </c>
      <c r="I794" s="8">
        <f t="shared" ca="1" si="126"/>
        <v>0</v>
      </c>
      <c r="J794" s="6" t="e">
        <f ca="1">_xll.xlqxhSMA($C794,$L$4,$J$7,$K$3)</f>
        <v>#NAME?</v>
      </c>
      <c r="K794" s="7" t="e">
        <f ca="1">_xll.xlqhClose($C794,K$8,$K$3)</f>
        <v>#NAME?</v>
      </c>
      <c r="L794" s="7" t="e">
        <f ca="1">_xll.xlqhClose($C794,L$8,$K$3)</f>
        <v>#NAME?</v>
      </c>
      <c r="N794" s="9">
        <f t="shared" ca="1" si="127"/>
        <v>1</v>
      </c>
      <c r="O794" s="9">
        <f t="shared" ca="1" si="128"/>
        <v>1</v>
      </c>
      <c r="P794" s="9">
        <f t="shared" ca="1" si="129"/>
        <v>1</v>
      </c>
      <c r="Q794" s="9">
        <f t="shared" ca="1" si="130"/>
        <v>1</v>
      </c>
      <c r="R794" s="9">
        <f t="shared" ca="1" si="131"/>
        <v>0</v>
      </c>
    </row>
    <row r="795" spans="2:18" x14ac:dyDescent="0.25">
      <c r="B795" s="17" t="s">
        <v>542</v>
      </c>
      <c r="C795" s="18" t="s">
        <v>543</v>
      </c>
      <c r="D795" s="7" t="e">
        <f ca="1">_xll.xlqPrice(C795)</f>
        <v>#NAME?</v>
      </c>
      <c r="E795" s="9" t="e">
        <f t="shared" ca="1" si="122"/>
        <v>#NAME?</v>
      </c>
      <c r="F795" s="9">
        <f t="shared" ca="1" si="123"/>
        <v>1</v>
      </c>
      <c r="G795" s="8">
        <f t="shared" ca="1" si="124"/>
        <v>0</v>
      </c>
      <c r="H795" s="8">
        <f t="shared" ca="1" si="125"/>
        <v>0</v>
      </c>
      <c r="I795" s="8">
        <f t="shared" ca="1" si="126"/>
        <v>0</v>
      </c>
      <c r="J795" s="6" t="e">
        <f ca="1">_xll.xlqxhSMA($C795,$L$4,$J$7,$K$3)</f>
        <v>#NAME?</v>
      </c>
      <c r="K795" s="7" t="e">
        <f ca="1">_xll.xlqhClose($C795,K$8,$K$3)</f>
        <v>#NAME?</v>
      </c>
      <c r="L795" s="7" t="e">
        <f ca="1">_xll.xlqhClose($C795,L$8,$K$3)</f>
        <v>#NAME?</v>
      </c>
      <c r="N795" s="9">
        <f t="shared" ca="1" si="127"/>
        <v>1</v>
      </c>
      <c r="O795" s="9">
        <f t="shared" ca="1" si="128"/>
        <v>1</v>
      </c>
      <c r="P795" s="9">
        <f t="shared" ca="1" si="129"/>
        <v>1</v>
      </c>
      <c r="Q795" s="9">
        <f t="shared" ca="1" si="130"/>
        <v>1</v>
      </c>
      <c r="R795" s="9">
        <f t="shared" ca="1" si="131"/>
        <v>0</v>
      </c>
    </row>
    <row r="796" spans="2:18" x14ac:dyDescent="0.25">
      <c r="B796" s="17" t="s">
        <v>2187</v>
      </c>
      <c r="C796" s="18" t="s">
        <v>2188</v>
      </c>
      <c r="D796" s="7" t="e">
        <f ca="1">_xll.xlqPrice(C796)</f>
        <v>#NAME?</v>
      </c>
      <c r="E796" s="9" t="e">
        <f t="shared" ca="1" si="122"/>
        <v>#NAME?</v>
      </c>
      <c r="F796" s="9">
        <f t="shared" ca="1" si="123"/>
        <v>1</v>
      </c>
      <c r="G796" s="8">
        <f t="shared" ca="1" si="124"/>
        <v>0</v>
      </c>
      <c r="H796" s="8">
        <f t="shared" ca="1" si="125"/>
        <v>0</v>
      </c>
      <c r="I796" s="8">
        <f t="shared" ca="1" si="126"/>
        <v>0</v>
      </c>
      <c r="J796" s="6" t="e">
        <f ca="1">_xll.xlqxhSMA($C796,$L$4,$J$7,$K$3)</f>
        <v>#NAME?</v>
      </c>
      <c r="K796" s="7" t="e">
        <f ca="1">_xll.xlqhClose($C796,K$8,$K$3)</f>
        <v>#NAME?</v>
      </c>
      <c r="L796" s="7" t="e">
        <f ca="1">_xll.xlqhClose($C796,L$8,$K$3)</f>
        <v>#NAME?</v>
      </c>
      <c r="N796" s="9">
        <f t="shared" ca="1" si="127"/>
        <v>1</v>
      </c>
      <c r="O796" s="9">
        <f t="shared" ca="1" si="128"/>
        <v>1</v>
      </c>
      <c r="P796" s="9">
        <f t="shared" ca="1" si="129"/>
        <v>1</v>
      </c>
      <c r="Q796" s="9">
        <f t="shared" ca="1" si="130"/>
        <v>1</v>
      </c>
      <c r="R796" s="9">
        <f t="shared" ca="1" si="131"/>
        <v>0</v>
      </c>
    </row>
    <row r="797" spans="2:18" x14ac:dyDescent="0.25">
      <c r="B797" s="17" t="s">
        <v>592</v>
      </c>
      <c r="C797" s="18" t="s">
        <v>593</v>
      </c>
      <c r="D797" s="7" t="e">
        <f ca="1">_xll.xlqPrice(C797)</f>
        <v>#NAME?</v>
      </c>
      <c r="E797" s="9" t="e">
        <f t="shared" ca="1" si="122"/>
        <v>#NAME?</v>
      </c>
      <c r="F797" s="9">
        <f t="shared" ca="1" si="123"/>
        <v>1</v>
      </c>
      <c r="G797" s="8">
        <f t="shared" ca="1" si="124"/>
        <v>0</v>
      </c>
      <c r="H797" s="8">
        <f t="shared" ca="1" si="125"/>
        <v>0</v>
      </c>
      <c r="I797" s="8">
        <f t="shared" ca="1" si="126"/>
        <v>0</v>
      </c>
      <c r="J797" s="6" t="e">
        <f ca="1">_xll.xlqxhSMA($C797,$L$4,$J$7,$K$3)</f>
        <v>#NAME?</v>
      </c>
      <c r="K797" s="7" t="e">
        <f ca="1">_xll.xlqhClose($C797,K$8,$K$3)</f>
        <v>#NAME?</v>
      </c>
      <c r="L797" s="7" t="e">
        <f ca="1">_xll.xlqhClose($C797,L$8,$K$3)</f>
        <v>#NAME?</v>
      </c>
      <c r="N797" s="9">
        <f t="shared" ca="1" si="127"/>
        <v>1</v>
      </c>
      <c r="O797" s="9">
        <f t="shared" ca="1" si="128"/>
        <v>1</v>
      </c>
      <c r="P797" s="9">
        <f t="shared" ca="1" si="129"/>
        <v>1</v>
      </c>
      <c r="Q797" s="9">
        <f t="shared" ca="1" si="130"/>
        <v>1</v>
      </c>
      <c r="R797" s="9">
        <f t="shared" ca="1" si="131"/>
        <v>0</v>
      </c>
    </row>
    <row r="798" spans="2:18" x14ac:dyDescent="0.25">
      <c r="B798" s="17" t="s">
        <v>378</v>
      </c>
      <c r="C798" s="18" t="s">
        <v>379</v>
      </c>
      <c r="D798" s="7" t="e">
        <f ca="1">_xll.xlqPrice(C798)</f>
        <v>#NAME?</v>
      </c>
      <c r="E798" s="9" t="e">
        <f t="shared" ca="1" si="122"/>
        <v>#NAME?</v>
      </c>
      <c r="F798" s="9">
        <f t="shared" ca="1" si="123"/>
        <v>1</v>
      </c>
      <c r="G798" s="8">
        <f t="shared" ca="1" si="124"/>
        <v>0</v>
      </c>
      <c r="H798" s="8">
        <f t="shared" ca="1" si="125"/>
        <v>0</v>
      </c>
      <c r="I798" s="8">
        <f t="shared" ca="1" si="126"/>
        <v>0</v>
      </c>
      <c r="J798" s="6" t="e">
        <f ca="1">_xll.xlqxhSMA($C798,$L$4,$J$7,$K$3)</f>
        <v>#NAME?</v>
      </c>
      <c r="K798" s="7" t="e">
        <f ca="1">_xll.xlqhClose($C798,K$8,$K$3)</f>
        <v>#NAME?</v>
      </c>
      <c r="L798" s="7" t="e">
        <f ca="1">_xll.xlqhClose($C798,L$8,$K$3)</f>
        <v>#NAME?</v>
      </c>
      <c r="N798" s="9">
        <f t="shared" ca="1" si="127"/>
        <v>1</v>
      </c>
      <c r="O798" s="9">
        <f t="shared" ca="1" si="128"/>
        <v>1</v>
      </c>
      <c r="P798" s="9">
        <f t="shared" ca="1" si="129"/>
        <v>1</v>
      </c>
      <c r="Q798" s="9">
        <f t="shared" ca="1" si="130"/>
        <v>1</v>
      </c>
      <c r="R798" s="9">
        <f t="shared" ca="1" si="131"/>
        <v>0</v>
      </c>
    </row>
    <row r="799" spans="2:18" x14ac:dyDescent="0.25">
      <c r="B799" s="17" t="s">
        <v>1237</v>
      </c>
      <c r="C799" s="18" t="s">
        <v>1238</v>
      </c>
      <c r="D799" s="7" t="e">
        <f ca="1">_xll.xlqPrice(C799)</f>
        <v>#NAME?</v>
      </c>
      <c r="E799" s="9" t="e">
        <f t="shared" ca="1" si="122"/>
        <v>#NAME?</v>
      </c>
      <c r="F799" s="9">
        <f t="shared" ca="1" si="123"/>
        <v>1</v>
      </c>
      <c r="G799" s="8">
        <f t="shared" ca="1" si="124"/>
        <v>0</v>
      </c>
      <c r="H799" s="8">
        <f t="shared" ca="1" si="125"/>
        <v>0</v>
      </c>
      <c r="I799" s="8">
        <f t="shared" ca="1" si="126"/>
        <v>0</v>
      </c>
      <c r="J799" s="6" t="e">
        <f ca="1">_xll.xlqxhSMA($C799,$L$4,$J$7,$K$3)</f>
        <v>#NAME?</v>
      </c>
      <c r="K799" s="7" t="e">
        <f ca="1">_xll.xlqhClose($C799,K$8,$K$3)</f>
        <v>#NAME?</v>
      </c>
      <c r="L799" s="7" t="e">
        <f ca="1">_xll.xlqhClose($C799,L$8,$K$3)</f>
        <v>#NAME?</v>
      </c>
      <c r="N799" s="9">
        <f t="shared" ca="1" si="127"/>
        <v>1</v>
      </c>
      <c r="O799" s="9">
        <f t="shared" ca="1" si="128"/>
        <v>1</v>
      </c>
      <c r="P799" s="9">
        <f t="shared" ca="1" si="129"/>
        <v>1</v>
      </c>
      <c r="Q799" s="9">
        <f t="shared" ca="1" si="130"/>
        <v>1</v>
      </c>
      <c r="R799" s="9">
        <f t="shared" ca="1" si="131"/>
        <v>0</v>
      </c>
    </row>
    <row r="800" spans="2:18" x14ac:dyDescent="0.25">
      <c r="B800" s="17" t="s">
        <v>2217</v>
      </c>
      <c r="C800" s="18" t="s">
        <v>2218</v>
      </c>
      <c r="D800" s="7" t="e">
        <f ca="1">_xll.xlqPrice(C800)</f>
        <v>#NAME?</v>
      </c>
      <c r="E800" s="9" t="e">
        <f t="shared" ca="1" si="122"/>
        <v>#NAME?</v>
      </c>
      <c r="F800" s="9">
        <f t="shared" ca="1" si="123"/>
        <v>1</v>
      </c>
      <c r="G800" s="8">
        <f t="shared" ca="1" si="124"/>
        <v>0</v>
      </c>
      <c r="H800" s="8">
        <f t="shared" ca="1" si="125"/>
        <v>0</v>
      </c>
      <c r="I800" s="8">
        <f t="shared" ca="1" si="126"/>
        <v>0</v>
      </c>
      <c r="J800" s="6" t="e">
        <f ca="1">_xll.xlqxhSMA($C800,$L$4,$J$7,$K$3)</f>
        <v>#NAME?</v>
      </c>
      <c r="K800" s="7" t="e">
        <f ca="1">_xll.xlqhClose($C800,K$8,$K$3)</f>
        <v>#NAME?</v>
      </c>
      <c r="L800" s="7" t="e">
        <f ca="1">_xll.xlqhClose($C800,L$8,$K$3)</f>
        <v>#NAME?</v>
      </c>
      <c r="N800" s="9">
        <f t="shared" ca="1" si="127"/>
        <v>1</v>
      </c>
      <c r="O800" s="9">
        <f t="shared" ca="1" si="128"/>
        <v>1</v>
      </c>
      <c r="P800" s="9">
        <f t="shared" ca="1" si="129"/>
        <v>1</v>
      </c>
      <c r="Q800" s="9">
        <f t="shared" ca="1" si="130"/>
        <v>1</v>
      </c>
      <c r="R800" s="9">
        <f t="shared" ca="1" si="131"/>
        <v>0</v>
      </c>
    </row>
    <row r="801" spans="2:18" x14ac:dyDescent="0.25">
      <c r="B801" s="17" t="s">
        <v>588</v>
      </c>
      <c r="C801" s="18" t="s">
        <v>589</v>
      </c>
      <c r="D801" s="7" t="e">
        <f ca="1">_xll.xlqPrice(C801)</f>
        <v>#NAME?</v>
      </c>
      <c r="E801" s="9" t="e">
        <f t="shared" ca="1" si="122"/>
        <v>#NAME?</v>
      </c>
      <c r="F801" s="9">
        <f t="shared" ca="1" si="123"/>
        <v>1</v>
      </c>
      <c r="G801" s="8">
        <f t="shared" ca="1" si="124"/>
        <v>0</v>
      </c>
      <c r="H801" s="8">
        <f t="shared" ca="1" si="125"/>
        <v>0</v>
      </c>
      <c r="I801" s="8">
        <f t="shared" ca="1" si="126"/>
        <v>0</v>
      </c>
      <c r="J801" s="6" t="e">
        <f ca="1">_xll.xlqxhSMA($C801,$L$4,$J$7,$K$3)</f>
        <v>#NAME?</v>
      </c>
      <c r="K801" s="7" t="e">
        <f ca="1">_xll.xlqhClose($C801,K$8,$K$3)</f>
        <v>#NAME?</v>
      </c>
      <c r="L801" s="7" t="e">
        <f ca="1">_xll.xlqhClose($C801,L$8,$K$3)</f>
        <v>#NAME?</v>
      </c>
      <c r="N801" s="9">
        <f t="shared" ca="1" si="127"/>
        <v>1</v>
      </c>
      <c r="O801" s="9">
        <f t="shared" ca="1" si="128"/>
        <v>1</v>
      </c>
      <c r="P801" s="9">
        <f t="shared" ca="1" si="129"/>
        <v>1</v>
      </c>
      <c r="Q801" s="9">
        <f t="shared" ca="1" si="130"/>
        <v>1</v>
      </c>
      <c r="R801" s="9">
        <f t="shared" ca="1" si="131"/>
        <v>0</v>
      </c>
    </row>
    <row r="802" spans="2:18" x14ac:dyDescent="0.25">
      <c r="B802" s="17" t="s">
        <v>742</v>
      </c>
      <c r="C802" s="18" t="s">
        <v>743</v>
      </c>
      <c r="D802" s="7" t="e">
        <f ca="1">_xll.xlqPrice(C802)</f>
        <v>#NAME?</v>
      </c>
      <c r="E802" s="9" t="e">
        <f t="shared" ca="1" si="122"/>
        <v>#NAME?</v>
      </c>
      <c r="F802" s="9">
        <f t="shared" ca="1" si="123"/>
        <v>1</v>
      </c>
      <c r="G802" s="8">
        <f t="shared" ca="1" si="124"/>
        <v>0</v>
      </c>
      <c r="H802" s="8">
        <f t="shared" ca="1" si="125"/>
        <v>0</v>
      </c>
      <c r="I802" s="8">
        <f t="shared" ca="1" si="126"/>
        <v>0</v>
      </c>
      <c r="J802" s="6" t="e">
        <f ca="1">_xll.xlqxhSMA($C802,$L$4,$J$7,$K$3)</f>
        <v>#NAME?</v>
      </c>
      <c r="K802" s="7" t="e">
        <f ca="1">_xll.xlqhClose($C802,K$8,$K$3)</f>
        <v>#NAME?</v>
      </c>
      <c r="L802" s="7" t="e">
        <f ca="1">_xll.xlqhClose($C802,L$8,$K$3)</f>
        <v>#NAME?</v>
      </c>
      <c r="N802" s="9">
        <f t="shared" ca="1" si="127"/>
        <v>1</v>
      </c>
      <c r="O802" s="9">
        <f t="shared" ca="1" si="128"/>
        <v>1</v>
      </c>
      <c r="P802" s="9">
        <f t="shared" ca="1" si="129"/>
        <v>1</v>
      </c>
      <c r="Q802" s="9">
        <f t="shared" ca="1" si="130"/>
        <v>1</v>
      </c>
      <c r="R802" s="9">
        <f t="shared" ca="1" si="131"/>
        <v>0</v>
      </c>
    </row>
    <row r="803" spans="2:18" x14ac:dyDescent="0.25">
      <c r="B803" s="17" t="s">
        <v>1461</v>
      </c>
      <c r="C803" s="18" t="s">
        <v>1462</v>
      </c>
      <c r="D803" s="7" t="e">
        <f ca="1">_xll.xlqPrice(C803)</f>
        <v>#NAME?</v>
      </c>
      <c r="E803" s="9" t="e">
        <f t="shared" ca="1" si="122"/>
        <v>#NAME?</v>
      </c>
      <c r="F803" s="9">
        <f t="shared" ca="1" si="123"/>
        <v>1</v>
      </c>
      <c r="G803" s="8">
        <f t="shared" ca="1" si="124"/>
        <v>0</v>
      </c>
      <c r="H803" s="8">
        <f t="shared" ca="1" si="125"/>
        <v>0</v>
      </c>
      <c r="I803" s="8">
        <f t="shared" ca="1" si="126"/>
        <v>0</v>
      </c>
      <c r="J803" s="6" t="e">
        <f ca="1">_xll.xlqxhSMA($C803,$L$4,$J$7,$K$3)</f>
        <v>#NAME?</v>
      </c>
      <c r="K803" s="7" t="e">
        <f ca="1">_xll.xlqhClose($C803,K$8,$K$3)</f>
        <v>#NAME?</v>
      </c>
      <c r="L803" s="7" t="e">
        <f ca="1">_xll.xlqhClose($C803,L$8,$K$3)</f>
        <v>#NAME?</v>
      </c>
      <c r="N803" s="9">
        <f t="shared" ca="1" si="127"/>
        <v>1</v>
      </c>
      <c r="O803" s="9">
        <f t="shared" ca="1" si="128"/>
        <v>1</v>
      </c>
      <c r="P803" s="9">
        <f t="shared" ca="1" si="129"/>
        <v>1</v>
      </c>
      <c r="Q803" s="9">
        <f t="shared" ca="1" si="130"/>
        <v>1</v>
      </c>
      <c r="R803" s="9">
        <f t="shared" ca="1" si="131"/>
        <v>0</v>
      </c>
    </row>
    <row r="804" spans="2:18" x14ac:dyDescent="0.25">
      <c r="B804" s="17" t="s">
        <v>766</v>
      </c>
      <c r="C804" s="18" t="s">
        <v>767</v>
      </c>
      <c r="D804" s="7" t="e">
        <f ca="1">_xll.xlqPrice(C804)</f>
        <v>#NAME?</v>
      </c>
      <c r="E804" s="9" t="e">
        <f t="shared" ca="1" si="122"/>
        <v>#NAME?</v>
      </c>
      <c r="F804" s="9">
        <f t="shared" ca="1" si="123"/>
        <v>1</v>
      </c>
      <c r="G804" s="8">
        <f t="shared" ca="1" si="124"/>
        <v>0</v>
      </c>
      <c r="H804" s="8">
        <f t="shared" ca="1" si="125"/>
        <v>0</v>
      </c>
      <c r="I804" s="8">
        <f t="shared" ca="1" si="126"/>
        <v>0</v>
      </c>
      <c r="J804" s="6" t="e">
        <f ca="1">_xll.xlqxhSMA($C804,$L$4,$J$7,$K$3)</f>
        <v>#NAME?</v>
      </c>
      <c r="K804" s="7" t="e">
        <f ca="1">_xll.xlqhClose($C804,K$8,$K$3)</f>
        <v>#NAME?</v>
      </c>
      <c r="L804" s="7" t="e">
        <f ca="1">_xll.xlqhClose($C804,L$8,$K$3)</f>
        <v>#NAME?</v>
      </c>
      <c r="N804" s="9">
        <f t="shared" ca="1" si="127"/>
        <v>1</v>
      </c>
      <c r="O804" s="9">
        <f t="shared" ca="1" si="128"/>
        <v>1</v>
      </c>
      <c r="P804" s="9">
        <f t="shared" ca="1" si="129"/>
        <v>1</v>
      </c>
      <c r="Q804" s="9">
        <f t="shared" ca="1" si="130"/>
        <v>1</v>
      </c>
      <c r="R804" s="9">
        <f t="shared" ca="1" si="131"/>
        <v>0</v>
      </c>
    </row>
    <row r="805" spans="2:18" x14ac:dyDescent="0.25">
      <c r="B805" t="s">
        <v>1227</v>
      </c>
      <c r="C805" s="39" t="s">
        <v>1228</v>
      </c>
      <c r="D805" s="7" t="e">
        <f ca="1">_xll.xlqPrice(C805)</f>
        <v>#NAME?</v>
      </c>
      <c r="E805" s="9" t="e">
        <f t="shared" ca="1" si="122"/>
        <v>#NAME?</v>
      </c>
      <c r="F805" s="9">
        <f t="shared" ca="1" si="123"/>
        <v>1</v>
      </c>
      <c r="G805" s="8">
        <f t="shared" ca="1" si="124"/>
        <v>0</v>
      </c>
      <c r="H805" s="8">
        <f t="shared" ca="1" si="125"/>
        <v>0</v>
      </c>
      <c r="I805" s="8">
        <f t="shared" ca="1" si="126"/>
        <v>0</v>
      </c>
      <c r="J805" s="6" t="e">
        <f ca="1">_xll.xlqxhSMA($C805,$L$4,$J$7,$K$3)</f>
        <v>#NAME?</v>
      </c>
      <c r="K805" s="7" t="e">
        <f ca="1">_xll.xlqhClose($C805,K$8,$K$3)</f>
        <v>#NAME?</v>
      </c>
      <c r="L805" s="7" t="e">
        <f ca="1">_xll.xlqhClose($C805,L$8,$K$3)</f>
        <v>#NAME?</v>
      </c>
      <c r="N805" s="9">
        <f t="shared" ca="1" si="127"/>
        <v>1</v>
      </c>
      <c r="O805" s="9">
        <f t="shared" ca="1" si="128"/>
        <v>1</v>
      </c>
      <c r="P805" s="9">
        <f t="shared" ca="1" si="129"/>
        <v>1</v>
      </c>
      <c r="Q805" s="9">
        <f t="shared" ca="1" si="130"/>
        <v>1</v>
      </c>
      <c r="R805" s="9">
        <f t="shared" ca="1" si="131"/>
        <v>0</v>
      </c>
    </row>
    <row r="806" spans="2:18" x14ac:dyDescent="0.25">
      <c r="B806" s="17" t="s">
        <v>1601</v>
      </c>
      <c r="C806" s="18" t="s">
        <v>1602</v>
      </c>
      <c r="D806" s="7" t="e">
        <f ca="1">_xll.xlqPrice(C806)</f>
        <v>#NAME?</v>
      </c>
      <c r="E806" s="9" t="e">
        <f t="shared" ca="1" si="122"/>
        <v>#NAME?</v>
      </c>
      <c r="F806" s="9">
        <f t="shared" ca="1" si="123"/>
        <v>1</v>
      </c>
      <c r="G806" s="8">
        <f t="shared" ca="1" si="124"/>
        <v>0</v>
      </c>
      <c r="H806" s="8">
        <f t="shared" ca="1" si="125"/>
        <v>0</v>
      </c>
      <c r="I806" s="8">
        <f t="shared" ca="1" si="126"/>
        <v>0</v>
      </c>
      <c r="J806" s="6" t="e">
        <f ca="1">_xll.xlqxhSMA($C806,$L$4,$J$7,$K$3)</f>
        <v>#NAME?</v>
      </c>
      <c r="K806" s="7" t="e">
        <f ca="1">_xll.xlqhClose($C806,K$8,$K$3)</f>
        <v>#NAME?</v>
      </c>
      <c r="L806" s="7" t="e">
        <f ca="1">_xll.xlqhClose($C806,L$8,$K$3)</f>
        <v>#NAME?</v>
      </c>
      <c r="N806" s="9">
        <f t="shared" ca="1" si="127"/>
        <v>1</v>
      </c>
      <c r="O806" s="9">
        <f t="shared" ca="1" si="128"/>
        <v>1</v>
      </c>
      <c r="P806" s="9">
        <f t="shared" ca="1" si="129"/>
        <v>1</v>
      </c>
      <c r="Q806" s="9">
        <f t="shared" ca="1" si="130"/>
        <v>1</v>
      </c>
      <c r="R806" s="9">
        <f t="shared" ca="1" si="131"/>
        <v>0</v>
      </c>
    </row>
    <row r="807" spans="2:18" x14ac:dyDescent="0.25">
      <c r="B807" t="s">
        <v>1471</v>
      </c>
      <c r="C807" s="39" t="s">
        <v>1472</v>
      </c>
      <c r="D807" s="7" t="e">
        <f ca="1">_xll.xlqPrice(C807)</f>
        <v>#NAME?</v>
      </c>
      <c r="E807" s="9" t="e">
        <f t="shared" ca="1" si="122"/>
        <v>#NAME?</v>
      </c>
      <c r="F807" s="9">
        <f t="shared" ca="1" si="123"/>
        <v>1</v>
      </c>
      <c r="G807" s="8">
        <f t="shared" ca="1" si="124"/>
        <v>0</v>
      </c>
      <c r="H807" s="8">
        <f t="shared" ca="1" si="125"/>
        <v>0</v>
      </c>
      <c r="I807" s="8">
        <f t="shared" ca="1" si="126"/>
        <v>0</v>
      </c>
      <c r="J807" s="6" t="e">
        <f ca="1">_xll.xlqxhSMA($C807,$L$4,$J$7,$K$3)</f>
        <v>#NAME?</v>
      </c>
      <c r="K807" s="7" t="e">
        <f ca="1">_xll.xlqhClose($C807,K$8,$K$3)</f>
        <v>#NAME?</v>
      </c>
      <c r="L807" s="7" t="e">
        <f ca="1">_xll.xlqhClose($C807,L$8,$K$3)</f>
        <v>#NAME?</v>
      </c>
      <c r="N807" s="9">
        <f t="shared" ca="1" si="127"/>
        <v>1</v>
      </c>
      <c r="O807" s="9">
        <f t="shared" ca="1" si="128"/>
        <v>1</v>
      </c>
      <c r="P807" s="9">
        <f t="shared" ca="1" si="129"/>
        <v>1</v>
      </c>
      <c r="Q807" s="9">
        <f t="shared" ca="1" si="130"/>
        <v>1</v>
      </c>
      <c r="R807" s="9">
        <f t="shared" ca="1" si="131"/>
        <v>0</v>
      </c>
    </row>
    <row r="808" spans="2:18" x14ac:dyDescent="0.25">
      <c r="B808" s="17" t="s">
        <v>680</v>
      </c>
      <c r="C808" s="18" t="s">
        <v>681</v>
      </c>
      <c r="D808" s="7" t="e">
        <f ca="1">_xll.xlqPrice(C808)</f>
        <v>#NAME?</v>
      </c>
      <c r="E808" s="9" t="e">
        <f t="shared" ca="1" si="122"/>
        <v>#NAME?</v>
      </c>
      <c r="F808" s="9">
        <f t="shared" ca="1" si="123"/>
        <v>1</v>
      </c>
      <c r="G808" s="8">
        <f t="shared" ca="1" si="124"/>
        <v>0</v>
      </c>
      <c r="H808" s="8">
        <f t="shared" ca="1" si="125"/>
        <v>0</v>
      </c>
      <c r="I808" s="8">
        <f t="shared" ca="1" si="126"/>
        <v>0</v>
      </c>
      <c r="J808" s="6" t="e">
        <f ca="1">_xll.xlqxhSMA($C808,$L$4,$J$7,$K$3)</f>
        <v>#NAME?</v>
      </c>
      <c r="K808" s="7" t="e">
        <f ca="1">_xll.xlqhClose($C808,K$8,$K$3)</f>
        <v>#NAME?</v>
      </c>
      <c r="L808" s="7" t="e">
        <f ca="1">_xll.xlqhClose($C808,L$8,$K$3)</f>
        <v>#NAME?</v>
      </c>
      <c r="N808" s="9">
        <f t="shared" ca="1" si="127"/>
        <v>1</v>
      </c>
      <c r="O808" s="9">
        <f t="shared" ca="1" si="128"/>
        <v>1</v>
      </c>
      <c r="P808" s="9">
        <f t="shared" ca="1" si="129"/>
        <v>1</v>
      </c>
      <c r="Q808" s="9">
        <f t="shared" ca="1" si="130"/>
        <v>1</v>
      </c>
      <c r="R808" s="9">
        <f t="shared" ca="1" si="131"/>
        <v>0</v>
      </c>
    </row>
    <row r="809" spans="2:18" x14ac:dyDescent="0.25">
      <c r="B809" s="17" t="s">
        <v>562</v>
      </c>
      <c r="C809" s="18" t="s">
        <v>563</v>
      </c>
      <c r="D809" s="7" t="e">
        <f ca="1">_xll.xlqPrice(C809)</f>
        <v>#NAME?</v>
      </c>
      <c r="E809" s="9" t="e">
        <f t="shared" ca="1" si="122"/>
        <v>#NAME?</v>
      </c>
      <c r="F809" s="9">
        <f t="shared" ca="1" si="123"/>
        <v>1</v>
      </c>
      <c r="G809" s="8">
        <f t="shared" ca="1" si="124"/>
        <v>0</v>
      </c>
      <c r="H809" s="8">
        <f t="shared" ca="1" si="125"/>
        <v>0</v>
      </c>
      <c r="I809" s="8">
        <f t="shared" ca="1" si="126"/>
        <v>0</v>
      </c>
      <c r="J809" s="6" t="e">
        <f ca="1">_xll.xlqxhSMA($C809,$L$4,$J$7,$K$3)</f>
        <v>#NAME?</v>
      </c>
      <c r="K809" s="7" t="e">
        <f ca="1">_xll.xlqhClose($C809,K$8,$K$3)</f>
        <v>#NAME?</v>
      </c>
      <c r="L809" s="7" t="e">
        <f ca="1">_xll.xlqhClose($C809,L$8,$K$3)</f>
        <v>#NAME?</v>
      </c>
      <c r="N809" s="9">
        <f t="shared" ca="1" si="127"/>
        <v>1</v>
      </c>
      <c r="O809" s="9">
        <f t="shared" ca="1" si="128"/>
        <v>1</v>
      </c>
      <c r="P809" s="9">
        <f t="shared" ca="1" si="129"/>
        <v>1</v>
      </c>
      <c r="Q809" s="9">
        <f t="shared" ca="1" si="130"/>
        <v>1</v>
      </c>
      <c r="R809" s="9">
        <f t="shared" ca="1" si="131"/>
        <v>0</v>
      </c>
    </row>
    <row r="810" spans="2:18" x14ac:dyDescent="0.25">
      <c r="B810" t="s">
        <v>2091</v>
      </c>
      <c r="C810" s="39" t="s">
        <v>2092</v>
      </c>
      <c r="D810" s="7" t="e">
        <f ca="1">_xll.xlqPrice(C810)</f>
        <v>#NAME?</v>
      </c>
      <c r="E810" s="9" t="e">
        <f t="shared" ca="1" si="122"/>
        <v>#NAME?</v>
      </c>
      <c r="F810" s="9">
        <f t="shared" ca="1" si="123"/>
        <v>1</v>
      </c>
      <c r="G810" s="8">
        <f t="shared" ca="1" si="124"/>
        <v>0</v>
      </c>
      <c r="H810" s="8">
        <f t="shared" ca="1" si="125"/>
        <v>0</v>
      </c>
      <c r="I810" s="8">
        <f t="shared" ca="1" si="126"/>
        <v>0</v>
      </c>
      <c r="J810" s="6" t="e">
        <f ca="1">_xll.xlqxhSMA($C810,$L$4,$J$7,$K$3)</f>
        <v>#NAME?</v>
      </c>
      <c r="K810" s="7" t="e">
        <f ca="1">_xll.xlqhClose($C810,K$8,$K$3)</f>
        <v>#NAME?</v>
      </c>
      <c r="L810" s="7" t="e">
        <f ca="1">_xll.xlqhClose($C810,L$8,$K$3)</f>
        <v>#NAME?</v>
      </c>
      <c r="N810" s="9">
        <f t="shared" ca="1" si="127"/>
        <v>1</v>
      </c>
      <c r="O810" s="9">
        <f t="shared" ca="1" si="128"/>
        <v>1</v>
      </c>
      <c r="P810" s="9">
        <f t="shared" ca="1" si="129"/>
        <v>1</v>
      </c>
      <c r="Q810" s="9">
        <f t="shared" ca="1" si="130"/>
        <v>1</v>
      </c>
      <c r="R810" s="9">
        <f t="shared" ca="1" si="131"/>
        <v>0</v>
      </c>
    </row>
    <row r="811" spans="2:18" x14ac:dyDescent="0.25">
      <c r="B811" s="17" t="s">
        <v>178</v>
      </c>
      <c r="C811" s="18" t="s">
        <v>179</v>
      </c>
      <c r="D811" s="7" t="e">
        <f ca="1">_xll.xlqPrice(C811)</f>
        <v>#NAME?</v>
      </c>
      <c r="E811" s="9" t="e">
        <f t="shared" ca="1" si="122"/>
        <v>#NAME?</v>
      </c>
      <c r="F811" s="9">
        <f t="shared" ca="1" si="123"/>
        <v>1</v>
      </c>
      <c r="G811" s="8">
        <f t="shared" ca="1" si="124"/>
        <v>0</v>
      </c>
      <c r="H811" s="8">
        <f t="shared" ca="1" si="125"/>
        <v>0</v>
      </c>
      <c r="I811" s="8">
        <f t="shared" ca="1" si="126"/>
        <v>0</v>
      </c>
      <c r="J811" s="6" t="e">
        <f ca="1">_xll.xlqxhSMA($C811,$L$4,$J$7,$K$3)</f>
        <v>#NAME?</v>
      </c>
      <c r="K811" s="7" t="e">
        <f ca="1">_xll.xlqhClose($C811,K$8,$K$3)</f>
        <v>#NAME?</v>
      </c>
      <c r="L811" s="7" t="e">
        <f ca="1">_xll.xlqhClose($C811,L$8,$K$3)</f>
        <v>#NAME?</v>
      </c>
      <c r="N811" s="9">
        <f t="shared" ca="1" si="127"/>
        <v>1</v>
      </c>
      <c r="O811" s="9">
        <f t="shared" ca="1" si="128"/>
        <v>1</v>
      </c>
      <c r="P811" s="9">
        <f t="shared" ca="1" si="129"/>
        <v>1</v>
      </c>
      <c r="Q811" s="9">
        <f t="shared" ca="1" si="130"/>
        <v>1</v>
      </c>
      <c r="R811" s="9">
        <f t="shared" ca="1" si="131"/>
        <v>0</v>
      </c>
    </row>
    <row r="812" spans="2:18" x14ac:dyDescent="0.25">
      <c r="B812" t="s">
        <v>328</v>
      </c>
      <c r="C812" s="39" t="s">
        <v>329</v>
      </c>
      <c r="D812" s="7" t="e">
        <f ca="1">_xll.xlqPrice(C812)</f>
        <v>#NAME?</v>
      </c>
      <c r="E812" s="9" t="e">
        <f t="shared" ca="1" si="122"/>
        <v>#NAME?</v>
      </c>
      <c r="F812" s="9">
        <f t="shared" ca="1" si="123"/>
        <v>1</v>
      </c>
      <c r="G812" s="8">
        <f t="shared" ca="1" si="124"/>
        <v>0</v>
      </c>
      <c r="H812" s="8">
        <f t="shared" ca="1" si="125"/>
        <v>0</v>
      </c>
      <c r="I812" s="8">
        <f t="shared" ca="1" si="126"/>
        <v>0</v>
      </c>
      <c r="J812" s="6" t="e">
        <f ca="1">_xll.xlqxhSMA($C812,$L$4,$J$7,$K$3)</f>
        <v>#NAME?</v>
      </c>
      <c r="K812" s="7" t="e">
        <f ca="1">_xll.xlqhClose($C812,K$8,$K$3)</f>
        <v>#NAME?</v>
      </c>
      <c r="L812" s="7" t="e">
        <f ca="1">_xll.xlqhClose($C812,L$8,$K$3)</f>
        <v>#NAME?</v>
      </c>
      <c r="N812" s="9">
        <f t="shared" ca="1" si="127"/>
        <v>1</v>
      </c>
      <c r="O812" s="9">
        <f t="shared" ca="1" si="128"/>
        <v>1</v>
      </c>
      <c r="P812" s="9">
        <f t="shared" ca="1" si="129"/>
        <v>1</v>
      </c>
      <c r="Q812" s="9">
        <f t="shared" ca="1" si="130"/>
        <v>1</v>
      </c>
      <c r="R812" s="9">
        <f t="shared" ca="1" si="131"/>
        <v>0</v>
      </c>
    </row>
    <row r="813" spans="2:18" x14ac:dyDescent="0.25">
      <c r="B813" s="17" t="s">
        <v>850</v>
      </c>
      <c r="C813" s="18" t="s">
        <v>851</v>
      </c>
      <c r="D813" s="7" t="e">
        <f ca="1">_xll.xlqPrice(C813)</f>
        <v>#NAME?</v>
      </c>
      <c r="E813" s="9" t="e">
        <f t="shared" ca="1" si="122"/>
        <v>#NAME?</v>
      </c>
      <c r="F813" s="9">
        <f t="shared" ca="1" si="123"/>
        <v>1</v>
      </c>
      <c r="G813" s="8">
        <f t="shared" ca="1" si="124"/>
        <v>0</v>
      </c>
      <c r="H813" s="8">
        <f t="shared" ca="1" si="125"/>
        <v>0</v>
      </c>
      <c r="I813" s="8">
        <f t="shared" ca="1" si="126"/>
        <v>0</v>
      </c>
      <c r="J813" s="6" t="e">
        <f ca="1">_xll.xlqxhSMA($C813,$L$4,$J$7,$K$3)</f>
        <v>#NAME?</v>
      </c>
      <c r="K813" s="7" t="e">
        <f ca="1">_xll.xlqhClose($C813,K$8,$K$3)</f>
        <v>#NAME?</v>
      </c>
      <c r="L813" s="7" t="e">
        <f ca="1">_xll.xlqhClose($C813,L$8,$K$3)</f>
        <v>#NAME?</v>
      </c>
      <c r="N813" s="9">
        <f t="shared" ca="1" si="127"/>
        <v>1</v>
      </c>
      <c r="O813" s="9">
        <f t="shared" ca="1" si="128"/>
        <v>1</v>
      </c>
      <c r="P813" s="9">
        <f t="shared" ca="1" si="129"/>
        <v>1</v>
      </c>
      <c r="Q813" s="9">
        <f t="shared" ca="1" si="130"/>
        <v>1</v>
      </c>
      <c r="R813" s="9">
        <f t="shared" ca="1" si="131"/>
        <v>0</v>
      </c>
    </row>
    <row r="814" spans="2:18" x14ac:dyDescent="0.25">
      <c r="B814" t="s">
        <v>1633</v>
      </c>
      <c r="C814" s="39" t="s">
        <v>1634</v>
      </c>
      <c r="D814" s="7" t="e">
        <f ca="1">_xll.xlqPrice(C814)</f>
        <v>#NAME?</v>
      </c>
      <c r="E814" s="9" t="e">
        <f t="shared" ca="1" si="122"/>
        <v>#NAME?</v>
      </c>
      <c r="F814" s="9">
        <f t="shared" ca="1" si="123"/>
        <v>1</v>
      </c>
      <c r="G814" s="8">
        <f t="shared" ca="1" si="124"/>
        <v>0</v>
      </c>
      <c r="H814" s="8">
        <f t="shared" ca="1" si="125"/>
        <v>0</v>
      </c>
      <c r="I814" s="8">
        <f t="shared" ca="1" si="126"/>
        <v>0</v>
      </c>
      <c r="J814" s="6" t="e">
        <f ca="1">_xll.xlqxhSMA($C814,$L$4,$J$7,$K$3)</f>
        <v>#NAME?</v>
      </c>
      <c r="K814" s="7" t="e">
        <f ca="1">_xll.xlqhClose($C814,K$8,$K$3)</f>
        <v>#NAME?</v>
      </c>
      <c r="L814" s="7" t="e">
        <f ca="1">_xll.xlqhClose($C814,L$8,$K$3)</f>
        <v>#NAME?</v>
      </c>
      <c r="N814" s="9">
        <f t="shared" ca="1" si="127"/>
        <v>1</v>
      </c>
      <c r="O814" s="9">
        <f t="shared" ca="1" si="128"/>
        <v>1</v>
      </c>
      <c r="P814" s="9">
        <f t="shared" ca="1" si="129"/>
        <v>1</v>
      </c>
      <c r="Q814" s="9">
        <f t="shared" ca="1" si="130"/>
        <v>1</v>
      </c>
      <c r="R814" s="9">
        <f t="shared" ca="1" si="131"/>
        <v>0</v>
      </c>
    </row>
    <row r="815" spans="2:18" x14ac:dyDescent="0.25">
      <c r="B815" t="s">
        <v>1583</v>
      </c>
      <c r="C815" s="39" t="s">
        <v>1584</v>
      </c>
      <c r="D815" s="7" t="e">
        <f ca="1">_xll.xlqPrice(C815)</f>
        <v>#NAME?</v>
      </c>
      <c r="E815" s="9" t="e">
        <f t="shared" ca="1" si="122"/>
        <v>#NAME?</v>
      </c>
      <c r="F815" s="9">
        <f t="shared" ca="1" si="123"/>
        <v>1</v>
      </c>
      <c r="G815" s="8">
        <f t="shared" ca="1" si="124"/>
        <v>0</v>
      </c>
      <c r="H815" s="8">
        <f t="shared" ca="1" si="125"/>
        <v>0</v>
      </c>
      <c r="I815" s="8">
        <f t="shared" ca="1" si="126"/>
        <v>0</v>
      </c>
      <c r="J815" s="6" t="e">
        <f ca="1">_xll.xlqxhSMA($C815,$L$4,$J$7,$K$3)</f>
        <v>#NAME?</v>
      </c>
      <c r="K815" s="7" t="e">
        <f ca="1">_xll.xlqhClose($C815,K$8,$K$3)</f>
        <v>#NAME?</v>
      </c>
      <c r="L815" s="7" t="e">
        <f ca="1">_xll.xlqhClose($C815,L$8,$K$3)</f>
        <v>#NAME?</v>
      </c>
      <c r="N815" s="9">
        <f t="shared" ca="1" si="127"/>
        <v>1</v>
      </c>
      <c r="O815" s="9">
        <f t="shared" ca="1" si="128"/>
        <v>1</v>
      </c>
      <c r="P815" s="9">
        <f t="shared" ca="1" si="129"/>
        <v>1</v>
      </c>
      <c r="Q815" s="9">
        <f t="shared" ca="1" si="130"/>
        <v>1</v>
      </c>
      <c r="R815" s="9">
        <f t="shared" ca="1" si="131"/>
        <v>0</v>
      </c>
    </row>
    <row r="816" spans="2:18" x14ac:dyDescent="0.25">
      <c r="B816" s="17" t="s">
        <v>2115</v>
      </c>
      <c r="C816" s="18" t="s">
        <v>2116</v>
      </c>
      <c r="D816" s="7" t="e">
        <f ca="1">_xll.xlqPrice(C816)</f>
        <v>#NAME?</v>
      </c>
      <c r="E816" s="9" t="e">
        <f t="shared" ca="1" si="122"/>
        <v>#NAME?</v>
      </c>
      <c r="F816" s="9">
        <f t="shared" ca="1" si="123"/>
        <v>1</v>
      </c>
      <c r="G816" s="8">
        <f t="shared" ca="1" si="124"/>
        <v>0</v>
      </c>
      <c r="H816" s="8">
        <f t="shared" ca="1" si="125"/>
        <v>0</v>
      </c>
      <c r="I816" s="8">
        <f t="shared" ca="1" si="126"/>
        <v>0</v>
      </c>
      <c r="J816" s="6" t="e">
        <f ca="1">_xll.xlqxhSMA($C816,$L$4,$J$7,$K$3)</f>
        <v>#NAME?</v>
      </c>
      <c r="K816" s="7" t="e">
        <f ca="1">_xll.xlqhClose($C816,K$8,$K$3)</f>
        <v>#NAME?</v>
      </c>
      <c r="L816" s="7" t="e">
        <f ca="1">_xll.xlqhClose($C816,L$8,$K$3)</f>
        <v>#NAME?</v>
      </c>
      <c r="N816" s="9">
        <f t="shared" ca="1" si="127"/>
        <v>1</v>
      </c>
      <c r="O816" s="9">
        <f t="shared" ca="1" si="128"/>
        <v>1</v>
      </c>
      <c r="P816" s="9">
        <f t="shared" ca="1" si="129"/>
        <v>1</v>
      </c>
      <c r="Q816" s="9">
        <f t="shared" ca="1" si="130"/>
        <v>1</v>
      </c>
      <c r="R816" s="9">
        <f t="shared" ca="1" si="131"/>
        <v>0</v>
      </c>
    </row>
    <row r="817" spans="2:18" x14ac:dyDescent="0.25">
      <c r="B817" s="17" t="s">
        <v>45</v>
      </c>
      <c r="C817" s="18" t="s">
        <v>20</v>
      </c>
      <c r="D817" s="7" t="e">
        <f ca="1">_xll.xlqPrice(C817)</f>
        <v>#NAME?</v>
      </c>
      <c r="E817" s="9" t="e">
        <f t="shared" ca="1" si="122"/>
        <v>#NAME?</v>
      </c>
      <c r="F817" s="9">
        <f t="shared" ca="1" si="123"/>
        <v>1</v>
      </c>
      <c r="G817" s="8">
        <f t="shared" ca="1" si="124"/>
        <v>0</v>
      </c>
      <c r="H817" s="8">
        <f t="shared" ca="1" si="125"/>
        <v>0</v>
      </c>
      <c r="I817" s="8">
        <f t="shared" ca="1" si="126"/>
        <v>0</v>
      </c>
      <c r="J817" s="6" t="e">
        <f ca="1">_xll.xlqxhSMA($C817,$L$4,$J$7,$K$3)</f>
        <v>#NAME?</v>
      </c>
      <c r="K817" s="7" t="e">
        <f ca="1">_xll.xlqhClose($C817,K$8,$K$3)</f>
        <v>#NAME?</v>
      </c>
      <c r="L817" s="7" t="e">
        <f ca="1">_xll.xlqhClose($C817,L$8,$K$3)</f>
        <v>#NAME?</v>
      </c>
      <c r="N817" s="9">
        <f t="shared" ca="1" si="127"/>
        <v>1</v>
      </c>
      <c r="O817" s="9">
        <f t="shared" ca="1" si="128"/>
        <v>1</v>
      </c>
      <c r="P817" s="9">
        <f t="shared" ca="1" si="129"/>
        <v>1</v>
      </c>
      <c r="Q817" s="9">
        <f t="shared" ca="1" si="130"/>
        <v>1</v>
      </c>
      <c r="R817" s="9">
        <f t="shared" ca="1" si="131"/>
        <v>0</v>
      </c>
    </row>
    <row r="818" spans="2:18" x14ac:dyDescent="0.25">
      <c r="B818" t="s">
        <v>1207</v>
      </c>
      <c r="C818" s="39" t="s">
        <v>1208</v>
      </c>
      <c r="D818" s="7" t="e">
        <f ca="1">_xll.xlqPrice(C818)</f>
        <v>#NAME?</v>
      </c>
      <c r="E818" s="9" t="e">
        <f t="shared" ca="1" si="122"/>
        <v>#NAME?</v>
      </c>
      <c r="F818" s="9">
        <f t="shared" ca="1" si="123"/>
        <v>1</v>
      </c>
      <c r="G818" s="8">
        <f t="shared" ca="1" si="124"/>
        <v>0</v>
      </c>
      <c r="H818" s="8">
        <f t="shared" ca="1" si="125"/>
        <v>0</v>
      </c>
      <c r="I818" s="8">
        <f t="shared" ca="1" si="126"/>
        <v>0</v>
      </c>
      <c r="J818" s="6" t="e">
        <f ca="1">_xll.xlqxhSMA($C818,$L$4,$J$7,$K$3)</f>
        <v>#NAME?</v>
      </c>
      <c r="K818" s="7" t="e">
        <f ca="1">_xll.xlqhClose($C818,K$8,$K$3)</f>
        <v>#NAME?</v>
      </c>
      <c r="L818" s="7" t="e">
        <f ca="1">_xll.xlqhClose($C818,L$8,$K$3)</f>
        <v>#NAME?</v>
      </c>
      <c r="N818" s="9">
        <f t="shared" ca="1" si="127"/>
        <v>1</v>
      </c>
      <c r="O818" s="9">
        <f t="shared" ca="1" si="128"/>
        <v>1</v>
      </c>
      <c r="P818" s="9">
        <f t="shared" ca="1" si="129"/>
        <v>1</v>
      </c>
      <c r="Q818" s="9">
        <f t="shared" ca="1" si="130"/>
        <v>1</v>
      </c>
      <c r="R818" s="9">
        <f t="shared" ca="1" si="131"/>
        <v>0</v>
      </c>
    </row>
    <row r="819" spans="2:18" x14ac:dyDescent="0.25">
      <c r="B819" s="17" t="s">
        <v>1411</v>
      </c>
      <c r="C819" s="18" t="s">
        <v>1412</v>
      </c>
      <c r="D819" s="7" t="e">
        <f ca="1">_xll.xlqPrice(C819)</f>
        <v>#NAME?</v>
      </c>
      <c r="E819" s="9" t="e">
        <f t="shared" ca="1" si="122"/>
        <v>#NAME?</v>
      </c>
      <c r="F819" s="9">
        <f t="shared" ca="1" si="123"/>
        <v>1</v>
      </c>
      <c r="G819" s="8">
        <f t="shared" ca="1" si="124"/>
        <v>0</v>
      </c>
      <c r="H819" s="8">
        <f t="shared" ca="1" si="125"/>
        <v>0</v>
      </c>
      <c r="I819" s="8">
        <f t="shared" ca="1" si="126"/>
        <v>0</v>
      </c>
      <c r="J819" s="6" t="e">
        <f ca="1">_xll.xlqxhSMA($C819,$L$4,$J$7,$K$3)</f>
        <v>#NAME?</v>
      </c>
      <c r="K819" s="7" t="e">
        <f ca="1">_xll.xlqhClose($C819,K$8,$K$3)</f>
        <v>#NAME?</v>
      </c>
      <c r="L819" s="7" t="e">
        <f ca="1">_xll.xlqhClose($C819,L$8,$K$3)</f>
        <v>#NAME?</v>
      </c>
      <c r="N819" s="9">
        <f t="shared" ca="1" si="127"/>
        <v>1</v>
      </c>
      <c r="O819" s="9">
        <f t="shared" ca="1" si="128"/>
        <v>1</v>
      </c>
      <c r="P819" s="9">
        <f t="shared" ca="1" si="129"/>
        <v>1</v>
      </c>
      <c r="Q819" s="9">
        <f t="shared" ca="1" si="130"/>
        <v>1</v>
      </c>
      <c r="R819" s="9">
        <f t="shared" ca="1" si="131"/>
        <v>0</v>
      </c>
    </row>
    <row r="820" spans="2:18" x14ac:dyDescent="0.25">
      <c r="B820" s="17" t="s">
        <v>2143</v>
      </c>
      <c r="C820" s="18" t="s">
        <v>2144</v>
      </c>
      <c r="D820" s="7" t="e">
        <f ca="1">_xll.xlqPrice(C820)</f>
        <v>#NAME?</v>
      </c>
      <c r="E820" s="9" t="e">
        <f t="shared" ca="1" si="122"/>
        <v>#NAME?</v>
      </c>
      <c r="F820" s="9">
        <f t="shared" ca="1" si="123"/>
        <v>1</v>
      </c>
      <c r="G820" s="8">
        <f t="shared" ca="1" si="124"/>
        <v>0</v>
      </c>
      <c r="H820" s="8">
        <f t="shared" ca="1" si="125"/>
        <v>0</v>
      </c>
      <c r="I820" s="8">
        <f t="shared" ca="1" si="126"/>
        <v>0</v>
      </c>
      <c r="J820" s="6" t="e">
        <f ca="1">_xll.xlqxhSMA($C820,$L$4,$J$7,$K$3)</f>
        <v>#NAME?</v>
      </c>
      <c r="K820" s="7" t="e">
        <f ca="1">_xll.xlqhClose($C820,K$8,$K$3)</f>
        <v>#NAME?</v>
      </c>
      <c r="L820" s="7" t="e">
        <f ca="1">_xll.xlqhClose($C820,L$8,$K$3)</f>
        <v>#NAME?</v>
      </c>
      <c r="N820" s="9">
        <f t="shared" ca="1" si="127"/>
        <v>1</v>
      </c>
      <c r="O820" s="9">
        <f t="shared" ca="1" si="128"/>
        <v>1</v>
      </c>
      <c r="P820" s="9">
        <f t="shared" ca="1" si="129"/>
        <v>1</v>
      </c>
      <c r="Q820" s="9">
        <f t="shared" ca="1" si="130"/>
        <v>1</v>
      </c>
      <c r="R820" s="9">
        <f t="shared" ca="1" si="131"/>
        <v>0</v>
      </c>
    </row>
    <row r="821" spans="2:18" x14ac:dyDescent="0.25">
      <c r="B821" s="17" t="s">
        <v>750</v>
      </c>
      <c r="C821" s="18" t="s">
        <v>751</v>
      </c>
      <c r="D821" s="7" t="e">
        <f ca="1">_xll.xlqPrice(C821)</f>
        <v>#NAME?</v>
      </c>
      <c r="E821" s="9" t="e">
        <f t="shared" ca="1" si="122"/>
        <v>#NAME?</v>
      </c>
      <c r="F821" s="9">
        <f t="shared" ca="1" si="123"/>
        <v>1</v>
      </c>
      <c r="G821" s="8">
        <f t="shared" ca="1" si="124"/>
        <v>0</v>
      </c>
      <c r="H821" s="8">
        <f t="shared" ca="1" si="125"/>
        <v>0</v>
      </c>
      <c r="I821" s="8">
        <f t="shared" ca="1" si="126"/>
        <v>0</v>
      </c>
      <c r="J821" s="6" t="e">
        <f ca="1">_xll.xlqxhSMA($C821,$L$4,$J$7,$K$3)</f>
        <v>#NAME?</v>
      </c>
      <c r="K821" s="7" t="e">
        <f ca="1">_xll.xlqhClose($C821,K$8,$K$3)</f>
        <v>#NAME?</v>
      </c>
      <c r="L821" s="7" t="e">
        <f ca="1">_xll.xlqhClose($C821,L$8,$K$3)</f>
        <v>#NAME?</v>
      </c>
      <c r="N821" s="9">
        <f t="shared" ca="1" si="127"/>
        <v>1</v>
      </c>
      <c r="O821" s="9">
        <f t="shared" ca="1" si="128"/>
        <v>1</v>
      </c>
      <c r="P821" s="9">
        <f t="shared" ca="1" si="129"/>
        <v>1</v>
      </c>
      <c r="Q821" s="9">
        <f t="shared" ca="1" si="130"/>
        <v>1</v>
      </c>
      <c r="R821" s="9">
        <f t="shared" ca="1" si="131"/>
        <v>0</v>
      </c>
    </row>
    <row r="822" spans="2:18" x14ac:dyDescent="0.25">
      <c r="B822" s="17" t="s">
        <v>2183</v>
      </c>
      <c r="C822" s="18" t="s">
        <v>2184</v>
      </c>
      <c r="D822" s="7" t="e">
        <f ca="1">_xll.xlqPrice(C822)</f>
        <v>#NAME?</v>
      </c>
      <c r="E822" s="9" t="e">
        <f t="shared" ca="1" si="122"/>
        <v>#NAME?</v>
      </c>
      <c r="F822" s="9">
        <f t="shared" ca="1" si="123"/>
        <v>1</v>
      </c>
      <c r="G822" s="8">
        <f t="shared" ca="1" si="124"/>
        <v>0</v>
      </c>
      <c r="H822" s="8">
        <f t="shared" ca="1" si="125"/>
        <v>0</v>
      </c>
      <c r="I822" s="8">
        <f t="shared" ca="1" si="126"/>
        <v>0</v>
      </c>
      <c r="J822" s="6" t="e">
        <f ca="1">_xll.xlqxhSMA($C822,$L$4,$J$7,$K$3)</f>
        <v>#NAME?</v>
      </c>
      <c r="K822" s="7" t="e">
        <f ca="1">_xll.xlqhClose($C822,K$8,$K$3)</f>
        <v>#NAME?</v>
      </c>
      <c r="L822" s="7" t="e">
        <f ca="1">_xll.xlqhClose($C822,L$8,$K$3)</f>
        <v>#NAME?</v>
      </c>
      <c r="N822" s="9">
        <f t="shared" ca="1" si="127"/>
        <v>1</v>
      </c>
      <c r="O822" s="9">
        <f t="shared" ca="1" si="128"/>
        <v>1</v>
      </c>
      <c r="P822" s="9">
        <f t="shared" ca="1" si="129"/>
        <v>1</v>
      </c>
      <c r="Q822" s="9">
        <f t="shared" ca="1" si="130"/>
        <v>1</v>
      </c>
      <c r="R822" s="9">
        <f t="shared" ca="1" si="131"/>
        <v>0</v>
      </c>
    </row>
    <row r="823" spans="2:18" x14ac:dyDescent="0.25">
      <c r="B823" t="s">
        <v>1085</v>
      </c>
      <c r="C823" s="39" t="s">
        <v>1086</v>
      </c>
      <c r="D823" s="7" t="e">
        <f ca="1">_xll.xlqPrice(C823)</f>
        <v>#NAME?</v>
      </c>
      <c r="E823" s="9" t="e">
        <f t="shared" ca="1" si="122"/>
        <v>#NAME?</v>
      </c>
      <c r="F823" s="9">
        <f t="shared" ca="1" si="123"/>
        <v>1</v>
      </c>
      <c r="G823" s="8">
        <f t="shared" ca="1" si="124"/>
        <v>0</v>
      </c>
      <c r="H823" s="8">
        <f t="shared" ca="1" si="125"/>
        <v>0</v>
      </c>
      <c r="I823" s="8">
        <f t="shared" ca="1" si="126"/>
        <v>0</v>
      </c>
      <c r="J823" s="6" t="e">
        <f ca="1">_xll.xlqxhSMA($C823,$L$4,$J$7,$K$3)</f>
        <v>#NAME?</v>
      </c>
      <c r="K823" s="7" t="e">
        <f ca="1">_xll.xlqhClose($C823,K$8,$K$3)</f>
        <v>#NAME?</v>
      </c>
      <c r="L823" s="7" t="e">
        <f ca="1">_xll.xlqhClose($C823,L$8,$K$3)</f>
        <v>#NAME?</v>
      </c>
      <c r="N823" s="9">
        <f t="shared" ca="1" si="127"/>
        <v>1</v>
      </c>
      <c r="O823" s="9">
        <f t="shared" ca="1" si="128"/>
        <v>1</v>
      </c>
      <c r="P823" s="9">
        <f t="shared" ca="1" si="129"/>
        <v>1</v>
      </c>
      <c r="Q823" s="9">
        <f t="shared" ca="1" si="130"/>
        <v>1</v>
      </c>
      <c r="R823" s="9">
        <f t="shared" ca="1" si="131"/>
        <v>0</v>
      </c>
    </row>
    <row r="824" spans="2:18" x14ac:dyDescent="0.25">
      <c r="B824" s="17" t="s">
        <v>668</v>
      </c>
      <c r="C824" s="18" t="s">
        <v>669</v>
      </c>
      <c r="D824" s="7" t="e">
        <f ca="1">_xll.xlqPrice(C824)</f>
        <v>#NAME?</v>
      </c>
      <c r="E824" s="9" t="e">
        <f t="shared" ca="1" si="122"/>
        <v>#NAME?</v>
      </c>
      <c r="F824" s="9">
        <f t="shared" ca="1" si="123"/>
        <v>1</v>
      </c>
      <c r="G824" s="8">
        <f t="shared" ca="1" si="124"/>
        <v>0</v>
      </c>
      <c r="H824" s="8">
        <f t="shared" ca="1" si="125"/>
        <v>0</v>
      </c>
      <c r="I824" s="8">
        <f t="shared" ca="1" si="126"/>
        <v>0</v>
      </c>
      <c r="J824" s="6" t="e">
        <f ca="1">_xll.xlqxhSMA($C824,$L$4,$J$7,$K$3)</f>
        <v>#NAME?</v>
      </c>
      <c r="K824" s="7" t="e">
        <f ca="1">_xll.xlqhClose($C824,K$8,$K$3)</f>
        <v>#NAME?</v>
      </c>
      <c r="L824" s="7" t="e">
        <f ca="1">_xll.xlqhClose($C824,L$8,$K$3)</f>
        <v>#NAME?</v>
      </c>
      <c r="N824" s="9">
        <f t="shared" ca="1" si="127"/>
        <v>1</v>
      </c>
      <c r="O824" s="9">
        <f t="shared" ca="1" si="128"/>
        <v>1</v>
      </c>
      <c r="P824" s="9">
        <f t="shared" ca="1" si="129"/>
        <v>1</v>
      </c>
      <c r="Q824" s="9">
        <f t="shared" ca="1" si="130"/>
        <v>1</v>
      </c>
      <c r="R824" s="9">
        <f t="shared" ca="1" si="131"/>
        <v>0</v>
      </c>
    </row>
    <row r="825" spans="2:18" x14ac:dyDescent="0.25">
      <c r="B825" s="17" t="s">
        <v>774</v>
      </c>
      <c r="C825" s="18" t="s">
        <v>775</v>
      </c>
      <c r="D825" s="7" t="e">
        <f ca="1">_xll.xlqPrice(C825)</f>
        <v>#NAME?</v>
      </c>
      <c r="E825" s="9" t="e">
        <f t="shared" ca="1" si="122"/>
        <v>#NAME?</v>
      </c>
      <c r="F825" s="9">
        <f t="shared" ca="1" si="123"/>
        <v>1</v>
      </c>
      <c r="G825" s="8">
        <f t="shared" ca="1" si="124"/>
        <v>0</v>
      </c>
      <c r="H825" s="8">
        <f t="shared" ca="1" si="125"/>
        <v>0</v>
      </c>
      <c r="I825" s="8">
        <f t="shared" ca="1" si="126"/>
        <v>0</v>
      </c>
      <c r="J825" s="6" t="e">
        <f ca="1">_xll.xlqxhSMA($C825,$L$4,$J$7,$K$3)</f>
        <v>#NAME?</v>
      </c>
      <c r="K825" s="7" t="e">
        <f ca="1">_xll.xlqhClose($C825,K$8,$K$3)</f>
        <v>#NAME?</v>
      </c>
      <c r="L825" s="7" t="e">
        <f ca="1">_xll.xlqhClose($C825,L$8,$K$3)</f>
        <v>#NAME?</v>
      </c>
      <c r="N825" s="9">
        <f t="shared" ca="1" si="127"/>
        <v>1</v>
      </c>
      <c r="O825" s="9">
        <f t="shared" ca="1" si="128"/>
        <v>1</v>
      </c>
      <c r="P825" s="9">
        <f t="shared" ca="1" si="129"/>
        <v>1</v>
      </c>
      <c r="Q825" s="9">
        <f t="shared" ca="1" si="130"/>
        <v>1</v>
      </c>
      <c r="R825" s="9">
        <f t="shared" ca="1" si="131"/>
        <v>0</v>
      </c>
    </row>
    <row r="826" spans="2:18" x14ac:dyDescent="0.25">
      <c r="B826" s="17" t="s">
        <v>1369</v>
      </c>
      <c r="C826" s="18" t="s">
        <v>1370</v>
      </c>
      <c r="D826" s="7" t="e">
        <f ca="1">_xll.xlqPrice(C826)</f>
        <v>#NAME?</v>
      </c>
      <c r="E826" s="9" t="e">
        <f t="shared" ca="1" si="122"/>
        <v>#NAME?</v>
      </c>
      <c r="F826" s="9">
        <f t="shared" ca="1" si="123"/>
        <v>1</v>
      </c>
      <c r="G826" s="8">
        <f t="shared" ca="1" si="124"/>
        <v>0</v>
      </c>
      <c r="H826" s="8">
        <f t="shared" ca="1" si="125"/>
        <v>0</v>
      </c>
      <c r="I826" s="8">
        <f t="shared" ca="1" si="126"/>
        <v>0</v>
      </c>
      <c r="J826" s="6" t="e">
        <f ca="1">_xll.xlqxhSMA($C826,$L$4,$J$7,$K$3)</f>
        <v>#NAME?</v>
      </c>
      <c r="K826" s="7" t="e">
        <f ca="1">_xll.xlqhClose($C826,K$8,$K$3)</f>
        <v>#NAME?</v>
      </c>
      <c r="L826" s="7" t="e">
        <f ca="1">_xll.xlqhClose($C826,L$8,$K$3)</f>
        <v>#NAME?</v>
      </c>
      <c r="N826" s="9">
        <f t="shared" ca="1" si="127"/>
        <v>1</v>
      </c>
      <c r="O826" s="9">
        <f t="shared" ca="1" si="128"/>
        <v>1</v>
      </c>
      <c r="P826" s="9">
        <f t="shared" ca="1" si="129"/>
        <v>1</v>
      </c>
      <c r="Q826" s="9">
        <f t="shared" ca="1" si="130"/>
        <v>1</v>
      </c>
      <c r="R826" s="9">
        <f t="shared" ca="1" si="131"/>
        <v>0</v>
      </c>
    </row>
    <row r="827" spans="2:18" x14ac:dyDescent="0.25">
      <c r="B827" s="17" t="s">
        <v>1915</v>
      </c>
      <c r="C827" s="18" t="s">
        <v>1916</v>
      </c>
      <c r="D827" s="7" t="e">
        <f ca="1">_xll.xlqPrice(C827)</f>
        <v>#NAME?</v>
      </c>
      <c r="E827" s="9" t="e">
        <f t="shared" ca="1" si="122"/>
        <v>#NAME?</v>
      </c>
      <c r="F827" s="9">
        <f t="shared" ca="1" si="123"/>
        <v>1</v>
      </c>
      <c r="G827" s="8">
        <f t="shared" ca="1" si="124"/>
        <v>0</v>
      </c>
      <c r="H827" s="8">
        <f t="shared" ca="1" si="125"/>
        <v>0</v>
      </c>
      <c r="I827" s="8">
        <f t="shared" ca="1" si="126"/>
        <v>0</v>
      </c>
      <c r="J827" s="6" t="e">
        <f ca="1">_xll.xlqxhSMA($C827,$L$4,$J$7,$K$3)</f>
        <v>#NAME?</v>
      </c>
      <c r="K827" s="7" t="e">
        <f ca="1">_xll.xlqhClose($C827,K$8,$K$3)</f>
        <v>#NAME?</v>
      </c>
      <c r="L827" s="7" t="e">
        <f ca="1">_xll.xlqhClose($C827,L$8,$K$3)</f>
        <v>#NAME?</v>
      </c>
      <c r="N827" s="9">
        <f t="shared" ca="1" si="127"/>
        <v>1</v>
      </c>
      <c r="O827" s="9">
        <f t="shared" ca="1" si="128"/>
        <v>1</v>
      </c>
      <c r="P827" s="9">
        <f t="shared" ca="1" si="129"/>
        <v>1</v>
      </c>
      <c r="Q827" s="9">
        <f t="shared" ca="1" si="130"/>
        <v>1</v>
      </c>
      <c r="R827" s="9">
        <f t="shared" ca="1" si="131"/>
        <v>0</v>
      </c>
    </row>
    <row r="828" spans="2:18" x14ac:dyDescent="0.25">
      <c r="B828" t="s">
        <v>276</v>
      </c>
      <c r="C828" s="39" t="s">
        <v>277</v>
      </c>
      <c r="D828" s="7" t="e">
        <f ca="1">_xll.xlqPrice(C828)</f>
        <v>#NAME?</v>
      </c>
      <c r="E828" s="9" t="e">
        <f t="shared" ca="1" si="122"/>
        <v>#NAME?</v>
      </c>
      <c r="F828" s="9">
        <f t="shared" ca="1" si="123"/>
        <v>1</v>
      </c>
      <c r="G828" s="8">
        <f t="shared" ca="1" si="124"/>
        <v>0</v>
      </c>
      <c r="H828" s="8">
        <f t="shared" ca="1" si="125"/>
        <v>0</v>
      </c>
      <c r="I828" s="8">
        <f t="shared" ca="1" si="126"/>
        <v>0</v>
      </c>
      <c r="J828" s="6" t="e">
        <f ca="1">_xll.xlqxhSMA($C828,$L$4,$J$7,$K$3)</f>
        <v>#NAME?</v>
      </c>
      <c r="K828" s="7" t="e">
        <f ca="1">_xll.xlqhClose($C828,K$8,$K$3)</f>
        <v>#NAME?</v>
      </c>
      <c r="L828" s="7" t="e">
        <f ca="1">_xll.xlqhClose($C828,L$8,$K$3)</f>
        <v>#NAME?</v>
      </c>
      <c r="N828" s="9">
        <f t="shared" ca="1" si="127"/>
        <v>1</v>
      </c>
      <c r="O828" s="9">
        <f t="shared" ca="1" si="128"/>
        <v>1</v>
      </c>
      <c r="P828" s="9">
        <f t="shared" ca="1" si="129"/>
        <v>1</v>
      </c>
      <c r="Q828" s="9">
        <f t="shared" ca="1" si="130"/>
        <v>1</v>
      </c>
      <c r="R828" s="9">
        <f t="shared" ca="1" si="131"/>
        <v>0</v>
      </c>
    </row>
    <row r="829" spans="2:18" x14ac:dyDescent="0.25">
      <c r="B829" s="17" t="s">
        <v>1681</v>
      </c>
      <c r="C829" s="18" t="s">
        <v>1682</v>
      </c>
      <c r="D829" s="7" t="e">
        <f ca="1">_xll.xlqPrice(C829)</f>
        <v>#NAME?</v>
      </c>
      <c r="E829" s="9" t="e">
        <f t="shared" ca="1" si="122"/>
        <v>#NAME?</v>
      </c>
      <c r="F829" s="9">
        <f t="shared" ca="1" si="123"/>
        <v>1</v>
      </c>
      <c r="G829" s="8">
        <f t="shared" ca="1" si="124"/>
        <v>0</v>
      </c>
      <c r="H829" s="8">
        <f t="shared" ca="1" si="125"/>
        <v>0</v>
      </c>
      <c r="I829" s="8">
        <f t="shared" ca="1" si="126"/>
        <v>0</v>
      </c>
      <c r="J829" s="6" t="e">
        <f ca="1">_xll.xlqxhSMA($C829,$L$4,$J$7,$K$3)</f>
        <v>#NAME?</v>
      </c>
      <c r="K829" s="7" t="e">
        <f ca="1">_xll.xlqhClose($C829,K$8,$K$3)</f>
        <v>#NAME?</v>
      </c>
      <c r="L829" s="7" t="e">
        <f ca="1">_xll.xlqhClose($C829,L$8,$K$3)</f>
        <v>#NAME?</v>
      </c>
      <c r="N829" s="9">
        <f t="shared" ca="1" si="127"/>
        <v>1</v>
      </c>
      <c r="O829" s="9">
        <f t="shared" ca="1" si="128"/>
        <v>1</v>
      </c>
      <c r="P829" s="9">
        <f t="shared" ca="1" si="129"/>
        <v>1</v>
      </c>
      <c r="Q829" s="9">
        <f t="shared" ca="1" si="130"/>
        <v>1</v>
      </c>
      <c r="R829" s="9">
        <f t="shared" ca="1" si="131"/>
        <v>0</v>
      </c>
    </row>
    <row r="830" spans="2:18" x14ac:dyDescent="0.25">
      <c r="B830" t="s">
        <v>2021</v>
      </c>
      <c r="C830" s="39" t="s">
        <v>2022</v>
      </c>
      <c r="D830" s="7" t="e">
        <f ca="1">_xll.xlqPrice(C830)</f>
        <v>#NAME?</v>
      </c>
      <c r="E830" s="9" t="e">
        <f t="shared" ca="1" si="122"/>
        <v>#NAME?</v>
      </c>
      <c r="F830" s="9">
        <f t="shared" ca="1" si="123"/>
        <v>1</v>
      </c>
      <c r="G830" s="8">
        <f t="shared" ca="1" si="124"/>
        <v>0</v>
      </c>
      <c r="H830" s="8">
        <f t="shared" ca="1" si="125"/>
        <v>0</v>
      </c>
      <c r="I830" s="8">
        <f t="shared" ca="1" si="126"/>
        <v>0</v>
      </c>
      <c r="J830" s="6" t="e">
        <f ca="1">_xll.xlqxhSMA($C830,$L$4,$J$7,$K$3)</f>
        <v>#NAME?</v>
      </c>
      <c r="K830" s="7" t="e">
        <f ca="1">_xll.xlqhClose($C830,K$8,$K$3)</f>
        <v>#NAME?</v>
      </c>
      <c r="L830" s="7" t="e">
        <f ca="1">_xll.xlqhClose($C830,L$8,$K$3)</f>
        <v>#NAME?</v>
      </c>
      <c r="N830" s="9">
        <f t="shared" ca="1" si="127"/>
        <v>1</v>
      </c>
      <c r="O830" s="9">
        <f t="shared" ca="1" si="128"/>
        <v>1</v>
      </c>
      <c r="P830" s="9">
        <f t="shared" ca="1" si="129"/>
        <v>1</v>
      </c>
      <c r="Q830" s="9">
        <f t="shared" ca="1" si="130"/>
        <v>1</v>
      </c>
      <c r="R830" s="9">
        <f t="shared" ca="1" si="131"/>
        <v>0</v>
      </c>
    </row>
    <row r="831" spans="2:18" x14ac:dyDescent="0.25">
      <c r="B831" s="17" t="s">
        <v>1547</v>
      </c>
      <c r="C831" s="18" t="s">
        <v>1548</v>
      </c>
      <c r="D831" s="7" t="e">
        <f ca="1">_xll.xlqPrice(C831)</f>
        <v>#NAME?</v>
      </c>
      <c r="E831" s="9" t="e">
        <f t="shared" ca="1" si="122"/>
        <v>#NAME?</v>
      </c>
      <c r="F831" s="9">
        <f t="shared" ca="1" si="123"/>
        <v>1</v>
      </c>
      <c r="G831" s="8">
        <f t="shared" ca="1" si="124"/>
        <v>0</v>
      </c>
      <c r="H831" s="8">
        <f t="shared" ca="1" si="125"/>
        <v>0</v>
      </c>
      <c r="I831" s="8">
        <f t="shared" ca="1" si="126"/>
        <v>0</v>
      </c>
      <c r="J831" s="6" t="e">
        <f ca="1">_xll.xlqxhSMA($C831,$L$4,$J$7,$K$3)</f>
        <v>#NAME?</v>
      </c>
      <c r="K831" s="7" t="e">
        <f ca="1">_xll.xlqhClose($C831,K$8,$K$3)</f>
        <v>#NAME?</v>
      </c>
      <c r="L831" s="7" t="e">
        <f ca="1">_xll.xlqhClose($C831,L$8,$K$3)</f>
        <v>#NAME?</v>
      </c>
      <c r="N831" s="9">
        <f t="shared" ca="1" si="127"/>
        <v>1</v>
      </c>
      <c r="O831" s="9">
        <f t="shared" ca="1" si="128"/>
        <v>1</v>
      </c>
      <c r="P831" s="9">
        <f t="shared" ca="1" si="129"/>
        <v>1</v>
      </c>
      <c r="Q831" s="9">
        <f t="shared" ca="1" si="130"/>
        <v>1</v>
      </c>
      <c r="R831" s="9">
        <f t="shared" ca="1" si="131"/>
        <v>0</v>
      </c>
    </row>
    <row r="832" spans="2:18" x14ac:dyDescent="0.25">
      <c r="B832" s="17" t="s">
        <v>2301</v>
      </c>
      <c r="C832" s="18" t="s">
        <v>2302</v>
      </c>
      <c r="D832" s="7" t="e">
        <f ca="1">_xll.xlqPrice(C832)</f>
        <v>#NAME?</v>
      </c>
      <c r="E832" s="9" t="e">
        <f t="shared" ca="1" si="122"/>
        <v>#NAME?</v>
      </c>
      <c r="F832" s="9">
        <f t="shared" ca="1" si="123"/>
        <v>1</v>
      </c>
      <c r="G832" s="8">
        <f t="shared" ca="1" si="124"/>
        <v>0</v>
      </c>
      <c r="H832" s="8">
        <f t="shared" ca="1" si="125"/>
        <v>0</v>
      </c>
      <c r="I832" s="8">
        <f t="shared" ca="1" si="126"/>
        <v>0</v>
      </c>
      <c r="J832" s="6" t="e">
        <f ca="1">_xll.xlqxhSMA($C832,$L$4,$J$7,$K$3)</f>
        <v>#NAME?</v>
      </c>
      <c r="K832" s="7" t="e">
        <f ca="1">_xll.xlqhClose($C832,K$8,$K$3)</f>
        <v>#NAME?</v>
      </c>
      <c r="L832" s="7" t="e">
        <f ca="1">_xll.xlqhClose($C832,L$8,$K$3)</f>
        <v>#NAME?</v>
      </c>
      <c r="N832" s="9">
        <f t="shared" ca="1" si="127"/>
        <v>1</v>
      </c>
      <c r="O832" s="9">
        <f t="shared" ca="1" si="128"/>
        <v>1</v>
      </c>
      <c r="P832" s="9">
        <f t="shared" ca="1" si="129"/>
        <v>1</v>
      </c>
      <c r="Q832" s="9">
        <f t="shared" ca="1" si="130"/>
        <v>1</v>
      </c>
      <c r="R832" s="9">
        <f t="shared" ca="1" si="131"/>
        <v>0</v>
      </c>
    </row>
    <row r="833" spans="2:18" x14ac:dyDescent="0.25">
      <c r="B833" s="17" t="s">
        <v>700</v>
      </c>
      <c r="C833" s="18" t="s">
        <v>701</v>
      </c>
      <c r="D833" s="7" t="e">
        <f ca="1">_xll.xlqPrice(C833)</f>
        <v>#NAME?</v>
      </c>
      <c r="E833" s="9" t="e">
        <f t="shared" ca="1" si="122"/>
        <v>#NAME?</v>
      </c>
      <c r="F833" s="9">
        <f t="shared" ca="1" si="123"/>
        <v>1</v>
      </c>
      <c r="G833" s="8">
        <f t="shared" ca="1" si="124"/>
        <v>0</v>
      </c>
      <c r="H833" s="8">
        <f t="shared" ca="1" si="125"/>
        <v>0</v>
      </c>
      <c r="I833" s="8">
        <f t="shared" ca="1" si="126"/>
        <v>0</v>
      </c>
      <c r="J833" s="6" t="e">
        <f ca="1">_xll.xlqxhSMA($C833,$L$4,$J$7,$K$3)</f>
        <v>#NAME?</v>
      </c>
      <c r="K833" s="7" t="e">
        <f ca="1">_xll.xlqhClose($C833,K$8,$K$3)</f>
        <v>#NAME?</v>
      </c>
      <c r="L833" s="7" t="e">
        <f ca="1">_xll.xlqhClose($C833,L$8,$K$3)</f>
        <v>#NAME?</v>
      </c>
      <c r="N833" s="9">
        <f t="shared" ca="1" si="127"/>
        <v>1</v>
      </c>
      <c r="O833" s="9">
        <f t="shared" ca="1" si="128"/>
        <v>1</v>
      </c>
      <c r="P833" s="9">
        <f t="shared" ca="1" si="129"/>
        <v>1</v>
      </c>
      <c r="Q833" s="9">
        <f t="shared" ca="1" si="130"/>
        <v>1</v>
      </c>
      <c r="R833" s="9">
        <f t="shared" ca="1" si="131"/>
        <v>0</v>
      </c>
    </row>
    <row r="834" spans="2:18" x14ac:dyDescent="0.25">
      <c r="B834" t="s">
        <v>1679</v>
      </c>
      <c r="C834" s="39" t="s">
        <v>1680</v>
      </c>
      <c r="D834" s="7" t="e">
        <f ca="1">_xll.xlqPrice(C834)</f>
        <v>#NAME?</v>
      </c>
      <c r="E834" s="9" t="e">
        <f t="shared" ca="1" si="122"/>
        <v>#NAME?</v>
      </c>
      <c r="F834" s="9">
        <f t="shared" ca="1" si="123"/>
        <v>1</v>
      </c>
      <c r="G834" s="8">
        <f t="shared" ca="1" si="124"/>
        <v>0</v>
      </c>
      <c r="H834" s="8">
        <f t="shared" ca="1" si="125"/>
        <v>0</v>
      </c>
      <c r="I834" s="8">
        <f t="shared" ca="1" si="126"/>
        <v>0</v>
      </c>
      <c r="J834" s="6" t="e">
        <f ca="1">_xll.xlqxhSMA($C834,$L$4,$J$7,$K$3)</f>
        <v>#NAME?</v>
      </c>
      <c r="K834" s="7" t="e">
        <f ca="1">_xll.xlqhClose($C834,K$8,$K$3)</f>
        <v>#NAME?</v>
      </c>
      <c r="L834" s="7" t="e">
        <f ca="1">_xll.xlqhClose($C834,L$8,$K$3)</f>
        <v>#NAME?</v>
      </c>
      <c r="N834" s="9">
        <f t="shared" ca="1" si="127"/>
        <v>1</v>
      </c>
      <c r="O834" s="9">
        <f t="shared" ca="1" si="128"/>
        <v>1</v>
      </c>
      <c r="P834" s="9">
        <f t="shared" ca="1" si="129"/>
        <v>1</v>
      </c>
      <c r="Q834" s="9">
        <f t="shared" ca="1" si="130"/>
        <v>1</v>
      </c>
      <c r="R834" s="9">
        <f t="shared" ca="1" si="131"/>
        <v>0</v>
      </c>
    </row>
    <row r="835" spans="2:18" x14ac:dyDescent="0.25">
      <c r="B835" s="17" t="s">
        <v>528</v>
      </c>
      <c r="C835" s="18" t="s">
        <v>529</v>
      </c>
      <c r="D835" s="7" t="e">
        <f ca="1">_xll.xlqPrice(C835)</f>
        <v>#NAME?</v>
      </c>
      <c r="E835" s="9" t="e">
        <f t="shared" ca="1" si="122"/>
        <v>#NAME?</v>
      </c>
      <c r="F835" s="9">
        <f t="shared" ca="1" si="123"/>
        <v>1</v>
      </c>
      <c r="G835" s="8">
        <f t="shared" ca="1" si="124"/>
        <v>0</v>
      </c>
      <c r="H835" s="8">
        <f t="shared" ca="1" si="125"/>
        <v>0</v>
      </c>
      <c r="I835" s="8">
        <f t="shared" ca="1" si="126"/>
        <v>0</v>
      </c>
      <c r="J835" s="6" t="e">
        <f ca="1">_xll.xlqxhSMA($C835,$L$4,$J$7,$K$3)</f>
        <v>#NAME?</v>
      </c>
      <c r="K835" s="7" t="e">
        <f ca="1">_xll.xlqhClose($C835,K$8,$K$3)</f>
        <v>#NAME?</v>
      </c>
      <c r="L835" s="7" t="e">
        <f ca="1">_xll.xlqhClose($C835,L$8,$K$3)</f>
        <v>#NAME?</v>
      </c>
      <c r="N835" s="9">
        <f t="shared" ca="1" si="127"/>
        <v>1</v>
      </c>
      <c r="O835" s="9">
        <f t="shared" ca="1" si="128"/>
        <v>1</v>
      </c>
      <c r="P835" s="9">
        <f t="shared" ca="1" si="129"/>
        <v>1</v>
      </c>
      <c r="Q835" s="9">
        <f t="shared" ca="1" si="130"/>
        <v>1</v>
      </c>
      <c r="R835" s="9">
        <f t="shared" ca="1" si="131"/>
        <v>0</v>
      </c>
    </row>
    <row r="836" spans="2:18" x14ac:dyDescent="0.25">
      <c r="B836" s="17" t="s">
        <v>716</v>
      </c>
      <c r="C836" s="18" t="s">
        <v>717</v>
      </c>
      <c r="D836" s="7" t="e">
        <f ca="1">_xll.xlqPrice(C836)</f>
        <v>#NAME?</v>
      </c>
      <c r="E836" s="9" t="e">
        <f t="shared" ca="1" si="122"/>
        <v>#NAME?</v>
      </c>
      <c r="F836" s="9">
        <f t="shared" ca="1" si="123"/>
        <v>1</v>
      </c>
      <c r="G836" s="8">
        <f t="shared" ca="1" si="124"/>
        <v>0</v>
      </c>
      <c r="H836" s="8">
        <f t="shared" ca="1" si="125"/>
        <v>0</v>
      </c>
      <c r="I836" s="8">
        <f t="shared" ca="1" si="126"/>
        <v>0</v>
      </c>
      <c r="J836" s="6" t="e">
        <f ca="1">_xll.xlqxhSMA($C836,$L$4,$J$7,$K$3)</f>
        <v>#NAME?</v>
      </c>
      <c r="K836" s="7" t="e">
        <f ca="1">_xll.xlqhClose($C836,K$8,$K$3)</f>
        <v>#NAME?</v>
      </c>
      <c r="L836" s="7" t="e">
        <f ca="1">_xll.xlqhClose($C836,L$8,$K$3)</f>
        <v>#NAME?</v>
      </c>
      <c r="N836" s="9">
        <f t="shared" ca="1" si="127"/>
        <v>1</v>
      </c>
      <c r="O836" s="9">
        <f t="shared" ca="1" si="128"/>
        <v>1</v>
      </c>
      <c r="P836" s="9">
        <f t="shared" ca="1" si="129"/>
        <v>1</v>
      </c>
      <c r="Q836" s="9">
        <f t="shared" ca="1" si="130"/>
        <v>1</v>
      </c>
      <c r="R836" s="9">
        <f t="shared" ca="1" si="131"/>
        <v>0</v>
      </c>
    </row>
    <row r="837" spans="2:18" x14ac:dyDescent="0.25">
      <c r="B837" s="17" t="s">
        <v>1571</v>
      </c>
      <c r="C837" s="18" t="s">
        <v>1572</v>
      </c>
      <c r="D837" s="7" t="e">
        <f ca="1">_xll.xlqPrice(C837)</f>
        <v>#NAME?</v>
      </c>
      <c r="E837" s="9" t="e">
        <f t="shared" ca="1" si="122"/>
        <v>#NAME?</v>
      </c>
      <c r="F837" s="9">
        <f t="shared" ca="1" si="123"/>
        <v>1</v>
      </c>
      <c r="G837" s="8">
        <f t="shared" ca="1" si="124"/>
        <v>0</v>
      </c>
      <c r="H837" s="8">
        <f t="shared" ca="1" si="125"/>
        <v>0</v>
      </c>
      <c r="I837" s="8">
        <f t="shared" ca="1" si="126"/>
        <v>0</v>
      </c>
      <c r="J837" s="6" t="e">
        <f ca="1">_xll.xlqxhSMA($C837,$L$4,$J$7,$K$3)</f>
        <v>#NAME?</v>
      </c>
      <c r="K837" s="7" t="e">
        <f ca="1">_xll.xlqhClose($C837,K$8,$K$3)</f>
        <v>#NAME?</v>
      </c>
      <c r="L837" s="7" t="e">
        <f ca="1">_xll.xlqhClose($C837,L$8,$K$3)</f>
        <v>#NAME?</v>
      </c>
      <c r="N837" s="9">
        <f t="shared" ca="1" si="127"/>
        <v>1</v>
      </c>
      <c r="O837" s="9">
        <f t="shared" ca="1" si="128"/>
        <v>1</v>
      </c>
      <c r="P837" s="9">
        <f t="shared" ca="1" si="129"/>
        <v>1</v>
      </c>
      <c r="Q837" s="9">
        <f t="shared" ca="1" si="130"/>
        <v>1</v>
      </c>
      <c r="R837" s="9">
        <f t="shared" ca="1" si="131"/>
        <v>0</v>
      </c>
    </row>
    <row r="838" spans="2:18" x14ac:dyDescent="0.25">
      <c r="B838" t="s">
        <v>1577</v>
      </c>
      <c r="C838" s="39" t="s">
        <v>1578</v>
      </c>
      <c r="D838" s="7" t="e">
        <f ca="1">_xll.xlqPrice(C838)</f>
        <v>#NAME?</v>
      </c>
      <c r="E838" s="9" t="e">
        <f t="shared" ca="1" si="122"/>
        <v>#NAME?</v>
      </c>
      <c r="F838" s="9">
        <f t="shared" ca="1" si="123"/>
        <v>1</v>
      </c>
      <c r="G838" s="8">
        <f t="shared" ca="1" si="124"/>
        <v>0</v>
      </c>
      <c r="H838" s="8">
        <f t="shared" ca="1" si="125"/>
        <v>0</v>
      </c>
      <c r="I838" s="8">
        <f t="shared" ca="1" si="126"/>
        <v>0</v>
      </c>
      <c r="J838" s="6" t="e">
        <f ca="1">_xll.xlqxhSMA($C838,$L$4,$J$7,$K$3)</f>
        <v>#NAME?</v>
      </c>
      <c r="K838" s="7" t="e">
        <f ca="1">_xll.xlqhClose($C838,K$8,$K$3)</f>
        <v>#NAME?</v>
      </c>
      <c r="L838" s="7" t="e">
        <f ca="1">_xll.xlqhClose($C838,L$8,$K$3)</f>
        <v>#NAME?</v>
      </c>
      <c r="N838" s="9">
        <f t="shared" ca="1" si="127"/>
        <v>1</v>
      </c>
      <c r="O838" s="9">
        <f t="shared" ca="1" si="128"/>
        <v>1</v>
      </c>
      <c r="P838" s="9">
        <f t="shared" ca="1" si="129"/>
        <v>1</v>
      </c>
      <c r="Q838" s="9">
        <f t="shared" ca="1" si="130"/>
        <v>1</v>
      </c>
      <c r="R838" s="9">
        <f t="shared" ca="1" si="131"/>
        <v>0</v>
      </c>
    </row>
    <row r="839" spans="2:18" x14ac:dyDescent="0.25">
      <c r="B839" s="17" t="s">
        <v>550</v>
      </c>
      <c r="C839" s="18" t="s">
        <v>551</v>
      </c>
      <c r="D839" s="7" t="e">
        <f ca="1">_xll.xlqPrice(C839)</f>
        <v>#NAME?</v>
      </c>
      <c r="E839" s="9" t="e">
        <f t="shared" ca="1" si="122"/>
        <v>#NAME?</v>
      </c>
      <c r="F839" s="9">
        <f t="shared" ca="1" si="123"/>
        <v>1</v>
      </c>
      <c r="G839" s="8">
        <f t="shared" ca="1" si="124"/>
        <v>0</v>
      </c>
      <c r="H839" s="8">
        <f t="shared" ca="1" si="125"/>
        <v>0</v>
      </c>
      <c r="I839" s="8">
        <f t="shared" ca="1" si="126"/>
        <v>0</v>
      </c>
      <c r="J839" s="6" t="e">
        <f ca="1">_xll.xlqxhSMA($C839,$L$4,$J$7,$K$3)</f>
        <v>#NAME?</v>
      </c>
      <c r="K839" s="7" t="e">
        <f ca="1">_xll.xlqhClose($C839,K$8,$K$3)</f>
        <v>#NAME?</v>
      </c>
      <c r="L839" s="7" t="e">
        <f ca="1">_xll.xlqhClose($C839,L$8,$K$3)</f>
        <v>#NAME?</v>
      </c>
      <c r="N839" s="9">
        <f t="shared" ca="1" si="127"/>
        <v>1</v>
      </c>
      <c r="O839" s="9">
        <f t="shared" ca="1" si="128"/>
        <v>1</v>
      </c>
      <c r="P839" s="9">
        <f t="shared" ca="1" si="129"/>
        <v>1</v>
      </c>
      <c r="Q839" s="9">
        <f t="shared" ca="1" si="130"/>
        <v>1</v>
      </c>
      <c r="R839" s="9">
        <f t="shared" ca="1" si="131"/>
        <v>0</v>
      </c>
    </row>
    <row r="840" spans="2:18" x14ac:dyDescent="0.25">
      <c r="B840" s="17" t="s">
        <v>604</v>
      </c>
      <c r="C840" s="18" t="s">
        <v>605</v>
      </c>
      <c r="D840" s="7" t="e">
        <f ca="1">_xll.xlqPrice(C840)</f>
        <v>#NAME?</v>
      </c>
      <c r="E840" s="9" t="e">
        <f t="shared" ca="1" si="122"/>
        <v>#NAME?</v>
      </c>
      <c r="F840" s="9">
        <f t="shared" ca="1" si="123"/>
        <v>1</v>
      </c>
      <c r="G840" s="8">
        <f t="shared" ca="1" si="124"/>
        <v>0</v>
      </c>
      <c r="H840" s="8">
        <f t="shared" ca="1" si="125"/>
        <v>0</v>
      </c>
      <c r="I840" s="8">
        <f t="shared" ca="1" si="126"/>
        <v>0</v>
      </c>
      <c r="J840" s="6" t="e">
        <f ca="1">_xll.xlqxhSMA($C840,$L$4,$J$7,$K$3)</f>
        <v>#NAME?</v>
      </c>
      <c r="K840" s="7" t="e">
        <f ca="1">_xll.xlqhClose($C840,K$8,$K$3)</f>
        <v>#NAME?</v>
      </c>
      <c r="L840" s="7" t="e">
        <f ca="1">_xll.xlqhClose($C840,L$8,$K$3)</f>
        <v>#NAME?</v>
      </c>
      <c r="N840" s="9">
        <f t="shared" ca="1" si="127"/>
        <v>1</v>
      </c>
      <c r="O840" s="9">
        <f t="shared" ca="1" si="128"/>
        <v>1</v>
      </c>
      <c r="P840" s="9">
        <f t="shared" ca="1" si="129"/>
        <v>1</v>
      </c>
      <c r="Q840" s="9">
        <f t="shared" ca="1" si="130"/>
        <v>1</v>
      </c>
      <c r="R840" s="9">
        <f t="shared" ca="1" si="131"/>
        <v>0</v>
      </c>
    </row>
    <row r="841" spans="2:18" x14ac:dyDescent="0.25">
      <c r="B841" s="17" t="s">
        <v>1263</v>
      </c>
      <c r="C841" s="18" t="s">
        <v>1264</v>
      </c>
      <c r="D841" s="7" t="e">
        <f ca="1">_xll.xlqPrice(C841)</f>
        <v>#NAME?</v>
      </c>
      <c r="E841" s="9" t="e">
        <f t="shared" ca="1" si="122"/>
        <v>#NAME?</v>
      </c>
      <c r="F841" s="9">
        <f t="shared" ca="1" si="123"/>
        <v>1</v>
      </c>
      <c r="G841" s="8">
        <f t="shared" ca="1" si="124"/>
        <v>0</v>
      </c>
      <c r="H841" s="8">
        <f t="shared" ca="1" si="125"/>
        <v>0</v>
      </c>
      <c r="I841" s="8">
        <f t="shared" ca="1" si="126"/>
        <v>0</v>
      </c>
      <c r="J841" s="6" t="e">
        <f ca="1">_xll.xlqxhSMA($C841,$L$4,$J$7,$K$3)</f>
        <v>#NAME?</v>
      </c>
      <c r="K841" s="7" t="e">
        <f ca="1">_xll.xlqhClose($C841,K$8,$K$3)</f>
        <v>#NAME?</v>
      </c>
      <c r="L841" s="7" t="e">
        <f ca="1">_xll.xlqhClose($C841,L$8,$K$3)</f>
        <v>#NAME?</v>
      </c>
      <c r="N841" s="9">
        <f t="shared" ca="1" si="127"/>
        <v>1</v>
      </c>
      <c r="O841" s="9">
        <f t="shared" ca="1" si="128"/>
        <v>1</v>
      </c>
      <c r="P841" s="9">
        <f t="shared" ca="1" si="129"/>
        <v>1</v>
      </c>
      <c r="Q841" s="9">
        <f t="shared" ca="1" si="130"/>
        <v>1</v>
      </c>
      <c r="R841" s="9">
        <f t="shared" ca="1" si="131"/>
        <v>0</v>
      </c>
    </row>
    <row r="842" spans="2:18" x14ac:dyDescent="0.25">
      <c r="B842" t="s">
        <v>1375</v>
      </c>
      <c r="C842" s="39" t="s">
        <v>1376</v>
      </c>
      <c r="D842" s="7" t="e">
        <f ca="1">_xll.xlqPrice(C842)</f>
        <v>#NAME?</v>
      </c>
      <c r="E842" s="9" t="e">
        <f t="shared" ca="1" si="122"/>
        <v>#NAME?</v>
      </c>
      <c r="F842" s="9">
        <f t="shared" ca="1" si="123"/>
        <v>1</v>
      </c>
      <c r="G842" s="8">
        <f t="shared" ca="1" si="124"/>
        <v>0</v>
      </c>
      <c r="H842" s="8">
        <f t="shared" ca="1" si="125"/>
        <v>0</v>
      </c>
      <c r="I842" s="8">
        <f t="shared" ca="1" si="126"/>
        <v>0</v>
      </c>
      <c r="J842" s="6" t="e">
        <f ca="1">_xll.xlqxhSMA($C842,$L$4,$J$7,$K$3)</f>
        <v>#NAME?</v>
      </c>
      <c r="K842" s="7" t="e">
        <f ca="1">_xll.xlqhClose($C842,K$8,$K$3)</f>
        <v>#NAME?</v>
      </c>
      <c r="L842" s="7" t="e">
        <f ca="1">_xll.xlqhClose($C842,L$8,$K$3)</f>
        <v>#NAME?</v>
      </c>
      <c r="N842" s="9">
        <f t="shared" ca="1" si="127"/>
        <v>1</v>
      </c>
      <c r="O842" s="9">
        <f t="shared" ca="1" si="128"/>
        <v>1</v>
      </c>
      <c r="P842" s="9">
        <f t="shared" ca="1" si="129"/>
        <v>1</v>
      </c>
      <c r="Q842" s="9">
        <f t="shared" ca="1" si="130"/>
        <v>1</v>
      </c>
      <c r="R842" s="9">
        <f t="shared" ca="1" si="131"/>
        <v>0</v>
      </c>
    </row>
    <row r="843" spans="2:18" x14ac:dyDescent="0.25">
      <c r="B843" t="s">
        <v>2013</v>
      </c>
      <c r="C843" s="39" t="s">
        <v>2014</v>
      </c>
      <c r="D843" s="7" t="e">
        <f ca="1">_xll.xlqPrice(C843)</f>
        <v>#NAME?</v>
      </c>
      <c r="E843" s="9" t="e">
        <f t="shared" ref="E843:E906" ca="1" si="132">IF(D843&gt;J843, "Buy","Cash")</f>
        <v>#NAME?</v>
      </c>
      <c r="F843" s="9">
        <f t="shared" ref="F843:F906" ca="1" si="133">RANK(I843,$I$11:$I$1138,0)</f>
        <v>1</v>
      </c>
      <c r="G843" s="8">
        <f t="shared" ref="G843:G906" ca="1" si="134">IFERROR(($D843-K843)/K843,0)</f>
        <v>0</v>
      </c>
      <c r="H843" s="8">
        <f t="shared" ref="H843:H906" ca="1" si="135">IFERROR(($D843-L843)/L843,0)</f>
        <v>0</v>
      </c>
      <c r="I843" s="8">
        <f t="shared" ref="I843:I906" ca="1" si="136">IFERROR((G843*$G$8)+(H843*$H$8),0)</f>
        <v>0</v>
      </c>
      <c r="J843" s="6" t="e">
        <f ca="1">_xll.xlqxhSMA($C843,$L$4,$J$7,$K$3)</f>
        <v>#NAME?</v>
      </c>
      <c r="K843" s="7" t="e">
        <f ca="1">_xll.xlqhClose($C843,K$8,$K$3)</f>
        <v>#NAME?</v>
      </c>
      <c r="L843" s="7" t="e">
        <f ca="1">_xll.xlqhClose($C843,L$8,$K$3)</f>
        <v>#NAME?</v>
      </c>
      <c r="N843" s="9">
        <f t="shared" ref="N843:N906" ca="1" si="137">RANK($G843,G$11:G$1138,0)</f>
        <v>1</v>
      </c>
      <c r="O843" s="9">
        <f t="shared" ref="O843:O906" ca="1" si="138">RANK($H843,H$11:H$1138,0)</f>
        <v>1</v>
      </c>
      <c r="P843" s="9">
        <f t="shared" ref="P843:P906" ca="1" si="139">RANK($I843,I$11:I$1138,0)</f>
        <v>1</v>
      </c>
      <c r="Q843" s="9">
        <f t="shared" ref="Q843:Q906" ca="1" si="140">RANK($P843,P$11:P$1138,1)</f>
        <v>1</v>
      </c>
      <c r="R843" s="9">
        <f t="shared" ref="R843:R906" ca="1" si="141">F843-Q843</f>
        <v>0</v>
      </c>
    </row>
    <row r="844" spans="2:18" x14ac:dyDescent="0.25">
      <c r="B844" t="s">
        <v>1231</v>
      </c>
      <c r="C844" s="39" t="s">
        <v>1232</v>
      </c>
      <c r="D844" s="7" t="e">
        <f ca="1">_xll.xlqPrice(C844)</f>
        <v>#NAME?</v>
      </c>
      <c r="E844" s="9" t="e">
        <f t="shared" ca="1" si="132"/>
        <v>#NAME?</v>
      </c>
      <c r="F844" s="9">
        <f t="shared" ca="1" si="133"/>
        <v>1</v>
      </c>
      <c r="G844" s="8">
        <f t="shared" ca="1" si="134"/>
        <v>0</v>
      </c>
      <c r="H844" s="8">
        <f t="shared" ca="1" si="135"/>
        <v>0</v>
      </c>
      <c r="I844" s="8">
        <f t="shared" ca="1" si="136"/>
        <v>0</v>
      </c>
      <c r="J844" s="6" t="e">
        <f ca="1">_xll.xlqxhSMA($C844,$L$4,$J$7,$K$3)</f>
        <v>#NAME?</v>
      </c>
      <c r="K844" s="7" t="e">
        <f ca="1">_xll.xlqhClose($C844,K$8,$K$3)</f>
        <v>#NAME?</v>
      </c>
      <c r="L844" s="7" t="e">
        <f ca="1">_xll.xlqhClose($C844,L$8,$K$3)</f>
        <v>#NAME?</v>
      </c>
      <c r="N844" s="9">
        <f t="shared" ca="1" si="137"/>
        <v>1</v>
      </c>
      <c r="O844" s="9">
        <f t="shared" ca="1" si="138"/>
        <v>1</v>
      </c>
      <c r="P844" s="9">
        <f t="shared" ca="1" si="139"/>
        <v>1</v>
      </c>
      <c r="Q844" s="9">
        <f t="shared" ca="1" si="140"/>
        <v>1</v>
      </c>
      <c r="R844" s="9">
        <f t="shared" ca="1" si="141"/>
        <v>0</v>
      </c>
    </row>
    <row r="845" spans="2:18" x14ac:dyDescent="0.25">
      <c r="B845" s="17" t="s">
        <v>2265</v>
      </c>
      <c r="C845" s="18" t="s">
        <v>2266</v>
      </c>
      <c r="D845" s="7" t="e">
        <f ca="1">_xll.xlqPrice(C845)</f>
        <v>#NAME?</v>
      </c>
      <c r="E845" s="9" t="e">
        <f t="shared" ca="1" si="132"/>
        <v>#NAME?</v>
      </c>
      <c r="F845" s="9">
        <f t="shared" ca="1" si="133"/>
        <v>1</v>
      </c>
      <c r="G845" s="8">
        <f t="shared" ca="1" si="134"/>
        <v>0</v>
      </c>
      <c r="H845" s="8">
        <f t="shared" ca="1" si="135"/>
        <v>0</v>
      </c>
      <c r="I845" s="8">
        <f t="shared" ca="1" si="136"/>
        <v>0</v>
      </c>
      <c r="J845" s="6" t="e">
        <f ca="1">_xll.xlqxhSMA($C845,$L$4,$J$7,$K$3)</f>
        <v>#NAME?</v>
      </c>
      <c r="K845" s="7" t="e">
        <f ca="1">_xll.xlqhClose($C845,K$8,$K$3)</f>
        <v>#NAME?</v>
      </c>
      <c r="L845" s="7" t="e">
        <f ca="1">_xll.xlqhClose($C845,L$8,$K$3)</f>
        <v>#NAME?</v>
      </c>
      <c r="N845" s="9">
        <f t="shared" ca="1" si="137"/>
        <v>1</v>
      </c>
      <c r="O845" s="9">
        <f t="shared" ca="1" si="138"/>
        <v>1</v>
      </c>
      <c r="P845" s="9">
        <f t="shared" ca="1" si="139"/>
        <v>1</v>
      </c>
      <c r="Q845" s="9">
        <f t="shared" ca="1" si="140"/>
        <v>1</v>
      </c>
      <c r="R845" s="9">
        <f t="shared" ca="1" si="141"/>
        <v>0</v>
      </c>
    </row>
    <row r="846" spans="2:18" x14ac:dyDescent="0.25">
      <c r="B846" s="17" t="s">
        <v>246</v>
      </c>
      <c r="C846" s="18" t="s">
        <v>247</v>
      </c>
      <c r="D846" s="7" t="e">
        <f ca="1">_xll.xlqPrice(C846)</f>
        <v>#NAME?</v>
      </c>
      <c r="E846" s="9" t="e">
        <f t="shared" ca="1" si="132"/>
        <v>#NAME?</v>
      </c>
      <c r="F846" s="9">
        <f t="shared" ca="1" si="133"/>
        <v>1</v>
      </c>
      <c r="G846" s="8">
        <f t="shared" ca="1" si="134"/>
        <v>0</v>
      </c>
      <c r="H846" s="8">
        <f t="shared" ca="1" si="135"/>
        <v>0</v>
      </c>
      <c r="I846" s="8">
        <f t="shared" ca="1" si="136"/>
        <v>0</v>
      </c>
      <c r="J846" s="6" t="e">
        <f ca="1">_xll.xlqxhSMA($C846,$L$4,$J$7,$K$3)</f>
        <v>#NAME?</v>
      </c>
      <c r="K846" s="7" t="e">
        <f ca="1">_xll.xlqhClose($C846,K$8,$K$3)</f>
        <v>#NAME?</v>
      </c>
      <c r="L846" s="7" t="e">
        <f ca="1">_xll.xlqhClose($C846,L$8,$K$3)</f>
        <v>#NAME?</v>
      </c>
      <c r="N846" s="9">
        <f t="shared" ca="1" si="137"/>
        <v>1</v>
      </c>
      <c r="O846" s="9">
        <f t="shared" ca="1" si="138"/>
        <v>1</v>
      </c>
      <c r="P846" s="9">
        <f t="shared" ca="1" si="139"/>
        <v>1</v>
      </c>
      <c r="Q846" s="9">
        <f t="shared" ca="1" si="140"/>
        <v>1</v>
      </c>
      <c r="R846" s="9">
        <f t="shared" ca="1" si="141"/>
        <v>0</v>
      </c>
    </row>
    <row r="847" spans="2:18" x14ac:dyDescent="0.25">
      <c r="B847" t="s">
        <v>1421</v>
      </c>
      <c r="C847" s="39" t="s">
        <v>1422</v>
      </c>
      <c r="D847" s="7" t="e">
        <f ca="1">_xll.xlqPrice(C847)</f>
        <v>#NAME?</v>
      </c>
      <c r="E847" s="9" t="e">
        <f t="shared" ca="1" si="132"/>
        <v>#NAME?</v>
      </c>
      <c r="F847" s="9">
        <f t="shared" ca="1" si="133"/>
        <v>1</v>
      </c>
      <c r="G847" s="8">
        <f t="shared" ca="1" si="134"/>
        <v>0</v>
      </c>
      <c r="H847" s="8">
        <f t="shared" ca="1" si="135"/>
        <v>0</v>
      </c>
      <c r="I847" s="8">
        <f t="shared" ca="1" si="136"/>
        <v>0</v>
      </c>
      <c r="J847" s="6" t="e">
        <f ca="1">_xll.xlqxhSMA($C847,$L$4,$J$7,$K$3)</f>
        <v>#NAME?</v>
      </c>
      <c r="K847" s="7" t="e">
        <f ca="1">_xll.xlqhClose($C847,K$8,$K$3)</f>
        <v>#NAME?</v>
      </c>
      <c r="L847" s="7" t="e">
        <f ca="1">_xll.xlqhClose($C847,L$8,$K$3)</f>
        <v>#NAME?</v>
      </c>
      <c r="N847" s="9">
        <f t="shared" ca="1" si="137"/>
        <v>1</v>
      </c>
      <c r="O847" s="9">
        <f t="shared" ca="1" si="138"/>
        <v>1</v>
      </c>
      <c r="P847" s="9">
        <f t="shared" ca="1" si="139"/>
        <v>1</v>
      </c>
      <c r="Q847" s="9">
        <f t="shared" ca="1" si="140"/>
        <v>1</v>
      </c>
      <c r="R847" s="9">
        <f t="shared" ca="1" si="141"/>
        <v>0</v>
      </c>
    </row>
    <row r="848" spans="2:18" x14ac:dyDescent="0.25">
      <c r="B848" s="17" t="s">
        <v>1283</v>
      </c>
      <c r="C848" s="18" t="s">
        <v>1284</v>
      </c>
      <c r="D848" s="7" t="e">
        <f ca="1">_xll.xlqPrice(C848)</f>
        <v>#NAME?</v>
      </c>
      <c r="E848" s="9" t="e">
        <f t="shared" ca="1" si="132"/>
        <v>#NAME?</v>
      </c>
      <c r="F848" s="9">
        <f t="shared" ca="1" si="133"/>
        <v>1</v>
      </c>
      <c r="G848" s="8">
        <f t="shared" ca="1" si="134"/>
        <v>0</v>
      </c>
      <c r="H848" s="8">
        <f t="shared" ca="1" si="135"/>
        <v>0</v>
      </c>
      <c r="I848" s="8">
        <f t="shared" ca="1" si="136"/>
        <v>0</v>
      </c>
      <c r="J848" s="6" t="e">
        <f ca="1">_xll.xlqxhSMA($C848,$L$4,$J$7,$K$3)</f>
        <v>#NAME?</v>
      </c>
      <c r="K848" s="7" t="e">
        <f ca="1">_xll.xlqhClose($C848,K$8,$K$3)</f>
        <v>#NAME?</v>
      </c>
      <c r="L848" s="7" t="e">
        <f ca="1">_xll.xlqhClose($C848,L$8,$K$3)</f>
        <v>#NAME?</v>
      </c>
      <c r="N848" s="9">
        <f t="shared" ca="1" si="137"/>
        <v>1</v>
      </c>
      <c r="O848" s="9">
        <f t="shared" ca="1" si="138"/>
        <v>1</v>
      </c>
      <c r="P848" s="9">
        <f t="shared" ca="1" si="139"/>
        <v>1</v>
      </c>
      <c r="Q848" s="9">
        <f t="shared" ca="1" si="140"/>
        <v>1</v>
      </c>
      <c r="R848" s="9">
        <f t="shared" ca="1" si="141"/>
        <v>0</v>
      </c>
    </row>
    <row r="849" spans="2:18" x14ac:dyDescent="0.25">
      <c r="B849" t="s">
        <v>2097</v>
      </c>
      <c r="C849" s="39" t="s">
        <v>2098</v>
      </c>
      <c r="D849" s="7" t="e">
        <f ca="1">_xll.xlqPrice(C849)</f>
        <v>#NAME?</v>
      </c>
      <c r="E849" s="9" t="e">
        <f t="shared" ca="1" si="132"/>
        <v>#NAME?</v>
      </c>
      <c r="F849" s="9">
        <f t="shared" ca="1" si="133"/>
        <v>1</v>
      </c>
      <c r="G849" s="8">
        <f t="shared" ca="1" si="134"/>
        <v>0</v>
      </c>
      <c r="H849" s="8">
        <f t="shared" ca="1" si="135"/>
        <v>0</v>
      </c>
      <c r="I849" s="8">
        <f t="shared" ca="1" si="136"/>
        <v>0</v>
      </c>
      <c r="J849" s="6" t="e">
        <f ca="1">_xll.xlqxhSMA($C849,$L$4,$J$7,$K$3)</f>
        <v>#NAME?</v>
      </c>
      <c r="K849" s="7" t="e">
        <f ca="1">_xll.xlqhClose($C849,K$8,$K$3)</f>
        <v>#NAME?</v>
      </c>
      <c r="L849" s="7" t="e">
        <f ca="1">_xll.xlqhClose($C849,L$8,$K$3)</f>
        <v>#NAME?</v>
      </c>
      <c r="N849" s="9">
        <f t="shared" ca="1" si="137"/>
        <v>1</v>
      </c>
      <c r="O849" s="9">
        <f t="shared" ca="1" si="138"/>
        <v>1</v>
      </c>
      <c r="P849" s="9">
        <f t="shared" ca="1" si="139"/>
        <v>1</v>
      </c>
      <c r="Q849" s="9">
        <f t="shared" ca="1" si="140"/>
        <v>1</v>
      </c>
      <c r="R849" s="9">
        <f t="shared" ca="1" si="141"/>
        <v>0</v>
      </c>
    </row>
    <row r="850" spans="2:18" x14ac:dyDescent="0.25">
      <c r="B850" s="17" t="s">
        <v>2225</v>
      </c>
      <c r="C850" s="18" t="s">
        <v>2226</v>
      </c>
      <c r="D850" s="7" t="e">
        <f ca="1">_xll.xlqPrice(C850)</f>
        <v>#NAME?</v>
      </c>
      <c r="E850" s="9" t="e">
        <f t="shared" ca="1" si="132"/>
        <v>#NAME?</v>
      </c>
      <c r="F850" s="9">
        <f t="shared" ca="1" si="133"/>
        <v>1</v>
      </c>
      <c r="G850" s="8">
        <f t="shared" ca="1" si="134"/>
        <v>0</v>
      </c>
      <c r="H850" s="8">
        <f t="shared" ca="1" si="135"/>
        <v>0</v>
      </c>
      <c r="I850" s="8">
        <f t="shared" ca="1" si="136"/>
        <v>0</v>
      </c>
      <c r="J850" s="6" t="e">
        <f ca="1">_xll.xlqxhSMA($C850,$L$4,$J$7,$K$3)</f>
        <v>#NAME?</v>
      </c>
      <c r="K850" s="7" t="e">
        <f ca="1">_xll.xlqhClose($C850,K$8,$K$3)</f>
        <v>#NAME?</v>
      </c>
      <c r="L850" s="7" t="e">
        <f ca="1">_xll.xlqhClose($C850,L$8,$K$3)</f>
        <v>#NAME?</v>
      </c>
      <c r="N850" s="9">
        <f t="shared" ca="1" si="137"/>
        <v>1</v>
      </c>
      <c r="O850" s="9">
        <f t="shared" ca="1" si="138"/>
        <v>1</v>
      </c>
      <c r="P850" s="9">
        <f t="shared" ca="1" si="139"/>
        <v>1</v>
      </c>
      <c r="Q850" s="9">
        <f t="shared" ca="1" si="140"/>
        <v>1</v>
      </c>
      <c r="R850" s="9">
        <f t="shared" ca="1" si="141"/>
        <v>0</v>
      </c>
    </row>
    <row r="851" spans="2:18" x14ac:dyDescent="0.25">
      <c r="B851" s="17" t="s">
        <v>812</v>
      </c>
      <c r="C851" s="18" t="s">
        <v>813</v>
      </c>
      <c r="D851" s="7" t="e">
        <f ca="1">_xll.xlqPrice(C851)</f>
        <v>#NAME?</v>
      </c>
      <c r="E851" s="9" t="e">
        <f t="shared" ca="1" si="132"/>
        <v>#NAME?</v>
      </c>
      <c r="F851" s="9">
        <f t="shared" ca="1" si="133"/>
        <v>1</v>
      </c>
      <c r="G851" s="8">
        <f t="shared" ca="1" si="134"/>
        <v>0</v>
      </c>
      <c r="H851" s="8">
        <f t="shared" ca="1" si="135"/>
        <v>0</v>
      </c>
      <c r="I851" s="8">
        <f t="shared" ca="1" si="136"/>
        <v>0</v>
      </c>
      <c r="J851" s="6" t="e">
        <f ca="1">_xll.xlqxhSMA($C851,$L$4,$J$7,$K$3)</f>
        <v>#NAME?</v>
      </c>
      <c r="K851" s="7" t="e">
        <f ca="1">_xll.xlqhClose($C851,K$8,$K$3)</f>
        <v>#NAME?</v>
      </c>
      <c r="L851" s="7" t="e">
        <f ca="1">_xll.xlqhClose($C851,L$8,$K$3)</f>
        <v>#NAME?</v>
      </c>
      <c r="N851" s="9">
        <f t="shared" ca="1" si="137"/>
        <v>1</v>
      </c>
      <c r="O851" s="9">
        <f t="shared" ca="1" si="138"/>
        <v>1</v>
      </c>
      <c r="P851" s="9">
        <f t="shared" ca="1" si="139"/>
        <v>1</v>
      </c>
      <c r="Q851" s="9">
        <f t="shared" ca="1" si="140"/>
        <v>1</v>
      </c>
      <c r="R851" s="9">
        <f t="shared" ca="1" si="141"/>
        <v>0</v>
      </c>
    </row>
    <row r="852" spans="2:18" x14ac:dyDescent="0.25">
      <c r="B852" t="s">
        <v>1999</v>
      </c>
      <c r="C852" s="39" t="s">
        <v>2000</v>
      </c>
      <c r="D852" s="7" t="e">
        <f ca="1">_xll.xlqPrice(C852)</f>
        <v>#NAME?</v>
      </c>
      <c r="E852" s="9" t="e">
        <f t="shared" ca="1" si="132"/>
        <v>#NAME?</v>
      </c>
      <c r="F852" s="9">
        <f t="shared" ca="1" si="133"/>
        <v>1</v>
      </c>
      <c r="G852" s="8">
        <f t="shared" ca="1" si="134"/>
        <v>0</v>
      </c>
      <c r="H852" s="8">
        <f t="shared" ca="1" si="135"/>
        <v>0</v>
      </c>
      <c r="I852" s="8">
        <f t="shared" ca="1" si="136"/>
        <v>0</v>
      </c>
      <c r="J852" s="6" t="e">
        <f ca="1">_xll.xlqxhSMA($C852,$L$4,$J$7,$K$3)</f>
        <v>#NAME?</v>
      </c>
      <c r="K852" s="7" t="e">
        <f ca="1">_xll.xlqhClose($C852,K$8,$K$3)</f>
        <v>#NAME?</v>
      </c>
      <c r="L852" s="7" t="e">
        <f ca="1">_xll.xlqhClose($C852,L$8,$K$3)</f>
        <v>#NAME?</v>
      </c>
      <c r="N852" s="9">
        <f t="shared" ca="1" si="137"/>
        <v>1</v>
      </c>
      <c r="O852" s="9">
        <f t="shared" ca="1" si="138"/>
        <v>1</v>
      </c>
      <c r="P852" s="9">
        <f t="shared" ca="1" si="139"/>
        <v>1</v>
      </c>
      <c r="Q852" s="9">
        <f t="shared" ca="1" si="140"/>
        <v>1</v>
      </c>
      <c r="R852" s="9">
        <f t="shared" ca="1" si="141"/>
        <v>0</v>
      </c>
    </row>
    <row r="853" spans="2:18" x14ac:dyDescent="0.25">
      <c r="B853" s="17" t="s">
        <v>666</v>
      </c>
      <c r="C853" s="18" t="s">
        <v>667</v>
      </c>
      <c r="D853" s="7" t="e">
        <f ca="1">_xll.xlqPrice(C853)</f>
        <v>#NAME?</v>
      </c>
      <c r="E853" s="9" t="e">
        <f t="shared" ca="1" si="132"/>
        <v>#NAME?</v>
      </c>
      <c r="F853" s="9">
        <f t="shared" ca="1" si="133"/>
        <v>1</v>
      </c>
      <c r="G853" s="8">
        <f t="shared" ca="1" si="134"/>
        <v>0</v>
      </c>
      <c r="H853" s="8">
        <f t="shared" ca="1" si="135"/>
        <v>0</v>
      </c>
      <c r="I853" s="8">
        <f t="shared" ca="1" si="136"/>
        <v>0</v>
      </c>
      <c r="J853" s="6" t="e">
        <f ca="1">_xll.xlqxhSMA($C853,$L$4,$J$7,$K$3)</f>
        <v>#NAME?</v>
      </c>
      <c r="K853" s="7" t="e">
        <f ca="1">_xll.xlqhClose($C853,K$8,$K$3)</f>
        <v>#NAME?</v>
      </c>
      <c r="L853" s="7" t="e">
        <f ca="1">_xll.xlqhClose($C853,L$8,$K$3)</f>
        <v>#NAME?</v>
      </c>
      <c r="N853" s="9">
        <f t="shared" ca="1" si="137"/>
        <v>1</v>
      </c>
      <c r="O853" s="9">
        <f t="shared" ca="1" si="138"/>
        <v>1</v>
      </c>
      <c r="P853" s="9">
        <f t="shared" ca="1" si="139"/>
        <v>1</v>
      </c>
      <c r="Q853" s="9">
        <f t="shared" ca="1" si="140"/>
        <v>1</v>
      </c>
      <c r="R853" s="9">
        <f t="shared" ca="1" si="141"/>
        <v>0</v>
      </c>
    </row>
    <row r="854" spans="2:18" x14ac:dyDescent="0.25">
      <c r="B854" t="s">
        <v>1251</v>
      </c>
      <c r="C854" s="39" t="s">
        <v>1252</v>
      </c>
      <c r="D854" s="7" t="e">
        <f ca="1">_xll.xlqPrice(C854)</f>
        <v>#NAME?</v>
      </c>
      <c r="E854" s="9" t="e">
        <f t="shared" ca="1" si="132"/>
        <v>#NAME?</v>
      </c>
      <c r="F854" s="9">
        <f t="shared" ca="1" si="133"/>
        <v>1</v>
      </c>
      <c r="G854" s="8">
        <f t="shared" ca="1" si="134"/>
        <v>0</v>
      </c>
      <c r="H854" s="8">
        <f t="shared" ca="1" si="135"/>
        <v>0</v>
      </c>
      <c r="I854" s="8">
        <f t="shared" ca="1" si="136"/>
        <v>0</v>
      </c>
      <c r="J854" s="6" t="e">
        <f ca="1">_xll.xlqxhSMA($C854,$L$4,$J$7,$K$3)</f>
        <v>#NAME?</v>
      </c>
      <c r="K854" s="7" t="e">
        <f ca="1">_xll.xlqhClose($C854,K$8,$K$3)</f>
        <v>#NAME?</v>
      </c>
      <c r="L854" s="7" t="e">
        <f ca="1">_xll.xlqhClose($C854,L$8,$K$3)</f>
        <v>#NAME?</v>
      </c>
      <c r="N854" s="9">
        <f t="shared" ca="1" si="137"/>
        <v>1</v>
      </c>
      <c r="O854" s="9">
        <f t="shared" ca="1" si="138"/>
        <v>1</v>
      </c>
      <c r="P854" s="9">
        <f t="shared" ca="1" si="139"/>
        <v>1</v>
      </c>
      <c r="Q854" s="9">
        <f t="shared" ca="1" si="140"/>
        <v>1</v>
      </c>
      <c r="R854" s="9">
        <f t="shared" ca="1" si="141"/>
        <v>0</v>
      </c>
    </row>
    <row r="855" spans="2:18" x14ac:dyDescent="0.25">
      <c r="B855" s="17" t="s">
        <v>278</v>
      </c>
      <c r="C855" s="18" t="s">
        <v>279</v>
      </c>
      <c r="D855" s="7" t="e">
        <f ca="1">_xll.xlqPrice(C855)</f>
        <v>#NAME?</v>
      </c>
      <c r="E855" s="9" t="e">
        <f t="shared" ca="1" si="132"/>
        <v>#NAME?</v>
      </c>
      <c r="F855" s="9">
        <f t="shared" ca="1" si="133"/>
        <v>1</v>
      </c>
      <c r="G855" s="8">
        <f t="shared" ca="1" si="134"/>
        <v>0</v>
      </c>
      <c r="H855" s="8">
        <f t="shared" ca="1" si="135"/>
        <v>0</v>
      </c>
      <c r="I855" s="8">
        <f t="shared" ca="1" si="136"/>
        <v>0</v>
      </c>
      <c r="J855" s="6" t="e">
        <f ca="1">_xll.xlqxhSMA($C855,$L$4,$J$7,$K$3)</f>
        <v>#NAME?</v>
      </c>
      <c r="K855" s="7" t="e">
        <f ca="1">_xll.xlqhClose($C855,K$8,$K$3)</f>
        <v>#NAME?</v>
      </c>
      <c r="L855" s="7" t="e">
        <f ca="1">_xll.xlqhClose($C855,L$8,$K$3)</f>
        <v>#NAME?</v>
      </c>
      <c r="N855" s="9">
        <f t="shared" ca="1" si="137"/>
        <v>1</v>
      </c>
      <c r="O855" s="9">
        <f t="shared" ca="1" si="138"/>
        <v>1</v>
      </c>
      <c r="P855" s="9">
        <f t="shared" ca="1" si="139"/>
        <v>1</v>
      </c>
      <c r="Q855" s="9">
        <f t="shared" ca="1" si="140"/>
        <v>1</v>
      </c>
      <c r="R855" s="9">
        <f t="shared" ca="1" si="141"/>
        <v>0</v>
      </c>
    </row>
    <row r="856" spans="2:18" x14ac:dyDescent="0.25">
      <c r="B856" s="17" t="s">
        <v>698</v>
      </c>
      <c r="C856" s="18" t="s">
        <v>699</v>
      </c>
      <c r="D856" s="7" t="e">
        <f ca="1">_xll.xlqPrice(C856)</f>
        <v>#NAME?</v>
      </c>
      <c r="E856" s="9" t="e">
        <f t="shared" ca="1" si="132"/>
        <v>#NAME?</v>
      </c>
      <c r="F856" s="9">
        <f t="shared" ca="1" si="133"/>
        <v>1</v>
      </c>
      <c r="G856" s="8">
        <f t="shared" ca="1" si="134"/>
        <v>0</v>
      </c>
      <c r="H856" s="8">
        <f t="shared" ca="1" si="135"/>
        <v>0</v>
      </c>
      <c r="I856" s="8">
        <f t="shared" ca="1" si="136"/>
        <v>0</v>
      </c>
      <c r="J856" s="6" t="e">
        <f ca="1">_xll.xlqxhSMA($C856,$L$4,$J$7,$K$3)</f>
        <v>#NAME?</v>
      </c>
      <c r="K856" s="7" t="e">
        <f ca="1">_xll.xlqhClose($C856,K$8,$K$3)</f>
        <v>#NAME?</v>
      </c>
      <c r="L856" s="7" t="e">
        <f ca="1">_xll.xlqhClose($C856,L$8,$K$3)</f>
        <v>#NAME?</v>
      </c>
      <c r="N856" s="9">
        <f t="shared" ca="1" si="137"/>
        <v>1</v>
      </c>
      <c r="O856" s="9">
        <f t="shared" ca="1" si="138"/>
        <v>1</v>
      </c>
      <c r="P856" s="9">
        <f t="shared" ca="1" si="139"/>
        <v>1</v>
      </c>
      <c r="Q856" s="9">
        <f t="shared" ca="1" si="140"/>
        <v>1</v>
      </c>
      <c r="R856" s="9">
        <f t="shared" ca="1" si="141"/>
        <v>0</v>
      </c>
    </row>
    <row r="857" spans="2:18" x14ac:dyDescent="0.25">
      <c r="B857" s="17" t="s">
        <v>1727</v>
      </c>
      <c r="C857" s="18" t="s">
        <v>1728</v>
      </c>
      <c r="D857" s="7" t="e">
        <f ca="1">_xll.xlqPrice(C857)</f>
        <v>#NAME?</v>
      </c>
      <c r="E857" s="9" t="e">
        <f t="shared" ca="1" si="132"/>
        <v>#NAME?</v>
      </c>
      <c r="F857" s="9">
        <f t="shared" ca="1" si="133"/>
        <v>1</v>
      </c>
      <c r="G857" s="8">
        <f t="shared" ca="1" si="134"/>
        <v>0</v>
      </c>
      <c r="H857" s="8">
        <f t="shared" ca="1" si="135"/>
        <v>0</v>
      </c>
      <c r="I857" s="8">
        <f t="shared" ca="1" si="136"/>
        <v>0</v>
      </c>
      <c r="J857" s="6" t="e">
        <f ca="1">_xll.xlqxhSMA($C857,$L$4,$J$7,$K$3)</f>
        <v>#NAME?</v>
      </c>
      <c r="K857" s="7" t="e">
        <f ca="1">_xll.xlqhClose($C857,K$8,$K$3)</f>
        <v>#NAME?</v>
      </c>
      <c r="L857" s="7" t="e">
        <f ca="1">_xll.xlqhClose($C857,L$8,$K$3)</f>
        <v>#NAME?</v>
      </c>
      <c r="N857" s="9">
        <f t="shared" ca="1" si="137"/>
        <v>1</v>
      </c>
      <c r="O857" s="9">
        <f t="shared" ca="1" si="138"/>
        <v>1</v>
      </c>
      <c r="P857" s="9">
        <f t="shared" ca="1" si="139"/>
        <v>1</v>
      </c>
      <c r="Q857" s="9">
        <f t="shared" ca="1" si="140"/>
        <v>1</v>
      </c>
      <c r="R857" s="9">
        <f t="shared" ca="1" si="141"/>
        <v>0</v>
      </c>
    </row>
    <row r="858" spans="2:18" x14ac:dyDescent="0.25">
      <c r="B858" t="s">
        <v>1281</v>
      </c>
      <c r="C858" s="39" t="s">
        <v>1282</v>
      </c>
      <c r="D858" s="7" t="e">
        <f ca="1">_xll.xlqPrice(C858)</f>
        <v>#NAME?</v>
      </c>
      <c r="E858" s="9" t="e">
        <f t="shared" ca="1" si="132"/>
        <v>#NAME?</v>
      </c>
      <c r="F858" s="9">
        <f t="shared" ca="1" si="133"/>
        <v>1</v>
      </c>
      <c r="G858" s="8">
        <f t="shared" ca="1" si="134"/>
        <v>0</v>
      </c>
      <c r="H858" s="8">
        <f t="shared" ca="1" si="135"/>
        <v>0</v>
      </c>
      <c r="I858" s="8">
        <f t="shared" ca="1" si="136"/>
        <v>0</v>
      </c>
      <c r="J858" s="6" t="e">
        <f ca="1">_xll.xlqxhSMA($C858,$L$4,$J$7,$K$3)</f>
        <v>#NAME?</v>
      </c>
      <c r="K858" s="7" t="e">
        <f ca="1">_xll.xlqhClose($C858,K$8,$K$3)</f>
        <v>#NAME?</v>
      </c>
      <c r="L858" s="7" t="e">
        <f ca="1">_xll.xlqhClose($C858,L$8,$K$3)</f>
        <v>#NAME?</v>
      </c>
      <c r="N858" s="9">
        <f t="shared" ca="1" si="137"/>
        <v>1</v>
      </c>
      <c r="O858" s="9">
        <f t="shared" ca="1" si="138"/>
        <v>1</v>
      </c>
      <c r="P858" s="9">
        <f t="shared" ca="1" si="139"/>
        <v>1</v>
      </c>
      <c r="Q858" s="9">
        <f t="shared" ca="1" si="140"/>
        <v>1</v>
      </c>
      <c r="R858" s="9">
        <f t="shared" ca="1" si="141"/>
        <v>0</v>
      </c>
    </row>
    <row r="859" spans="2:18" x14ac:dyDescent="0.25">
      <c r="B859" s="17" t="s">
        <v>2089</v>
      </c>
      <c r="C859" s="18" t="s">
        <v>2090</v>
      </c>
      <c r="D859" s="7" t="e">
        <f ca="1">_xll.xlqPrice(C859)</f>
        <v>#NAME?</v>
      </c>
      <c r="E859" s="9" t="e">
        <f t="shared" ca="1" si="132"/>
        <v>#NAME?</v>
      </c>
      <c r="F859" s="9">
        <f t="shared" ca="1" si="133"/>
        <v>1</v>
      </c>
      <c r="G859" s="8">
        <f t="shared" ca="1" si="134"/>
        <v>0</v>
      </c>
      <c r="H859" s="8">
        <f t="shared" ca="1" si="135"/>
        <v>0</v>
      </c>
      <c r="I859" s="8">
        <f t="shared" ca="1" si="136"/>
        <v>0</v>
      </c>
      <c r="J859" s="6" t="e">
        <f ca="1">_xll.xlqxhSMA($C859,$L$4,$J$7,$K$3)</f>
        <v>#NAME?</v>
      </c>
      <c r="K859" s="7" t="e">
        <f ca="1">_xll.xlqhClose($C859,K$8,$K$3)</f>
        <v>#NAME?</v>
      </c>
      <c r="L859" s="7" t="e">
        <f ca="1">_xll.xlqhClose($C859,L$8,$K$3)</f>
        <v>#NAME?</v>
      </c>
      <c r="N859" s="9">
        <f t="shared" ca="1" si="137"/>
        <v>1</v>
      </c>
      <c r="O859" s="9">
        <f t="shared" ca="1" si="138"/>
        <v>1</v>
      </c>
      <c r="P859" s="9">
        <f t="shared" ca="1" si="139"/>
        <v>1</v>
      </c>
      <c r="Q859" s="9">
        <f t="shared" ca="1" si="140"/>
        <v>1</v>
      </c>
      <c r="R859" s="9">
        <f t="shared" ca="1" si="141"/>
        <v>0</v>
      </c>
    </row>
    <row r="860" spans="2:18" x14ac:dyDescent="0.25">
      <c r="B860" s="17" t="s">
        <v>1835</v>
      </c>
      <c r="C860" s="18" t="s">
        <v>1836</v>
      </c>
      <c r="D860" s="7" t="e">
        <f ca="1">_xll.xlqPrice(C860)</f>
        <v>#NAME?</v>
      </c>
      <c r="E860" s="9" t="e">
        <f t="shared" ca="1" si="132"/>
        <v>#NAME?</v>
      </c>
      <c r="F860" s="9">
        <f t="shared" ca="1" si="133"/>
        <v>1</v>
      </c>
      <c r="G860" s="8">
        <f t="shared" ca="1" si="134"/>
        <v>0</v>
      </c>
      <c r="H860" s="8">
        <f t="shared" ca="1" si="135"/>
        <v>0</v>
      </c>
      <c r="I860" s="8">
        <f t="shared" ca="1" si="136"/>
        <v>0</v>
      </c>
      <c r="J860" s="6" t="e">
        <f ca="1">_xll.xlqxhSMA($C860,$L$4,$J$7,$K$3)</f>
        <v>#NAME?</v>
      </c>
      <c r="K860" s="7" t="e">
        <f ca="1">_xll.xlqhClose($C860,K$8,$K$3)</f>
        <v>#NAME?</v>
      </c>
      <c r="L860" s="7" t="e">
        <f ca="1">_xll.xlqhClose($C860,L$8,$K$3)</f>
        <v>#NAME?</v>
      </c>
      <c r="N860" s="9">
        <f t="shared" ca="1" si="137"/>
        <v>1</v>
      </c>
      <c r="O860" s="9">
        <f t="shared" ca="1" si="138"/>
        <v>1</v>
      </c>
      <c r="P860" s="9">
        <f t="shared" ca="1" si="139"/>
        <v>1</v>
      </c>
      <c r="Q860" s="9">
        <f t="shared" ca="1" si="140"/>
        <v>1</v>
      </c>
      <c r="R860" s="9">
        <f t="shared" ca="1" si="141"/>
        <v>0</v>
      </c>
    </row>
    <row r="861" spans="2:18" x14ac:dyDescent="0.25">
      <c r="B861" s="17" t="s">
        <v>396</v>
      </c>
      <c r="C861" s="18" t="s">
        <v>397</v>
      </c>
      <c r="D861" s="7" t="e">
        <f ca="1">_xll.xlqPrice(C861)</f>
        <v>#NAME?</v>
      </c>
      <c r="E861" s="9" t="e">
        <f t="shared" ca="1" si="132"/>
        <v>#NAME?</v>
      </c>
      <c r="F861" s="9">
        <f t="shared" ca="1" si="133"/>
        <v>1</v>
      </c>
      <c r="G861" s="8">
        <f t="shared" ca="1" si="134"/>
        <v>0</v>
      </c>
      <c r="H861" s="8">
        <f t="shared" ca="1" si="135"/>
        <v>0</v>
      </c>
      <c r="I861" s="8">
        <f t="shared" ca="1" si="136"/>
        <v>0</v>
      </c>
      <c r="J861" s="6" t="e">
        <f ca="1">_xll.xlqxhSMA($C861,$L$4,$J$7,$K$3)</f>
        <v>#NAME?</v>
      </c>
      <c r="K861" s="7" t="e">
        <f ca="1">_xll.xlqhClose($C861,K$8,$K$3)</f>
        <v>#NAME?</v>
      </c>
      <c r="L861" s="7" t="e">
        <f ca="1">_xll.xlqhClose($C861,L$8,$K$3)</f>
        <v>#NAME?</v>
      </c>
      <c r="N861" s="9">
        <f t="shared" ca="1" si="137"/>
        <v>1</v>
      </c>
      <c r="O861" s="9">
        <f t="shared" ca="1" si="138"/>
        <v>1</v>
      </c>
      <c r="P861" s="9">
        <f t="shared" ca="1" si="139"/>
        <v>1</v>
      </c>
      <c r="Q861" s="9">
        <f t="shared" ca="1" si="140"/>
        <v>1</v>
      </c>
      <c r="R861" s="9">
        <f t="shared" ca="1" si="141"/>
        <v>0</v>
      </c>
    </row>
    <row r="862" spans="2:18" x14ac:dyDescent="0.25">
      <c r="B862" s="17" t="s">
        <v>1559</v>
      </c>
      <c r="C862" s="18" t="s">
        <v>1560</v>
      </c>
      <c r="D862" s="7" t="e">
        <f ca="1">_xll.xlqPrice(C862)</f>
        <v>#NAME?</v>
      </c>
      <c r="E862" s="9" t="e">
        <f t="shared" ca="1" si="132"/>
        <v>#NAME?</v>
      </c>
      <c r="F862" s="9">
        <f t="shared" ca="1" si="133"/>
        <v>1</v>
      </c>
      <c r="G862" s="8">
        <f t="shared" ca="1" si="134"/>
        <v>0</v>
      </c>
      <c r="H862" s="8">
        <f t="shared" ca="1" si="135"/>
        <v>0</v>
      </c>
      <c r="I862" s="8">
        <f t="shared" ca="1" si="136"/>
        <v>0</v>
      </c>
      <c r="J862" s="6" t="e">
        <f ca="1">_xll.xlqxhSMA($C862,$L$4,$J$7,$K$3)</f>
        <v>#NAME?</v>
      </c>
      <c r="K862" s="7" t="e">
        <f ca="1">_xll.xlqhClose($C862,K$8,$K$3)</f>
        <v>#NAME?</v>
      </c>
      <c r="L862" s="7" t="e">
        <f ca="1">_xll.xlqhClose($C862,L$8,$K$3)</f>
        <v>#NAME?</v>
      </c>
      <c r="N862" s="9">
        <f t="shared" ca="1" si="137"/>
        <v>1</v>
      </c>
      <c r="O862" s="9">
        <f t="shared" ca="1" si="138"/>
        <v>1</v>
      </c>
      <c r="P862" s="9">
        <f t="shared" ca="1" si="139"/>
        <v>1</v>
      </c>
      <c r="Q862" s="9">
        <f t="shared" ca="1" si="140"/>
        <v>1</v>
      </c>
      <c r="R862" s="9">
        <f t="shared" ca="1" si="141"/>
        <v>0</v>
      </c>
    </row>
    <row r="863" spans="2:18" x14ac:dyDescent="0.25">
      <c r="B863" s="17" t="s">
        <v>782</v>
      </c>
      <c r="C863" s="18" t="s">
        <v>783</v>
      </c>
      <c r="D863" s="7" t="e">
        <f ca="1">_xll.xlqPrice(C863)</f>
        <v>#NAME?</v>
      </c>
      <c r="E863" s="9" t="e">
        <f t="shared" ca="1" si="132"/>
        <v>#NAME?</v>
      </c>
      <c r="F863" s="9">
        <f t="shared" ca="1" si="133"/>
        <v>1</v>
      </c>
      <c r="G863" s="8">
        <f t="shared" ca="1" si="134"/>
        <v>0</v>
      </c>
      <c r="H863" s="8">
        <f t="shared" ca="1" si="135"/>
        <v>0</v>
      </c>
      <c r="I863" s="8">
        <f t="shared" ca="1" si="136"/>
        <v>0</v>
      </c>
      <c r="J863" s="6" t="e">
        <f ca="1">_xll.xlqxhSMA($C863,$L$4,$J$7,$K$3)</f>
        <v>#NAME?</v>
      </c>
      <c r="K863" s="7" t="e">
        <f ca="1">_xll.xlqhClose($C863,K$8,$K$3)</f>
        <v>#NAME?</v>
      </c>
      <c r="L863" s="7" t="e">
        <f ca="1">_xll.xlqhClose($C863,L$8,$K$3)</f>
        <v>#NAME?</v>
      </c>
      <c r="N863" s="9">
        <f t="shared" ca="1" si="137"/>
        <v>1</v>
      </c>
      <c r="O863" s="9">
        <f t="shared" ca="1" si="138"/>
        <v>1</v>
      </c>
      <c r="P863" s="9">
        <f t="shared" ca="1" si="139"/>
        <v>1</v>
      </c>
      <c r="Q863" s="9">
        <f t="shared" ca="1" si="140"/>
        <v>1</v>
      </c>
      <c r="R863" s="9">
        <f t="shared" ca="1" si="141"/>
        <v>0</v>
      </c>
    </row>
    <row r="864" spans="2:18" x14ac:dyDescent="0.25">
      <c r="B864" t="s">
        <v>2151</v>
      </c>
      <c r="C864" s="39" t="s">
        <v>2152</v>
      </c>
      <c r="D864" s="7" t="e">
        <f ca="1">_xll.xlqPrice(C864)</f>
        <v>#NAME?</v>
      </c>
      <c r="E864" s="9" t="e">
        <f t="shared" ca="1" si="132"/>
        <v>#NAME?</v>
      </c>
      <c r="F864" s="9">
        <f t="shared" ca="1" si="133"/>
        <v>1</v>
      </c>
      <c r="G864" s="8">
        <f t="shared" ca="1" si="134"/>
        <v>0</v>
      </c>
      <c r="H864" s="8">
        <f t="shared" ca="1" si="135"/>
        <v>0</v>
      </c>
      <c r="I864" s="8">
        <f t="shared" ca="1" si="136"/>
        <v>0</v>
      </c>
      <c r="J864" s="6" t="e">
        <f ca="1">_xll.xlqxhSMA($C864,$L$4,$J$7,$K$3)</f>
        <v>#NAME?</v>
      </c>
      <c r="K864" s="7" t="e">
        <f ca="1">_xll.xlqhClose($C864,K$8,$K$3)</f>
        <v>#NAME?</v>
      </c>
      <c r="L864" s="7" t="e">
        <f ca="1">_xll.xlqhClose($C864,L$8,$K$3)</f>
        <v>#NAME?</v>
      </c>
      <c r="N864" s="9">
        <f t="shared" ca="1" si="137"/>
        <v>1</v>
      </c>
      <c r="O864" s="9">
        <f t="shared" ca="1" si="138"/>
        <v>1</v>
      </c>
      <c r="P864" s="9">
        <f t="shared" ca="1" si="139"/>
        <v>1</v>
      </c>
      <c r="Q864" s="9">
        <f t="shared" ca="1" si="140"/>
        <v>1</v>
      </c>
      <c r="R864" s="9">
        <f t="shared" ca="1" si="141"/>
        <v>0</v>
      </c>
    </row>
    <row r="865" spans="2:18" x14ac:dyDescent="0.25">
      <c r="B865" s="17" t="s">
        <v>306</v>
      </c>
      <c r="C865" s="18" t="s">
        <v>307</v>
      </c>
      <c r="D865" s="7" t="e">
        <f ca="1">_xll.xlqPrice(C865)</f>
        <v>#NAME?</v>
      </c>
      <c r="E865" s="9" t="e">
        <f t="shared" ca="1" si="132"/>
        <v>#NAME?</v>
      </c>
      <c r="F865" s="9">
        <f t="shared" ca="1" si="133"/>
        <v>1</v>
      </c>
      <c r="G865" s="8">
        <f t="shared" ca="1" si="134"/>
        <v>0</v>
      </c>
      <c r="H865" s="8">
        <f t="shared" ca="1" si="135"/>
        <v>0</v>
      </c>
      <c r="I865" s="8">
        <f t="shared" ca="1" si="136"/>
        <v>0</v>
      </c>
      <c r="J865" s="6" t="e">
        <f ca="1">_xll.xlqxhSMA($C865,$L$4,$J$7,$K$3)</f>
        <v>#NAME?</v>
      </c>
      <c r="K865" s="7" t="e">
        <f ca="1">_xll.xlqhClose($C865,K$8,$K$3)</f>
        <v>#NAME?</v>
      </c>
      <c r="L865" s="7" t="e">
        <f ca="1">_xll.xlqhClose($C865,L$8,$K$3)</f>
        <v>#NAME?</v>
      </c>
      <c r="N865" s="9">
        <f t="shared" ca="1" si="137"/>
        <v>1</v>
      </c>
      <c r="O865" s="9">
        <f t="shared" ca="1" si="138"/>
        <v>1</v>
      </c>
      <c r="P865" s="9">
        <f t="shared" ca="1" si="139"/>
        <v>1</v>
      </c>
      <c r="Q865" s="9">
        <f t="shared" ca="1" si="140"/>
        <v>1</v>
      </c>
      <c r="R865" s="9">
        <f t="shared" ca="1" si="141"/>
        <v>0</v>
      </c>
    </row>
    <row r="866" spans="2:18" x14ac:dyDescent="0.25">
      <c r="B866" s="17" t="s">
        <v>2219</v>
      </c>
      <c r="C866" s="18" t="s">
        <v>2220</v>
      </c>
      <c r="D866" s="7" t="e">
        <f ca="1">_xll.xlqPrice(C866)</f>
        <v>#NAME?</v>
      </c>
      <c r="E866" s="9" t="e">
        <f t="shared" ca="1" si="132"/>
        <v>#NAME?</v>
      </c>
      <c r="F866" s="9">
        <f t="shared" ca="1" si="133"/>
        <v>1</v>
      </c>
      <c r="G866" s="8">
        <f t="shared" ca="1" si="134"/>
        <v>0</v>
      </c>
      <c r="H866" s="8">
        <f t="shared" ca="1" si="135"/>
        <v>0</v>
      </c>
      <c r="I866" s="8">
        <f t="shared" ca="1" si="136"/>
        <v>0</v>
      </c>
      <c r="J866" s="6" t="e">
        <f ca="1">_xll.xlqxhSMA($C866,$L$4,$J$7,$K$3)</f>
        <v>#NAME?</v>
      </c>
      <c r="K866" s="7" t="e">
        <f ca="1">_xll.xlqhClose($C866,K$8,$K$3)</f>
        <v>#NAME?</v>
      </c>
      <c r="L866" s="7" t="e">
        <f ca="1">_xll.xlqhClose($C866,L$8,$K$3)</f>
        <v>#NAME?</v>
      </c>
      <c r="N866" s="9">
        <f t="shared" ca="1" si="137"/>
        <v>1</v>
      </c>
      <c r="O866" s="9">
        <f t="shared" ca="1" si="138"/>
        <v>1</v>
      </c>
      <c r="P866" s="9">
        <f t="shared" ca="1" si="139"/>
        <v>1</v>
      </c>
      <c r="Q866" s="9">
        <f t="shared" ca="1" si="140"/>
        <v>1</v>
      </c>
      <c r="R866" s="9">
        <f t="shared" ca="1" si="141"/>
        <v>0</v>
      </c>
    </row>
    <row r="867" spans="2:18" x14ac:dyDescent="0.25">
      <c r="B867" t="s">
        <v>1417</v>
      </c>
      <c r="C867" s="39" t="s">
        <v>1418</v>
      </c>
      <c r="D867" s="7" t="e">
        <f ca="1">_xll.xlqPrice(C867)</f>
        <v>#NAME?</v>
      </c>
      <c r="E867" s="9" t="e">
        <f t="shared" ca="1" si="132"/>
        <v>#NAME?</v>
      </c>
      <c r="F867" s="9">
        <f t="shared" ca="1" si="133"/>
        <v>1</v>
      </c>
      <c r="G867" s="8">
        <f t="shared" ca="1" si="134"/>
        <v>0</v>
      </c>
      <c r="H867" s="8">
        <f t="shared" ca="1" si="135"/>
        <v>0</v>
      </c>
      <c r="I867" s="8">
        <f t="shared" ca="1" si="136"/>
        <v>0</v>
      </c>
      <c r="J867" s="6" t="e">
        <f ca="1">_xll.xlqxhSMA($C867,$L$4,$J$7,$K$3)</f>
        <v>#NAME?</v>
      </c>
      <c r="K867" s="7" t="e">
        <f ca="1">_xll.xlqhClose($C867,K$8,$K$3)</f>
        <v>#NAME?</v>
      </c>
      <c r="L867" s="7" t="e">
        <f ca="1">_xll.xlqhClose($C867,L$8,$K$3)</f>
        <v>#NAME?</v>
      </c>
      <c r="N867" s="9">
        <f t="shared" ca="1" si="137"/>
        <v>1</v>
      </c>
      <c r="O867" s="9">
        <f t="shared" ca="1" si="138"/>
        <v>1</v>
      </c>
      <c r="P867" s="9">
        <f t="shared" ca="1" si="139"/>
        <v>1</v>
      </c>
      <c r="Q867" s="9">
        <f t="shared" ca="1" si="140"/>
        <v>1</v>
      </c>
      <c r="R867" s="9">
        <f t="shared" ca="1" si="141"/>
        <v>0</v>
      </c>
    </row>
    <row r="868" spans="2:18" x14ac:dyDescent="0.25">
      <c r="B868" s="17" t="s">
        <v>1661</v>
      </c>
      <c r="C868" s="18" t="s">
        <v>1662</v>
      </c>
      <c r="D868" s="7" t="e">
        <f ca="1">_xll.xlqPrice(C868)</f>
        <v>#NAME?</v>
      </c>
      <c r="E868" s="9" t="e">
        <f t="shared" ca="1" si="132"/>
        <v>#NAME?</v>
      </c>
      <c r="F868" s="9">
        <f t="shared" ca="1" si="133"/>
        <v>1</v>
      </c>
      <c r="G868" s="8">
        <f t="shared" ca="1" si="134"/>
        <v>0</v>
      </c>
      <c r="H868" s="8">
        <f t="shared" ca="1" si="135"/>
        <v>0</v>
      </c>
      <c r="I868" s="8">
        <f t="shared" ca="1" si="136"/>
        <v>0</v>
      </c>
      <c r="J868" s="6" t="e">
        <f ca="1">_xll.xlqxhSMA($C868,$L$4,$J$7,$K$3)</f>
        <v>#NAME?</v>
      </c>
      <c r="K868" s="7" t="e">
        <f ca="1">_xll.xlqhClose($C868,K$8,$K$3)</f>
        <v>#NAME?</v>
      </c>
      <c r="L868" s="7" t="e">
        <f ca="1">_xll.xlqhClose($C868,L$8,$K$3)</f>
        <v>#NAME?</v>
      </c>
      <c r="N868" s="9">
        <f t="shared" ca="1" si="137"/>
        <v>1</v>
      </c>
      <c r="O868" s="9">
        <f t="shared" ca="1" si="138"/>
        <v>1</v>
      </c>
      <c r="P868" s="9">
        <f t="shared" ca="1" si="139"/>
        <v>1</v>
      </c>
      <c r="Q868" s="9">
        <f t="shared" ca="1" si="140"/>
        <v>1</v>
      </c>
      <c r="R868" s="9">
        <f t="shared" ca="1" si="141"/>
        <v>0</v>
      </c>
    </row>
    <row r="869" spans="2:18" x14ac:dyDescent="0.25">
      <c r="B869" t="s">
        <v>1631</v>
      </c>
      <c r="C869" s="39" t="s">
        <v>1632</v>
      </c>
      <c r="D869" s="7" t="e">
        <f ca="1">_xll.xlqPrice(C869)</f>
        <v>#NAME?</v>
      </c>
      <c r="E869" s="9" t="e">
        <f t="shared" ca="1" si="132"/>
        <v>#NAME?</v>
      </c>
      <c r="F869" s="9">
        <f t="shared" ca="1" si="133"/>
        <v>1</v>
      </c>
      <c r="G869" s="8">
        <f t="shared" ca="1" si="134"/>
        <v>0</v>
      </c>
      <c r="H869" s="8">
        <f t="shared" ca="1" si="135"/>
        <v>0</v>
      </c>
      <c r="I869" s="8">
        <f t="shared" ca="1" si="136"/>
        <v>0</v>
      </c>
      <c r="J869" s="6" t="e">
        <f ca="1">_xll.xlqxhSMA($C869,$L$4,$J$7,$K$3)</f>
        <v>#NAME?</v>
      </c>
      <c r="K869" s="7" t="e">
        <f ca="1">_xll.xlqhClose($C869,K$8,$K$3)</f>
        <v>#NAME?</v>
      </c>
      <c r="L869" s="7" t="e">
        <f ca="1">_xll.xlqhClose($C869,L$8,$K$3)</f>
        <v>#NAME?</v>
      </c>
      <c r="N869" s="9">
        <f t="shared" ca="1" si="137"/>
        <v>1</v>
      </c>
      <c r="O869" s="9">
        <f t="shared" ca="1" si="138"/>
        <v>1</v>
      </c>
      <c r="P869" s="9">
        <f t="shared" ca="1" si="139"/>
        <v>1</v>
      </c>
      <c r="Q869" s="9">
        <f t="shared" ca="1" si="140"/>
        <v>1</v>
      </c>
      <c r="R869" s="9">
        <f t="shared" ca="1" si="141"/>
        <v>0</v>
      </c>
    </row>
    <row r="870" spans="2:18" x14ac:dyDescent="0.25">
      <c r="B870" s="17" t="s">
        <v>662</v>
      </c>
      <c r="C870" s="18" t="s">
        <v>663</v>
      </c>
      <c r="D870" s="7" t="e">
        <f ca="1">_xll.xlqPrice(C870)</f>
        <v>#NAME?</v>
      </c>
      <c r="E870" s="9" t="e">
        <f t="shared" ca="1" si="132"/>
        <v>#NAME?</v>
      </c>
      <c r="F870" s="9">
        <f t="shared" ca="1" si="133"/>
        <v>1</v>
      </c>
      <c r="G870" s="8">
        <f t="shared" ca="1" si="134"/>
        <v>0</v>
      </c>
      <c r="H870" s="8">
        <f t="shared" ca="1" si="135"/>
        <v>0</v>
      </c>
      <c r="I870" s="8">
        <f t="shared" ca="1" si="136"/>
        <v>0</v>
      </c>
      <c r="J870" s="6" t="e">
        <f ca="1">_xll.xlqxhSMA($C870,$L$4,$J$7,$K$3)</f>
        <v>#NAME?</v>
      </c>
      <c r="K870" s="7" t="e">
        <f ca="1">_xll.xlqhClose($C870,K$8,$K$3)</f>
        <v>#NAME?</v>
      </c>
      <c r="L870" s="7" t="e">
        <f ca="1">_xll.xlqhClose($C870,L$8,$K$3)</f>
        <v>#NAME?</v>
      </c>
      <c r="N870" s="9">
        <f t="shared" ca="1" si="137"/>
        <v>1</v>
      </c>
      <c r="O870" s="9">
        <f t="shared" ca="1" si="138"/>
        <v>1</v>
      </c>
      <c r="P870" s="9">
        <f t="shared" ca="1" si="139"/>
        <v>1</v>
      </c>
      <c r="Q870" s="9">
        <f t="shared" ca="1" si="140"/>
        <v>1</v>
      </c>
      <c r="R870" s="9">
        <f t="shared" ca="1" si="141"/>
        <v>0</v>
      </c>
    </row>
    <row r="871" spans="2:18" x14ac:dyDescent="0.25">
      <c r="B871" s="17" t="s">
        <v>678</v>
      </c>
      <c r="C871" s="18" t="s">
        <v>679</v>
      </c>
      <c r="D871" s="7" t="e">
        <f ca="1">_xll.xlqPrice(C871)</f>
        <v>#NAME?</v>
      </c>
      <c r="E871" s="9" t="e">
        <f t="shared" ca="1" si="132"/>
        <v>#NAME?</v>
      </c>
      <c r="F871" s="9">
        <f t="shared" ca="1" si="133"/>
        <v>1</v>
      </c>
      <c r="G871" s="8">
        <f t="shared" ca="1" si="134"/>
        <v>0</v>
      </c>
      <c r="H871" s="8">
        <f t="shared" ca="1" si="135"/>
        <v>0</v>
      </c>
      <c r="I871" s="8">
        <f t="shared" ca="1" si="136"/>
        <v>0</v>
      </c>
      <c r="J871" s="6" t="e">
        <f ca="1">_xll.xlqxhSMA($C871,$L$4,$J$7,$K$3)</f>
        <v>#NAME?</v>
      </c>
      <c r="K871" s="7" t="e">
        <f ca="1">_xll.xlqhClose($C871,K$8,$K$3)</f>
        <v>#NAME?</v>
      </c>
      <c r="L871" s="7" t="e">
        <f ca="1">_xll.xlqhClose($C871,L$8,$K$3)</f>
        <v>#NAME?</v>
      </c>
      <c r="N871" s="9">
        <f t="shared" ca="1" si="137"/>
        <v>1</v>
      </c>
      <c r="O871" s="9">
        <f t="shared" ca="1" si="138"/>
        <v>1</v>
      </c>
      <c r="P871" s="9">
        <f t="shared" ca="1" si="139"/>
        <v>1</v>
      </c>
      <c r="Q871" s="9">
        <f t="shared" ca="1" si="140"/>
        <v>1</v>
      </c>
      <c r="R871" s="9">
        <f t="shared" ca="1" si="141"/>
        <v>0</v>
      </c>
    </row>
    <row r="872" spans="2:18" x14ac:dyDescent="0.25">
      <c r="B872" s="17" t="s">
        <v>1093</v>
      </c>
      <c r="C872" s="18" t="s">
        <v>1094</v>
      </c>
      <c r="D872" s="7" t="e">
        <f ca="1">_xll.xlqPrice(C872)</f>
        <v>#NAME?</v>
      </c>
      <c r="E872" s="9" t="e">
        <f t="shared" ca="1" si="132"/>
        <v>#NAME?</v>
      </c>
      <c r="F872" s="9">
        <f t="shared" ca="1" si="133"/>
        <v>1</v>
      </c>
      <c r="G872" s="8">
        <f t="shared" ca="1" si="134"/>
        <v>0</v>
      </c>
      <c r="H872" s="8">
        <f t="shared" ca="1" si="135"/>
        <v>0</v>
      </c>
      <c r="I872" s="8">
        <f t="shared" ca="1" si="136"/>
        <v>0</v>
      </c>
      <c r="J872" s="6" t="e">
        <f ca="1">_xll.xlqxhSMA($C872,$L$4,$J$7,$K$3)</f>
        <v>#NAME?</v>
      </c>
      <c r="K872" s="7" t="e">
        <f ca="1">_xll.xlqhClose($C872,K$8,$K$3)</f>
        <v>#NAME?</v>
      </c>
      <c r="L872" s="7" t="e">
        <f ca="1">_xll.xlqhClose($C872,L$8,$K$3)</f>
        <v>#NAME?</v>
      </c>
      <c r="N872" s="9">
        <f t="shared" ca="1" si="137"/>
        <v>1</v>
      </c>
      <c r="O872" s="9">
        <f t="shared" ca="1" si="138"/>
        <v>1</v>
      </c>
      <c r="P872" s="9">
        <f t="shared" ca="1" si="139"/>
        <v>1</v>
      </c>
      <c r="Q872" s="9">
        <f t="shared" ca="1" si="140"/>
        <v>1</v>
      </c>
      <c r="R872" s="9">
        <f t="shared" ca="1" si="141"/>
        <v>0</v>
      </c>
    </row>
    <row r="873" spans="2:18" x14ac:dyDescent="0.25">
      <c r="B873" t="s">
        <v>1663</v>
      </c>
      <c r="C873" s="39" t="s">
        <v>1664</v>
      </c>
      <c r="D873" s="7" t="e">
        <f ca="1">_xll.xlqPrice(C873)</f>
        <v>#NAME?</v>
      </c>
      <c r="E873" s="9" t="e">
        <f t="shared" ca="1" si="132"/>
        <v>#NAME?</v>
      </c>
      <c r="F873" s="9">
        <f t="shared" ca="1" si="133"/>
        <v>1</v>
      </c>
      <c r="G873" s="8">
        <f t="shared" ca="1" si="134"/>
        <v>0</v>
      </c>
      <c r="H873" s="8">
        <f t="shared" ca="1" si="135"/>
        <v>0</v>
      </c>
      <c r="I873" s="8">
        <f t="shared" ca="1" si="136"/>
        <v>0</v>
      </c>
      <c r="J873" s="6" t="e">
        <f ca="1">_xll.xlqxhSMA($C873,$L$4,$J$7,$K$3)</f>
        <v>#NAME?</v>
      </c>
      <c r="K873" s="7" t="e">
        <f ca="1">_xll.xlqhClose($C873,K$8,$K$3)</f>
        <v>#NAME?</v>
      </c>
      <c r="L873" s="7" t="e">
        <f ca="1">_xll.xlqhClose($C873,L$8,$K$3)</f>
        <v>#NAME?</v>
      </c>
      <c r="N873" s="9">
        <f t="shared" ca="1" si="137"/>
        <v>1</v>
      </c>
      <c r="O873" s="9">
        <f t="shared" ca="1" si="138"/>
        <v>1</v>
      </c>
      <c r="P873" s="9">
        <f t="shared" ca="1" si="139"/>
        <v>1</v>
      </c>
      <c r="Q873" s="9">
        <f t="shared" ca="1" si="140"/>
        <v>1</v>
      </c>
      <c r="R873" s="9">
        <f t="shared" ca="1" si="141"/>
        <v>0</v>
      </c>
    </row>
    <row r="874" spans="2:18" x14ac:dyDescent="0.25">
      <c r="B874" t="s">
        <v>2149</v>
      </c>
      <c r="C874" s="39" t="s">
        <v>2150</v>
      </c>
      <c r="D874" s="7" t="e">
        <f ca="1">_xll.xlqPrice(C874)</f>
        <v>#NAME?</v>
      </c>
      <c r="E874" s="9" t="e">
        <f t="shared" ca="1" si="132"/>
        <v>#NAME?</v>
      </c>
      <c r="F874" s="9">
        <f t="shared" ca="1" si="133"/>
        <v>1</v>
      </c>
      <c r="G874" s="8">
        <f t="shared" ca="1" si="134"/>
        <v>0</v>
      </c>
      <c r="H874" s="8">
        <f t="shared" ca="1" si="135"/>
        <v>0</v>
      </c>
      <c r="I874" s="8">
        <f t="shared" ca="1" si="136"/>
        <v>0</v>
      </c>
      <c r="J874" s="6" t="e">
        <f ca="1">_xll.xlqxhSMA($C874,$L$4,$J$7,$K$3)</f>
        <v>#NAME?</v>
      </c>
      <c r="K874" s="7" t="e">
        <f ca="1">_xll.xlqhClose($C874,K$8,$K$3)</f>
        <v>#NAME?</v>
      </c>
      <c r="L874" s="7" t="e">
        <f ca="1">_xll.xlqhClose($C874,L$8,$K$3)</f>
        <v>#NAME?</v>
      </c>
      <c r="N874" s="9">
        <f t="shared" ca="1" si="137"/>
        <v>1</v>
      </c>
      <c r="O874" s="9">
        <f t="shared" ca="1" si="138"/>
        <v>1</v>
      </c>
      <c r="P874" s="9">
        <f t="shared" ca="1" si="139"/>
        <v>1</v>
      </c>
      <c r="Q874" s="9">
        <f t="shared" ca="1" si="140"/>
        <v>1</v>
      </c>
      <c r="R874" s="9">
        <f t="shared" ca="1" si="141"/>
        <v>0</v>
      </c>
    </row>
    <row r="875" spans="2:18" x14ac:dyDescent="0.25">
      <c r="B875" t="s">
        <v>2125</v>
      </c>
      <c r="C875" s="39" t="s">
        <v>2126</v>
      </c>
      <c r="D875" s="7" t="e">
        <f ca="1">_xll.xlqPrice(C875)</f>
        <v>#NAME?</v>
      </c>
      <c r="E875" s="9" t="e">
        <f t="shared" ca="1" si="132"/>
        <v>#NAME?</v>
      </c>
      <c r="F875" s="9">
        <f t="shared" ca="1" si="133"/>
        <v>1</v>
      </c>
      <c r="G875" s="8">
        <f t="shared" ca="1" si="134"/>
        <v>0</v>
      </c>
      <c r="H875" s="8">
        <f t="shared" ca="1" si="135"/>
        <v>0</v>
      </c>
      <c r="I875" s="8">
        <f t="shared" ca="1" si="136"/>
        <v>0</v>
      </c>
      <c r="J875" s="6" t="e">
        <f ca="1">_xll.xlqxhSMA($C875,$L$4,$J$7,$K$3)</f>
        <v>#NAME?</v>
      </c>
      <c r="K875" s="7" t="e">
        <f ca="1">_xll.xlqhClose($C875,K$8,$K$3)</f>
        <v>#NAME?</v>
      </c>
      <c r="L875" s="7" t="e">
        <f ca="1">_xll.xlqhClose($C875,L$8,$K$3)</f>
        <v>#NAME?</v>
      </c>
      <c r="N875" s="9">
        <f t="shared" ca="1" si="137"/>
        <v>1</v>
      </c>
      <c r="O875" s="9">
        <f t="shared" ca="1" si="138"/>
        <v>1</v>
      </c>
      <c r="P875" s="9">
        <f t="shared" ca="1" si="139"/>
        <v>1</v>
      </c>
      <c r="Q875" s="9">
        <f t="shared" ca="1" si="140"/>
        <v>1</v>
      </c>
      <c r="R875" s="9">
        <f t="shared" ca="1" si="141"/>
        <v>0</v>
      </c>
    </row>
    <row r="876" spans="2:18" x14ac:dyDescent="0.25">
      <c r="B876" t="s">
        <v>1109</v>
      </c>
      <c r="C876" s="39" t="s">
        <v>1110</v>
      </c>
      <c r="D876" s="7" t="e">
        <f ca="1">_xll.xlqPrice(C876)</f>
        <v>#NAME?</v>
      </c>
      <c r="E876" s="9" t="e">
        <f t="shared" ca="1" si="132"/>
        <v>#NAME?</v>
      </c>
      <c r="F876" s="9">
        <f t="shared" ca="1" si="133"/>
        <v>1</v>
      </c>
      <c r="G876" s="8">
        <f t="shared" ca="1" si="134"/>
        <v>0</v>
      </c>
      <c r="H876" s="8">
        <f t="shared" ca="1" si="135"/>
        <v>0</v>
      </c>
      <c r="I876" s="8">
        <f t="shared" ca="1" si="136"/>
        <v>0</v>
      </c>
      <c r="J876" s="6" t="e">
        <f ca="1">_xll.xlqxhSMA($C876,$L$4,$J$7,$K$3)</f>
        <v>#NAME?</v>
      </c>
      <c r="K876" s="7" t="e">
        <f ca="1">_xll.xlqhClose($C876,K$8,$K$3)</f>
        <v>#NAME?</v>
      </c>
      <c r="L876" s="7" t="e">
        <f ca="1">_xll.xlqhClose($C876,L$8,$K$3)</f>
        <v>#NAME?</v>
      </c>
      <c r="N876" s="9">
        <f t="shared" ca="1" si="137"/>
        <v>1</v>
      </c>
      <c r="O876" s="9">
        <f t="shared" ca="1" si="138"/>
        <v>1</v>
      </c>
      <c r="P876" s="9">
        <f t="shared" ca="1" si="139"/>
        <v>1</v>
      </c>
      <c r="Q876" s="9">
        <f t="shared" ca="1" si="140"/>
        <v>1</v>
      </c>
      <c r="R876" s="9">
        <f t="shared" ca="1" si="141"/>
        <v>0</v>
      </c>
    </row>
    <row r="877" spans="2:18" x14ac:dyDescent="0.25">
      <c r="B877" s="17" t="s">
        <v>832</v>
      </c>
      <c r="C877" s="18" t="s">
        <v>833</v>
      </c>
      <c r="D877" s="7" t="e">
        <f ca="1">_xll.xlqPrice(C877)</f>
        <v>#NAME?</v>
      </c>
      <c r="E877" s="9" t="e">
        <f t="shared" ca="1" si="132"/>
        <v>#NAME?</v>
      </c>
      <c r="F877" s="9">
        <f t="shared" ca="1" si="133"/>
        <v>1</v>
      </c>
      <c r="G877" s="8">
        <f t="shared" ca="1" si="134"/>
        <v>0</v>
      </c>
      <c r="H877" s="8">
        <f t="shared" ca="1" si="135"/>
        <v>0</v>
      </c>
      <c r="I877" s="8">
        <f t="shared" ca="1" si="136"/>
        <v>0</v>
      </c>
      <c r="J877" s="6" t="e">
        <f ca="1">_xll.xlqxhSMA($C877,$L$4,$J$7,$K$3)</f>
        <v>#NAME?</v>
      </c>
      <c r="K877" s="7" t="e">
        <f ca="1">_xll.xlqhClose($C877,K$8,$K$3)</f>
        <v>#NAME?</v>
      </c>
      <c r="L877" s="7" t="e">
        <f ca="1">_xll.xlqhClose($C877,L$8,$K$3)</f>
        <v>#NAME?</v>
      </c>
      <c r="N877" s="9">
        <f t="shared" ca="1" si="137"/>
        <v>1</v>
      </c>
      <c r="O877" s="9">
        <f t="shared" ca="1" si="138"/>
        <v>1</v>
      </c>
      <c r="P877" s="9">
        <f t="shared" ca="1" si="139"/>
        <v>1</v>
      </c>
      <c r="Q877" s="9">
        <f t="shared" ca="1" si="140"/>
        <v>1</v>
      </c>
      <c r="R877" s="9">
        <f t="shared" ca="1" si="141"/>
        <v>0</v>
      </c>
    </row>
    <row r="878" spans="2:18" x14ac:dyDescent="0.25">
      <c r="B878" t="s">
        <v>1995</v>
      </c>
      <c r="C878" s="39" t="s">
        <v>1996</v>
      </c>
      <c r="D878" s="7" t="e">
        <f ca="1">_xll.xlqPrice(C878)</f>
        <v>#NAME?</v>
      </c>
      <c r="E878" s="9" t="e">
        <f t="shared" ca="1" si="132"/>
        <v>#NAME?</v>
      </c>
      <c r="F878" s="9">
        <f t="shared" ca="1" si="133"/>
        <v>1</v>
      </c>
      <c r="G878" s="8">
        <f t="shared" ca="1" si="134"/>
        <v>0</v>
      </c>
      <c r="H878" s="8">
        <f t="shared" ca="1" si="135"/>
        <v>0</v>
      </c>
      <c r="I878" s="8">
        <f t="shared" ca="1" si="136"/>
        <v>0</v>
      </c>
      <c r="J878" s="6" t="e">
        <f ca="1">_xll.xlqxhSMA($C878,$L$4,$J$7,$K$3)</f>
        <v>#NAME?</v>
      </c>
      <c r="K878" s="7" t="e">
        <f ca="1">_xll.xlqhClose($C878,K$8,$K$3)</f>
        <v>#NAME?</v>
      </c>
      <c r="L878" s="7" t="e">
        <f ca="1">_xll.xlqhClose($C878,L$8,$K$3)</f>
        <v>#NAME?</v>
      </c>
      <c r="N878" s="9">
        <f t="shared" ca="1" si="137"/>
        <v>1</v>
      </c>
      <c r="O878" s="9">
        <f t="shared" ca="1" si="138"/>
        <v>1</v>
      </c>
      <c r="P878" s="9">
        <f t="shared" ca="1" si="139"/>
        <v>1</v>
      </c>
      <c r="Q878" s="9">
        <f t="shared" ca="1" si="140"/>
        <v>1</v>
      </c>
      <c r="R878" s="9">
        <f t="shared" ca="1" si="141"/>
        <v>0</v>
      </c>
    </row>
    <row r="879" spans="2:18" x14ac:dyDescent="0.25">
      <c r="B879" t="s">
        <v>1997</v>
      </c>
      <c r="C879" s="39" t="s">
        <v>1998</v>
      </c>
      <c r="D879" s="7" t="e">
        <f ca="1">_xll.xlqPrice(C879)</f>
        <v>#NAME?</v>
      </c>
      <c r="E879" s="9" t="e">
        <f t="shared" ca="1" si="132"/>
        <v>#NAME?</v>
      </c>
      <c r="F879" s="9">
        <f t="shared" ca="1" si="133"/>
        <v>1</v>
      </c>
      <c r="G879" s="8">
        <f t="shared" ca="1" si="134"/>
        <v>0</v>
      </c>
      <c r="H879" s="8">
        <f t="shared" ca="1" si="135"/>
        <v>0</v>
      </c>
      <c r="I879" s="8">
        <f t="shared" ca="1" si="136"/>
        <v>0</v>
      </c>
      <c r="J879" s="6" t="e">
        <f ca="1">_xll.xlqxhSMA($C879,$L$4,$J$7,$K$3)</f>
        <v>#NAME?</v>
      </c>
      <c r="K879" s="7" t="e">
        <f ca="1">_xll.xlqhClose($C879,K$8,$K$3)</f>
        <v>#NAME?</v>
      </c>
      <c r="L879" s="7" t="e">
        <f ca="1">_xll.xlqhClose($C879,L$8,$K$3)</f>
        <v>#NAME?</v>
      </c>
      <c r="N879" s="9">
        <f t="shared" ca="1" si="137"/>
        <v>1</v>
      </c>
      <c r="O879" s="9">
        <f t="shared" ca="1" si="138"/>
        <v>1</v>
      </c>
      <c r="P879" s="9">
        <f t="shared" ca="1" si="139"/>
        <v>1</v>
      </c>
      <c r="Q879" s="9">
        <f t="shared" ca="1" si="140"/>
        <v>1</v>
      </c>
      <c r="R879" s="9">
        <f t="shared" ca="1" si="141"/>
        <v>0</v>
      </c>
    </row>
    <row r="880" spans="2:18" x14ac:dyDescent="0.25">
      <c r="B880" t="s">
        <v>194</v>
      </c>
      <c r="C880" s="39" t="s">
        <v>195</v>
      </c>
      <c r="D880" s="7" t="e">
        <f ca="1">_xll.xlqPrice(C880)</f>
        <v>#NAME?</v>
      </c>
      <c r="E880" s="9" t="e">
        <f t="shared" ca="1" si="132"/>
        <v>#NAME?</v>
      </c>
      <c r="F880" s="9">
        <f t="shared" ca="1" si="133"/>
        <v>1</v>
      </c>
      <c r="G880" s="8">
        <f t="shared" ca="1" si="134"/>
        <v>0</v>
      </c>
      <c r="H880" s="8">
        <f t="shared" ca="1" si="135"/>
        <v>0</v>
      </c>
      <c r="I880" s="8">
        <f t="shared" ca="1" si="136"/>
        <v>0</v>
      </c>
      <c r="J880" s="6" t="e">
        <f ca="1">_xll.xlqxhSMA($C880,$L$4,$J$7,$K$3)</f>
        <v>#NAME?</v>
      </c>
      <c r="K880" s="7" t="e">
        <f ca="1">_xll.xlqhClose($C880,K$8,$K$3)</f>
        <v>#NAME?</v>
      </c>
      <c r="L880" s="7" t="e">
        <f ca="1">_xll.xlqhClose($C880,L$8,$K$3)</f>
        <v>#NAME?</v>
      </c>
      <c r="N880" s="9">
        <f t="shared" ca="1" si="137"/>
        <v>1</v>
      </c>
      <c r="O880" s="9">
        <f t="shared" ca="1" si="138"/>
        <v>1</v>
      </c>
      <c r="P880" s="9">
        <f t="shared" ca="1" si="139"/>
        <v>1</v>
      </c>
      <c r="Q880" s="9">
        <f t="shared" ca="1" si="140"/>
        <v>1</v>
      </c>
      <c r="R880" s="9">
        <f t="shared" ca="1" si="141"/>
        <v>0</v>
      </c>
    </row>
    <row r="881" spans="2:18" x14ac:dyDescent="0.25">
      <c r="B881" s="17" t="s">
        <v>2229</v>
      </c>
      <c r="C881" s="18" t="s">
        <v>2230</v>
      </c>
      <c r="D881" s="7" t="e">
        <f ca="1">_xll.xlqPrice(C881)</f>
        <v>#NAME?</v>
      </c>
      <c r="E881" s="9" t="e">
        <f t="shared" ca="1" si="132"/>
        <v>#NAME?</v>
      </c>
      <c r="F881" s="9">
        <f t="shared" ca="1" si="133"/>
        <v>1</v>
      </c>
      <c r="G881" s="8">
        <f t="shared" ca="1" si="134"/>
        <v>0</v>
      </c>
      <c r="H881" s="8">
        <f t="shared" ca="1" si="135"/>
        <v>0</v>
      </c>
      <c r="I881" s="8">
        <f t="shared" ca="1" si="136"/>
        <v>0</v>
      </c>
      <c r="J881" s="6" t="e">
        <f ca="1">_xll.xlqxhSMA($C881,$L$4,$J$7,$K$3)</f>
        <v>#NAME?</v>
      </c>
      <c r="K881" s="7" t="e">
        <f ca="1">_xll.xlqhClose($C881,K$8,$K$3)</f>
        <v>#NAME?</v>
      </c>
      <c r="L881" s="7" t="e">
        <f ca="1">_xll.xlqhClose($C881,L$8,$K$3)</f>
        <v>#NAME?</v>
      </c>
      <c r="N881" s="9">
        <f t="shared" ca="1" si="137"/>
        <v>1</v>
      </c>
      <c r="O881" s="9">
        <f t="shared" ca="1" si="138"/>
        <v>1</v>
      </c>
      <c r="P881" s="9">
        <f t="shared" ca="1" si="139"/>
        <v>1</v>
      </c>
      <c r="Q881" s="9">
        <f t="shared" ca="1" si="140"/>
        <v>1</v>
      </c>
      <c r="R881" s="9">
        <f t="shared" ca="1" si="141"/>
        <v>0</v>
      </c>
    </row>
    <row r="882" spans="2:18" x14ac:dyDescent="0.25">
      <c r="B882" s="17" t="s">
        <v>1105</v>
      </c>
      <c r="C882" s="18" t="s">
        <v>1106</v>
      </c>
      <c r="D882" s="7" t="e">
        <f ca="1">_xll.xlqPrice(C882)</f>
        <v>#NAME?</v>
      </c>
      <c r="E882" s="9" t="e">
        <f t="shared" ca="1" si="132"/>
        <v>#NAME?</v>
      </c>
      <c r="F882" s="9">
        <f t="shared" ca="1" si="133"/>
        <v>1</v>
      </c>
      <c r="G882" s="8">
        <f t="shared" ca="1" si="134"/>
        <v>0</v>
      </c>
      <c r="H882" s="8">
        <f t="shared" ca="1" si="135"/>
        <v>0</v>
      </c>
      <c r="I882" s="8">
        <f t="shared" ca="1" si="136"/>
        <v>0</v>
      </c>
      <c r="J882" s="6" t="e">
        <f ca="1">_xll.xlqxhSMA($C882,$L$4,$J$7,$K$3)</f>
        <v>#NAME?</v>
      </c>
      <c r="K882" s="7" t="e">
        <f ca="1">_xll.xlqhClose($C882,K$8,$K$3)</f>
        <v>#NAME?</v>
      </c>
      <c r="L882" s="7" t="e">
        <f ca="1">_xll.xlqhClose($C882,L$8,$K$3)</f>
        <v>#NAME?</v>
      </c>
      <c r="N882" s="9">
        <f t="shared" ca="1" si="137"/>
        <v>1</v>
      </c>
      <c r="O882" s="9">
        <f t="shared" ca="1" si="138"/>
        <v>1</v>
      </c>
      <c r="P882" s="9">
        <f t="shared" ca="1" si="139"/>
        <v>1</v>
      </c>
      <c r="Q882" s="9">
        <f t="shared" ca="1" si="140"/>
        <v>1</v>
      </c>
      <c r="R882" s="9">
        <f t="shared" ca="1" si="141"/>
        <v>0</v>
      </c>
    </row>
    <row r="883" spans="2:18" x14ac:dyDescent="0.25">
      <c r="B883" t="s">
        <v>868</v>
      </c>
      <c r="C883" s="39" t="s">
        <v>869</v>
      </c>
      <c r="D883" s="7" t="e">
        <f ca="1">_xll.xlqPrice(C883)</f>
        <v>#NAME?</v>
      </c>
      <c r="E883" s="9" t="e">
        <f t="shared" ca="1" si="132"/>
        <v>#NAME?</v>
      </c>
      <c r="F883" s="9">
        <f t="shared" ca="1" si="133"/>
        <v>1</v>
      </c>
      <c r="G883" s="8">
        <f t="shared" ca="1" si="134"/>
        <v>0</v>
      </c>
      <c r="H883" s="8">
        <f t="shared" ca="1" si="135"/>
        <v>0</v>
      </c>
      <c r="I883" s="8">
        <f t="shared" ca="1" si="136"/>
        <v>0</v>
      </c>
      <c r="J883" s="6" t="e">
        <f ca="1">_xll.xlqxhSMA($C883,$L$4,$J$7,$K$3)</f>
        <v>#NAME?</v>
      </c>
      <c r="K883" s="7" t="e">
        <f ca="1">_xll.xlqhClose($C883,K$8,$K$3)</f>
        <v>#NAME?</v>
      </c>
      <c r="L883" s="7" t="e">
        <f ca="1">_xll.xlqhClose($C883,L$8,$K$3)</f>
        <v>#NAME?</v>
      </c>
      <c r="N883" s="9">
        <f t="shared" ca="1" si="137"/>
        <v>1</v>
      </c>
      <c r="O883" s="9">
        <f t="shared" ca="1" si="138"/>
        <v>1</v>
      </c>
      <c r="P883" s="9">
        <f t="shared" ca="1" si="139"/>
        <v>1</v>
      </c>
      <c r="Q883" s="9">
        <f t="shared" ca="1" si="140"/>
        <v>1</v>
      </c>
      <c r="R883" s="9">
        <f t="shared" ca="1" si="141"/>
        <v>0</v>
      </c>
    </row>
    <row r="884" spans="2:18" x14ac:dyDescent="0.25">
      <c r="B884" s="17" t="s">
        <v>166</v>
      </c>
      <c r="C884" s="18" t="s">
        <v>167</v>
      </c>
      <c r="D884" s="7" t="e">
        <f ca="1">_xll.xlqPrice(C884)</f>
        <v>#NAME?</v>
      </c>
      <c r="E884" s="9" t="e">
        <f t="shared" ca="1" si="132"/>
        <v>#NAME?</v>
      </c>
      <c r="F884" s="9">
        <f t="shared" ca="1" si="133"/>
        <v>1</v>
      </c>
      <c r="G884" s="8">
        <f t="shared" ca="1" si="134"/>
        <v>0</v>
      </c>
      <c r="H884" s="8">
        <f t="shared" ca="1" si="135"/>
        <v>0</v>
      </c>
      <c r="I884" s="8">
        <f t="shared" ca="1" si="136"/>
        <v>0</v>
      </c>
      <c r="J884" s="6" t="e">
        <f ca="1">_xll.xlqxhSMA($C884,$L$4,$J$7,$K$3)</f>
        <v>#NAME?</v>
      </c>
      <c r="K884" s="7" t="e">
        <f ca="1">_xll.xlqhClose($C884,K$8,$K$3)</f>
        <v>#NAME?</v>
      </c>
      <c r="L884" s="7" t="e">
        <f ca="1">_xll.xlqhClose($C884,L$8,$K$3)</f>
        <v>#NAME?</v>
      </c>
      <c r="N884" s="9">
        <f t="shared" ca="1" si="137"/>
        <v>1</v>
      </c>
      <c r="O884" s="9">
        <f t="shared" ca="1" si="138"/>
        <v>1</v>
      </c>
      <c r="P884" s="9">
        <f t="shared" ca="1" si="139"/>
        <v>1</v>
      </c>
      <c r="Q884" s="9">
        <f t="shared" ca="1" si="140"/>
        <v>1</v>
      </c>
      <c r="R884" s="9">
        <f t="shared" ca="1" si="141"/>
        <v>0</v>
      </c>
    </row>
    <row r="885" spans="2:18" x14ac:dyDescent="0.25">
      <c r="B885" s="17" t="s">
        <v>51</v>
      </c>
      <c r="C885" s="18" t="s">
        <v>52</v>
      </c>
      <c r="D885" s="7" t="e">
        <f ca="1">_xll.xlqPrice(C885)</f>
        <v>#NAME?</v>
      </c>
      <c r="E885" s="9" t="e">
        <f t="shared" ca="1" si="132"/>
        <v>#NAME?</v>
      </c>
      <c r="F885" s="9">
        <f t="shared" ca="1" si="133"/>
        <v>1</v>
      </c>
      <c r="G885" s="8">
        <f t="shared" ca="1" si="134"/>
        <v>0</v>
      </c>
      <c r="H885" s="8">
        <f t="shared" ca="1" si="135"/>
        <v>0</v>
      </c>
      <c r="I885" s="8">
        <f t="shared" ca="1" si="136"/>
        <v>0</v>
      </c>
      <c r="J885" s="6" t="e">
        <f ca="1">_xll.xlqxhSMA($C885,$L$4,$J$7,$K$3)</f>
        <v>#NAME?</v>
      </c>
      <c r="K885" s="7" t="e">
        <f ca="1">_xll.xlqhClose($C885,K$8,$K$3)</f>
        <v>#NAME?</v>
      </c>
      <c r="L885" s="7" t="e">
        <f ca="1">_xll.xlqhClose($C885,L$8,$K$3)</f>
        <v>#NAME?</v>
      </c>
      <c r="N885" s="9">
        <f t="shared" ca="1" si="137"/>
        <v>1</v>
      </c>
      <c r="O885" s="9">
        <f t="shared" ca="1" si="138"/>
        <v>1</v>
      </c>
      <c r="P885" s="9">
        <f t="shared" ca="1" si="139"/>
        <v>1</v>
      </c>
      <c r="Q885" s="9">
        <f t="shared" ca="1" si="140"/>
        <v>1</v>
      </c>
      <c r="R885" s="9">
        <f t="shared" ca="1" si="141"/>
        <v>0</v>
      </c>
    </row>
    <row r="886" spans="2:18" x14ac:dyDescent="0.25">
      <c r="B886" s="17" t="s">
        <v>790</v>
      </c>
      <c r="C886" s="18" t="s">
        <v>791</v>
      </c>
      <c r="D886" s="7" t="e">
        <f ca="1">_xll.xlqPrice(C886)</f>
        <v>#NAME?</v>
      </c>
      <c r="E886" s="9" t="e">
        <f t="shared" ca="1" si="132"/>
        <v>#NAME?</v>
      </c>
      <c r="F886" s="9">
        <f t="shared" ca="1" si="133"/>
        <v>1</v>
      </c>
      <c r="G886" s="8">
        <f t="shared" ca="1" si="134"/>
        <v>0</v>
      </c>
      <c r="H886" s="8">
        <f t="shared" ca="1" si="135"/>
        <v>0</v>
      </c>
      <c r="I886" s="8">
        <f t="shared" ca="1" si="136"/>
        <v>0</v>
      </c>
      <c r="J886" s="6" t="e">
        <f ca="1">_xll.xlqxhSMA($C886,$L$4,$J$7,$K$3)</f>
        <v>#NAME?</v>
      </c>
      <c r="K886" s="7" t="e">
        <f ca="1">_xll.xlqhClose($C886,K$8,$K$3)</f>
        <v>#NAME?</v>
      </c>
      <c r="L886" s="7" t="e">
        <f ca="1">_xll.xlqhClose($C886,L$8,$K$3)</f>
        <v>#NAME?</v>
      </c>
      <c r="N886" s="9">
        <f t="shared" ca="1" si="137"/>
        <v>1</v>
      </c>
      <c r="O886" s="9">
        <f t="shared" ca="1" si="138"/>
        <v>1</v>
      </c>
      <c r="P886" s="9">
        <f t="shared" ca="1" si="139"/>
        <v>1</v>
      </c>
      <c r="Q886" s="9">
        <f t="shared" ca="1" si="140"/>
        <v>1</v>
      </c>
      <c r="R886" s="9">
        <f t="shared" ca="1" si="141"/>
        <v>0</v>
      </c>
    </row>
    <row r="887" spans="2:18" x14ac:dyDescent="0.25">
      <c r="B887" s="17" t="s">
        <v>967</v>
      </c>
      <c r="C887" s="18" t="s">
        <v>968</v>
      </c>
      <c r="D887" s="7" t="e">
        <f ca="1">_xll.xlqPrice(C887)</f>
        <v>#NAME?</v>
      </c>
      <c r="E887" s="9" t="e">
        <f t="shared" ca="1" si="132"/>
        <v>#NAME?</v>
      </c>
      <c r="F887" s="9">
        <f t="shared" ca="1" si="133"/>
        <v>1</v>
      </c>
      <c r="G887" s="8">
        <f t="shared" ca="1" si="134"/>
        <v>0</v>
      </c>
      <c r="H887" s="8">
        <f t="shared" ca="1" si="135"/>
        <v>0</v>
      </c>
      <c r="I887" s="8">
        <f t="shared" ca="1" si="136"/>
        <v>0</v>
      </c>
      <c r="J887" s="6" t="e">
        <f ca="1">_xll.xlqxhSMA($C887,$L$4,$J$7,$K$3)</f>
        <v>#NAME?</v>
      </c>
      <c r="K887" s="7" t="e">
        <f ca="1">_xll.xlqhClose($C887,K$8,$K$3)</f>
        <v>#NAME?</v>
      </c>
      <c r="L887" s="7" t="e">
        <f ca="1">_xll.xlqhClose($C887,L$8,$K$3)</f>
        <v>#NAME?</v>
      </c>
      <c r="N887" s="9">
        <f t="shared" ca="1" si="137"/>
        <v>1</v>
      </c>
      <c r="O887" s="9">
        <f t="shared" ca="1" si="138"/>
        <v>1</v>
      </c>
      <c r="P887" s="9">
        <f t="shared" ca="1" si="139"/>
        <v>1</v>
      </c>
      <c r="Q887" s="9">
        <f t="shared" ca="1" si="140"/>
        <v>1</v>
      </c>
      <c r="R887" s="9">
        <f t="shared" ca="1" si="141"/>
        <v>0</v>
      </c>
    </row>
    <row r="888" spans="2:18" x14ac:dyDescent="0.25">
      <c r="B888" t="s">
        <v>2109</v>
      </c>
      <c r="C888" s="39" t="s">
        <v>2110</v>
      </c>
      <c r="D888" s="7" t="e">
        <f ca="1">_xll.xlqPrice(C888)</f>
        <v>#NAME?</v>
      </c>
      <c r="E888" s="9" t="e">
        <f t="shared" ca="1" si="132"/>
        <v>#NAME?</v>
      </c>
      <c r="F888" s="9">
        <f t="shared" ca="1" si="133"/>
        <v>1</v>
      </c>
      <c r="G888" s="8">
        <f t="shared" ca="1" si="134"/>
        <v>0</v>
      </c>
      <c r="H888" s="8">
        <f t="shared" ca="1" si="135"/>
        <v>0</v>
      </c>
      <c r="I888" s="8">
        <f t="shared" ca="1" si="136"/>
        <v>0</v>
      </c>
      <c r="J888" s="6" t="e">
        <f ca="1">_xll.xlqxhSMA($C888,$L$4,$J$7,$K$3)</f>
        <v>#NAME?</v>
      </c>
      <c r="K888" s="7" t="e">
        <f ca="1">_xll.xlqhClose($C888,K$8,$K$3)</f>
        <v>#NAME?</v>
      </c>
      <c r="L888" s="7" t="e">
        <f ca="1">_xll.xlqhClose($C888,L$8,$K$3)</f>
        <v>#NAME?</v>
      </c>
      <c r="N888" s="9">
        <f t="shared" ca="1" si="137"/>
        <v>1</v>
      </c>
      <c r="O888" s="9">
        <f t="shared" ca="1" si="138"/>
        <v>1</v>
      </c>
      <c r="P888" s="9">
        <f t="shared" ca="1" si="139"/>
        <v>1</v>
      </c>
      <c r="Q888" s="9">
        <f t="shared" ca="1" si="140"/>
        <v>1</v>
      </c>
      <c r="R888" s="9">
        <f t="shared" ca="1" si="141"/>
        <v>0</v>
      </c>
    </row>
    <row r="889" spans="2:18" x14ac:dyDescent="0.25">
      <c r="B889" s="17" t="s">
        <v>1097</v>
      </c>
      <c r="C889" s="18" t="s">
        <v>1098</v>
      </c>
      <c r="D889" s="7" t="e">
        <f ca="1">_xll.xlqPrice(C889)</f>
        <v>#NAME?</v>
      </c>
      <c r="E889" s="9" t="e">
        <f t="shared" ca="1" si="132"/>
        <v>#NAME?</v>
      </c>
      <c r="F889" s="9">
        <f t="shared" ca="1" si="133"/>
        <v>1</v>
      </c>
      <c r="G889" s="8">
        <f t="shared" ca="1" si="134"/>
        <v>0</v>
      </c>
      <c r="H889" s="8">
        <f t="shared" ca="1" si="135"/>
        <v>0</v>
      </c>
      <c r="I889" s="8">
        <f t="shared" ca="1" si="136"/>
        <v>0</v>
      </c>
      <c r="J889" s="6" t="e">
        <f ca="1">_xll.xlqxhSMA($C889,$L$4,$J$7,$K$3)</f>
        <v>#NAME?</v>
      </c>
      <c r="K889" s="7" t="e">
        <f ca="1">_xll.xlqhClose($C889,K$8,$K$3)</f>
        <v>#NAME?</v>
      </c>
      <c r="L889" s="7" t="e">
        <f ca="1">_xll.xlqhClose($C889,L$8,$K$3)</f>
        <v>#NAME?</v>
      </c>
      <c r="N889" s="9">
        <f t="shared" ca="1" si="137"/>
        <v>1</v>
      </c>
      <c r="O889" s="9">
        <f t="shared" ca="1" si="138"/>
        <v>1</v>
      </c>
      <c r="P889" s="9">
        <f t="shared" ca="1" si="139"/>
        <v>1</v>
      </c>
      <c r="Q889" s="9">
        <f t="shared" ca="1" si="140"/>
        <v>1</v>
      </c>
      <c r="R889" s="9">
        <f t="shared" ca="1" si="141"/>
        <v>0</v>
      </c>
    </row>
    <row r="890" spans="2:18" x14ac:dyDescent="0.25">
      <c r="B890" s="17" t="s">
        <v>398</v>
      </c>
      <c r="C890" s="18" t="s">
        <v>399</v>
      </c>
      <c r="D890" s="7" t="e">
        <f ca="1">_xll.xlqPrice(C890)</f>
        <v>#NAME?</v>
      </c>
      <c r="E890" s="9" t="e">
        <f t="shared" ca="1" si="132"/>
        <v>#NAME?</v>
      </c>
      <c r="F890" s="9">
        <f t="shared" ca="1" si="133"/>
        <v>1</v>
      </c>
      <c r="G890" s="8">
        <f t="shared" ca="1" si="134"/>
        <v>0</v>
      </c>
      <c r="H890" s="8">
        <f t="shared" ca="1" si="135"/>
        <v>0</v>
      </c>
      <c r="I890" s="8">
        <f t="shared" ca="1" si="136"/>
        <v>0</v>
      </c>
      <c r="J890" s="6" t="e">
        <f ca="1">_xll.xlqxhSMA($C890,$L$4,$J$7,$K$3)</f>
        <v>#NAME?</v>
      </c>
      <c r="K890" s="7" t="e">
        <f ca="1">_xll.xlqhClose($C890,K$8,$K$3)</f>
        <v>#NAME?</v>
      </c>
      <c r="L890" s="7" t="e">
        <f ca="1">_xll.xlqhClose($C890,L$8,$K$3)</f>
        <v>#NAME?</v>
      </c>
      <c r="N890" s="9">
        <f t="shared" ca="1" si="137"/>
        <v>1</v>
      </c>
      <c r="O890" s="9">
        <f t="shared" ca="1" si="138"/>
        <v>1</v>
      </c>
      <c r="P890" s="9">
        <f t="shared" ca="1" si="139"/>
        <v>1</v>
      </c>
      <c r="Q890" s="9">
        <f t="shared" ca="1" si="140"/>
        <v>1</v>
      </c>
      <c r="R890" s="9">
        <f t="shared" ca="1" si="141"/>
        <v>0</v>
      </c>
    </row>
    <row r="891" spans="2:18" x14ac:dyDescent="0.25">
      <c r="B891" s="17" t="s">
        <v>1313</v>
      </c>
      <c r="C891" s="18" t="s">
        <v>1314</v>
      </c>
      <c r="D891" s="7" t="e">
        <f ca="1">_xll.xlqPrice(C891)</f>
        <v>#NAME?</v>
      </c>
      <c r="E891" s="9" t="e">
        <f t="shared" ca="1" si="132"/>
        <v>#NAME?</v>
      </c>
      <c r="F891" s="9">
        <f t="shared" ca="1" si="133"/>
        <v>1</v>
      </c>
      <c r="G891" s="8">
        <f t="shared" ca="1" si="134"/>
        <v>0</v>
      </c>
      <c r="H891" s="8">
        <f t="shared" ca="1" si="135"/>
        <v>0</v>
      </c>
      <c r="I891" s="8">
        <f t="shared" ca="1" si="136"/>
        <v>0</v>
      </c>
      <c r="J891" s="6" t="e">
        <f ca="1">_xll.xlqxhSMA($C891,$L$4,$J$7,$K$3)</f>
        <v>#NAME?</v>
      </c>
      <c r="K891" s="7" t="e">
        <f ca="1">_xll.xlqhClose($C891,K$8,$K$3)</f>
        <v>#NAME?</v>
      </c>
      <c r="L891" s="7" t="e">
        <f ca="1">_xll.xlqhClose($C891,L$8,$K$3)</f>
        <v>#NAME?</v>
      </c>
      <c r="N891" s="9">
        <f t="shared" ca="1" si="137"/>
        <v>1</v>
      </c>
      <c r="O891" s="9">
        <f t="shared" ca="1" si="138"/>
        <v>1</v>
      </c>
      <c r="P891" s="9">
        <f t="shared" ca="1" si="139"/>
        <v>1</v>
      </c>
      <c r="Q891" s="9">
        <f t="shared" ca="1" si="140"/>
        <v>1</v>
      </c>
      <c r="R891" s="9">
        <f t="shared" ca="1" si="141"/>
        <v>0</v>
      </c>
    </row>
    <row r="892" spans="2:18" x14ac:dyDescent="0.25">
      <c r="B892" s="17" t="s">
        <v>2011</v>
      </c>
      <c r="C892" s="18" t="s">
        <v>2012</v>
      </c>
      <c r="D892" s="7" t="e">
        <f ca="1">_xll.xlqPrice(C892)</f>
        <v>#NAME?</v>
      </c>
      <c r="E892" s="9" t="e">
        <f t="shared" ca="1" si="132"/>
        <v>#NAME?</v>
      </c>
      <c r="F892" s="9">
        <f t="shared" ca="1" si="133"/>
        <v>1</v>
      </c>
      <c r="G892" s="8">
        <f t="shared" ca="1" si="134"/>
        <v>0</v>
      </c>
      <c r="H892" s="8">
        <f t="shared" ca="1" si="135"/>
        <v>0</v>
      </c>
      <c r="I892" s="8">
        <f t="shared" ca="1" si="136"/>
        <v>0</v>
      </c>
      <c r="J892" s="6" t="e">
        <f ca="1">_xll.xlqxhSMA($C892,$L$4,$J$7,$K$3)</f>
        <v>#NAME?</v>
      </c>
      <c r="K892" s="7" t="e">
        <f ca="1">_xll.xlqhClose($C892,K$8,$K$3)</f>
        <v>#NAME?</v>
      </c>
      <c r="L892" s="7" t="e">
        <f ca="1">_xll.xlqhClose($C892,L$8,$K$3)</f>
        <v>#NAME?</v>
      </c>
      <c r="N892" s="9">
        <f t="shared" ca="1" si="137"/>
        <v>1</v>
      </c>
      <c r="O892" s="9">
        <f t="shared" ca="1" si="138"/>
        <v>1</v>
      </c>
      <c r="P892" s="9">
        <f t="shared" ca="1" si="139"/>
        <v>1</v>
      </c>
      <c r="Q892" s="9">
        <f t="shared" ca="1" si="140"/>
        <v>1</v>
      </c>
      <c r="R892" s="9">
        <f t="shared" ca="1" si="141"/>
        <v>0</v>
      </c>
    </row>
    <row r="893" spans="2:18" x14ac:dyDescent="0.25">
      <c r="B893" s="17" t="s">
        <v>664</v>
      </c>
      <c r="C893" s="18" t="s">
        <v>665</v>
      </c>
      <c r="D893" s="7" t="e">
        <f ca="1">_xll.xlqPrice(C893)</f>
        <v>#NAME?</v>
      </c>
      <c r="E893" s="9" t="e">
        <f t="shared" ca="1" si="132"/>
        <v>#NAME?</v>
      </c>
      <c r="F893" s="9">
        <f t="shared" ca="1" si="133"/>
        <v>1</v>
      </c>
      <c r="G893" s="8">
        <f t="shared" ca="1" si="134"/>
        <v>0</v>
      </c>
      <c r="H893" s="8">
        <f t="shared" ca="1" si="135"/>
        <v>0</v>
      </c>
      <c r="I893" s="8">
        <f t="shared" ca="1" si="136"/>
        <v>0</v>
      </c>
      <c r="J893" s="6" t="e">
        <f ca="1">_xll.xlqxhSMA($C893,$L$4,$J$7,$K$3)</f>
        <v>#NAME?</v>
      </c>
      <c r="K893" s="7" t="e">
        <f ca="1">_xll.xlqhClose($C893,K$8,$K$3)</f>
        <v>#NAME?</v>
      </c>
      <c r="L893" s="7" t="e">
        <f ca="1">_xll.xlqhClose($C893,L$8,$K$3)</f>
        <v>#NAME?</v>
      </c>
      <c r="N893" s="9">
        <f t="shared" ca="1" si="137"/>
        <v>1</v>
      </c>
      <c r="O893" s="9">
        <f t="shared" ca="1" si="138"/>
        <v>1</v>
      </c>
      <c r="P893" s="9">
        <f t="shared" ca="1" si="139"/>
        <v>1</v>
      </c>
      <c r="Q893" s="9">
        <f t="shared" ca="1" si="140"/>
        <v>1</v>
      </c>
      <c r="R893" s="9">
        <f t="shared" ca="1" si="141"/>
        <v>0</v>
      </c>
    </row>
    <row r="894" spans="2:18" x14ac:dyDescent="0.25">
      <c r="B894" s="17" t="s">
        <v>910</v>
      </c>
      <c r="C894" s="18" t="s">
        <v>911</v>
      </c>
      <c r="D894" s="7" t="e">
        <f ca="1">_xll.xlqPrice(C894)</f>
        <v>#NAME?</v>
      </c>
      <c r="E894" s="9" t="e">
        <f t="shared" ca="1" si="132"/>
        <v>#NAME?</v>
      </c>
      <c r="F894" s="9">
        <f t="shared" ca="1" si="133"/>
        <v>1</v>
      </c>
      <c r="G894" s="8">
        <f t="shared" ca="1" si="134"/>
        <v>0</v>
      </c>
      <c r="H894" s="8">
        <f t="shared" ca="1" si="135"/>
        <v>0</v>
      </c>
      <c r="I894" s="8">
        <f t="shared" ca="1" si="136"/>
        <v>0</v>
      </c>
      <c r="J894" s="6" t="e">
        <f ca="1">_xll.xlqxhSMA($C894,$L$4,$J$7,$K$3)</f>
        <v>#NAME?</v>
      </c>
      <c r="K894" s="7" t="e">
        <f ca="1">_xll.xlqhClose($C894,K$8,$K$3)</f>
        <v>#NAME?</v>
      </c>
      <c r="L894" s="7" t="e">
        <f ca="1">_xll.xlqhClose($C894,L$8,$K$3)</f>
        <v>#NAME?</v>
      </c>
      <c r="N894" s="9">
        <f t="shared" ca="1" si="137"/>
        <v>1</v>
      </c>
      <c r="O894" s="9">
        <f t="shared" ca="1" si="138"/>
        <v>1</v>
      </c>
      <c r="P894" s="9">
        <f t="shared" ca="1" si="139"/>
        <v>1</v>
      </c>
      <c r="Q894" s="9">
        <f t="shared" ca="1" si="140"/>
        <v>1</v>
      </c>
      <c r="R894" s="9">
        <f t="shared" ca="1" si="141"/>
        <v>0</v>
      </c>
    </row>
    <row r="895" spans="2:18" x14ac:dyDescent="0.25">
      <c r="B895" s="17" t="s">
        <v>2271</v>
      </c>
      <c r="C895" s="18" t="s">
        <v>2272</v>
      </c>
      <c r="D895" s="7" t="e">
        <f ca="1">_xll.xlqPrice(C895)</f>
        <v>#NAME?</v>
      </c>
      <c r="E895" s="9" t="e">
        <f t="shared" ca="1" si="132"/>
        <v>#NAME?</v>
      </c>
      <c r="F895" s="9">
        <f t="shared" ca="1" si="133"/>
        <v>1</v>
      </c>
      <c r="G895" s="8">
        <f t="shared" ca="1" si="134"/>
        <v>0</v>
      </c>
      <c r="H895" s="8">
        <f t="shared" ca="1" si="135"/>
        <v>0</v>
      </c>
      <c r="I895" s="8">
        <f t="shared" ca="1" si="136"/>
        <v>0</v>
      </c>
      <c r="J895" s="6" t="e">
        <f ca="1">_xll.xlqxhSMA($C895,$L$4,$J$7,$K$3)</f>
        <v>#NAME?</v>
      </c>
      <c r="K895" s="7" t="e">
        <f ca="1">_xll.xlqhClose($C895,K$8,$K$3)</f>
        <v>#NAME?</v>
      </c>
      <c r="L895" s="7" t="e">
        <f ca="1">_xll.xlqhClose($C895,L$8,$K$3)</f>
        <v>#NAME?</v>
      </c>
      <c r="N895" s="9">
        <f t="shared" ca="1" si="137"/>
        <v>1</v>
      </c>
      <c r="O895" s="9">
        <f t="shared" ca="1" si="138"/>
        <v>1</v>
      </c>
      <c r="P895" s="9">
        <f t="shared" ca="1" si="139"/>
        <v>1</v>
      </c>
      <c r="Q895" s="9">
        <f t="shared" ca="1" si="140"/>
        <v>1</v>
      </c>
      <c r="R895" s="9">
        <f t="shared" ca="1" si="141"/>
        <v>0</v>
      </c>
    </row>
    <row r="896" spans="2:18" x14ac:dyDescent="0.25">
      <c r="B896" s="17" t="s">
        <v>961</v>
      </c>
      <c r="C896" s="18" t="s">
        <v>962</v>
      </c>
      <c r="D896" s="7" t="e">
        <f ca="1">_xll.xlqPrice(C896)</f>
        <v>#NAME?</v>
      </c>
      <c r="E896" s="9" t="e">
        <f t="shared" ca="1" si="132"/>
        <v>#NAME?</v>
      </c>
      <c r="F896" s="9">
        <f t="shared" ca="1" si="133"/>
        <v>1</v>
      </c>
      <c r="G896" s="8">
        <f t="shared" ca="1" si="134"/>
        <v>0</v>
      </c>
      <c r="H896" s="8">
        <f t="shared" ca="1" si="135"/>
        <v>0</v>
      </c>
      <c r="I896" s="8">
        <f t="shared" ca="1" si="136"/>
        <v>0</v>
      </c>
      <c r="J896" s="6" t="e">
        <f ca="1">_xll.xlqxhSMA($C896,$L$4,$J$7,$K$3)</f>
        <v>#NAME?</v>
      </c>
      <c r="K896" s="7" t="e">
        <f ca="1">_xll.xlqhClose($C896,K$8,$K$3)</f>
        <v>#NAME?</v>
      </c>
      <c r="L896" s="7" t="e">
        <f ca="1">_xll.xlqhClose($C896,L$8,$K$3)</f>
        <v>#NAME?</v>
      </c>
      <c r="N896" s="9">
        <f t="shared" ca="1" si="137"/>
        <v>1</v>
      </c>
      <c r="O896" s="9">
        <f t="shared" ca="1" si="138"/>
        <v>1</v>
      </c>
      <c r="P896" s="9">
        <f t="shared" ca="1" si="139"/>
        <v>1</v>
      </c>
      <c r="Q896" s="9">
        <f t="shared" ca="1" si="140"/>
        <v>1</v>
      </c>
      <c r="R896" s="9">
        <f t="shared" ca="1" si="141"/>
        <v>0</v>
      </c>
    </row>
    <row r="897" spans="2:18" x14ac:dyDescent="0.25">
      <c r="B897" s="17" t="s">
        <v>1563</v>
      </c>
      <c r="C897" s="18" t="s">
        <v>1564</v>
      </c>
      <c r="D897" s="7" t="e">
        <f ca="1">_xll.xlqPrice(C897)</f>
        <v>#NAME?</v>
      </c>
      <c r="E897" s="9" t="e">
        <f t="shared" ca="1" si="132"/>
        <v>#NAME?</v>
      </c>
      <c r="F897" s="9">
        <f t="shared" ca="1" si="133"/>
        <v>1</v>
      </c>
      <c r="G897" s="8">
        <f t="shared" ca="1" si="134"/>
        <v>0</v>
      </c>
      <c r="H897" s="8">
        <f t="shared" ca="1" si="135"/>
        <v>0</v>
      </c>
      <c r="I897" s="8">
        <f t="shared" ca="1" si="136"/>
        <v>0</v>
      </c>
      <c r="J897" s="6" t="e">
        <f ca="1">_xll.xlqxhSMA($C897,$L$4,$J$7,$K$3)</f>
        <v>#NAME?</v>
      </c>
      <c r="K897" s="7" t="e">
        <f ca="1">_xll.xlqhClose($C897,K$8,$K$3)</f>
        <v>#NAME?</v>
      </c>
      <c r="L897" s="7" t="e">
        <f ca="1">_xll.xlqhClose($C897,L$8,$K$3)</f>
        <v>#NAME?</v>
      </c>
      <c r="N897" s="9">
        <f t="shared" ca="1" si="137"/>
        <v>1</v>
      </c>
      <c r="O897" s="9">
        <f t="shared" ca="1" si="138"/>
        <v>1</v>
      </c>
      <c r="P897" s="9">
        <f t="shared" ca="1" si="139"/>
        <v>1</v>
      </c>
      <c r="Q897" s="9">
        <f t="shared" ca="1" si="140"/>
        <v>1</v>
      </c>
      <c r="R897" s="9">
        <f t="shared" ca="1" si="141"/>
        <v>0</v>
      </c>
    </row>
    <row r="898" spans="2:18" x14ac:dyDescent="0.25">
      <c r="B898" t="s">
        <v>2087</v>
      </c>
      <c r="C898" s="39" t="s">
        <v>2088</v>
      </c>
      <c r="D898" s="7" t="e">
        <f ca="1">_xll.xlqPrice(C898)</f>
        <v>#NAME?</v>
      </c>
      <c r="E898" s="9" t="e">
        <f t="shared" ca="1" si="132"/>
        <v>#NAME?</v>
      </c>
      <c r="F898" s="9">
        <f t="shared" ca="1" si="133"/>
        <v>1</v>
      </c>
      <c r="G898" s="8">
        <f t="shared" ca="1" si="134"/>
        <v>0</v>
      </c>
      <c r="H898" s="8">
        <f t="shared" ca="1" si="135"/>
        <v>0</v>
      </c>
      <c r="I898" s="8">
        <f t="shared" ca="1" si="136"/>
        <v>0</v>
      </c>
      <c r="J898" s="6" t="e">
        <f ca="1">_xll.xlqxhSMA($C898,$L$4,$J$7,$K$3)</f>
        <v>#NAME?</v>
      </c>
      <c r="K898" s="7" t="e">
        <f ca="1">_xll.xlqhClose($C898,K$8,$K$3)</f>
        <v>#NAME?</v>
      </c>
      <c r="L898" s="7" t="e">
        <f ca="1">_xll.xlqhClose($C898,L$8,$K$3)</f>
        <v>#NAME?</v>
      </c>
      <c r="N898" s="9">
        <f t="shared" ca="1" si="137"/>
        <v>1</v>
      </c>
      <c r="O898" s="9">
        <f t="shared" ca="1" si="138"/>
        <v>1</v>
      </c>
      <c r="P898" s="9">
        <f t="shared" ca="1" si="139"/>
        <v>1</v>
      </c>
      <c r="Q898" s="9">
        <f t="shared" ca="1" si="140"/>
        <v>1</v>
      </c>
      <c r="R898" s="9">
        <f t="shared" ca="1" si="141"/>
        <v>0</v>
      </c>
    </row>
    <row r="899" spans="2:18" x14ac:dyDescent="0.25">
      <c r="B899" s="17" t="s">
        <v>370</v>
      </c>
      <c r="C899" s="18" t="s">
        <v>371</v>
      </c>
      <c r="D899" s="7" t="e">
        <f ca="1">_xll.xlqPrice(C899)</f>
        <v>#NAME?</v>
      </c>
      <c r="E899" s="9" t="e">
        <f t="shared" ca="1" si="132"/>
        <v>#NAME?</v>
      </c>
      <c r="F899" s="9">
        <f t="shared" ca="1" si="133"/>
        <v>1</v>
      </c>
      <c r="G899" s="8">
        <f t="shared" ca="1" si="134"/>
        <v>0</v>
      </c>
      <c r="H899" s="8">
        <f t="shared" ca="1" si="135"/>
        <v>0</v>
      </c>
      <c r="I899" s="8">
        <f t="shared" ca="1" si="136"/>
        <v>0</v>
      </c>
      <c r="J899" s="6" t="e">
        <f ca="1">_xll.xlqxhSMA($C899,$L$4,$J$7,$K$3)</f>
        <v>#NAME?</v>
      </c>
      <c r="K899" s="7" t="e">
        <f ca="1">_xll.xlqhClose($C899,K$8,$K$3)</f>
        <v>#NAME?</v>
      </c>
      <c r="L899" s="7" t="e">
        <f ca="1">_xll.xlqhClose($C899,L$8,$K$3)</f>
        <v>#NAME?</v>
      </c>
      <c r="N899" s="9">
        <f t="shared" ca="1" si="137"/>
        <v>1</v>
      </c>
      <c r="O899" s="9">
        <f t="shared" ca="1" si="138"/>
        <v>1</v>
      </c>
      <c r="P899" s="9">
        <f t="shared" ca="1" si="139"/>
        <v>1</v>
      </c>
      <c r="Q899" s="9">
        <f t="shared" ca="1" si="140"/>
        <v>1</v>
      </c>
      <c r="R899" s="9">
        <f t="shared" ca="1" si="141"/>
        <v>0</v>
      </c>
    </row>
    <row r="900" spans="2:18" x14ac:dyDescent="0.25">
      <c r="B900" s="17" t="s">
        <v>234</v>
      </c>
      <c r="C900" s="18" t="s">
        <v>235</v>
      </c>
      <c r="D900" s="7" t="e">
        <f ca="1">_xll.xlqPrice(C900)</f>
        <v>#NAME?</v>
      </c>
      <c r="E900" s="9" t="e">
        <f t="shared" ca="1" si="132"/>
        <v>#NAME?</v>
      </c>
      <c r="F900" s="9">
        <f t="shared" ca="1" si="133"/>
        <v>1</v>
      </c>
      <c r="G900" s="8">
        <f t="shared" ca="1" si="134"/>
        <v>0</v>
      </c>
      <c r="H900" s="8">
        <f t="shared" ca="1" si="135"/>
        <v>0</v>
      </c>
      <c r="I900" s="8">
        <f t="shared" ca="1" si="136"/>
        <v>0</v>
      </c>
      <c r="J900" s="6" t="e">
        <f ca="1">_xll.xlqxhSMA($C900,$L$4,$J$7,$K$3)</f>
        <v>#NAME?</v>
      </c>
      <c r="K900" s="7" t="e">
        <f ca="1">_xll.xlqhClose($C900,K$8,$K$3)</f>
        <v>#NAME?</v>
      </c>
      <c r="L900" s="7" t="e">
        <f ca="1">_xll.xlqhClose($C900,L$8,$K$3)</f>
        <v>#NAME?</v>
      </c>
      <c r="N900" s="9">
        <f t="shared" ca="1" si="137"/>
        <v>1</v>
      </c>
      <c r="O900" s="9">
        <f t="shared" ca="1" si="138"/>
        <v>1</v>
      </c>
      <c r="P900" s="9">
        <f t="shared" ca="1" si="139"/>
        <v>1</v>
      </c>
      <c r="Q900" s="9">
        <f t="shared" ca="1" si="140"/>
        <v>1</v>
      </c>
      <c r="R900" s="9">
        <f t="shared" ca="1" si="141"/>
        <v>0</v>
      </c>
    </row>
    <row r="901" spans="2:18" x14ac:dyDescent="0.25">
      <c r="B901" s="17" t="s">
        <v>2083</v>
      </c>
      <c r="C901" s="18" t="s">
        <v>2084</v>
      </c>
      <c r="D901" s="7" t="e">
        <f ca="1">_xll.xlqPrice(C901)</f>
        <v>#NAME?</v>
      </c>
      <c r="E901" s="9" t="e">
        <f t="shared" ca="1" si="132"/>
        <v>#NAME?</v>
      </c>
      <c r="F901" s="9">
        <f t="shared" ca="1" si="133"/>
        <v>1</v>
      </c>
      <c r="G901" s="8">
        <f t="shared" ca="1" si="134"/>
        <v>0</v>
      </c>
      <c r="H901" s="8">
        <f t="shared" ca="1" si="135"/>
        <v>0</v>
      </c>
      <c r="I901" s="8">
        <f t="shared" ca="1" si="136"/>
        <v>0</v>
      </c>
      <c r="J901" s="6" t="e">
        <f ca="1">_xll.xlqxhSMA($C901,$L$4,$J$7,$K$3)</f>
        <v>#NAME?</v>
      </c>
      <c r="K901" s="7" t="e">
        <f ca="1">_xll.xlqhClose($C901,K$8,$K$3)</f>
        <v>#NAME?</v>
      </c>
      <c r="L901" s="7" t="e">
        <f ca="1">_xll.xlqhClose($C901,L$8,$K$3)</f>
        <v>#NAME?</v>
      </c>
      <c r="N901" s="9">
        <f t="shared" ca="1" si="137"/>
        <v>1</v>
      </c>
      <c r="O901" s="9">
        <f t="shared" ca="1" si="138"/>
        <v>1</v>
      </c>
      <c r="P901" s="9">
        <f t="shared" ca="1" si="139"/>
        <v>1</v>
      </c>
      <c r="Q901" s="9">
        <f t="shared" ca="1" si="140"/>
        <v>1</v>
      </c>
      <c r="R901" s="9">
        <f t="shared" ca="1" si="141"/>
        <v>0</v>
      </c>
    </row>
    <row r="902" spans="2:18" x14ac:dyDescent="0.25">
      <c r="B902" s="17" t="s">
        <v>920</v>
      </c>
      <c r="C902" s="18" t="s">
        <v>921</v>
      </c>
      <c r="D902" s="7" t="e">
        <f ca="1">_xll.xlqPrice(C902)</f>
        <v>#NAME?</v>
      </c>
      <c r="E902" s="9" t="e">
        <f t="shared" ca="1" si="132"/>
        <v>#NAME?</v>
      </c>
      <c r="F902" s="9">
        <f t="shared" ca="1" si="133"/>
        <v>1</v>
      </c>
      <c r="G902" s="8">
        <f t="shared" ca="1" si="134"/>
        <v>0</v>
      </c>
      <c r="H902" s="8">
        <f t="shared" ca="1" si="135"/>
        <v>0</v>
      </c>
      <c r="I902" s="8">
        <f t="shared" ca="1" si="136"/>
        <v>0</v>
      </c>
      <c r="J902" s="6" t="e">
        <f ca="1">_xll.xlqxhSMA($C902,$L$4,$J$7,$K$3)</f>
        <v>#NAME?</v>
      </c>
      <c r="K902" s="7" t="e">
        <f ca="1">_xll.xlqhClose($C902,K$8,$K$3)</f>
        <v>#NAME?</v>
      </c>
      <c r="L902" s="7" t="e">
        <f ca="1">_xll.xlqhClose($C902,L$8,$K$3)</f>
        <v>#NAME?</v>
      </c>
      <c r="N902" s="9">
        <f t="shared" ca="1" si="137"/>
        <v>1</v>
      </c>
      <c r="O902" s="9">
        <f t="shared" ca="1" si="138"/>
        <v>1</v>
      </c>
      <c r="P902" s="9">
        <f t="shared" ca="1" si="139"/>
        <v>1</v>
      </c>
      <c r="Q902" s="9">
        <f t="shared" ca="1" si="140"/>
        <v>1</v>
      </c>
      <c r="R902" s="9">
        <f t="shared" ca="1" si="141"/>
        <v>0</v>
      </c>
    </row>
    <row r="903" spans="2:18" x14ac:dyDescent="0.25">
      <c r="B903" s="17" t="s">
        <v>2079</v>
      </c>
      <c r="C903" s="18" t="s">
        <v>2080</v>
      </c>
      <c r="D903" s="7" t="e">
        <f ca="1">_xll.xlqPrice(C903)</f>
        <v>#NAME?</v>
      </c>
      <c r="E903" s="9" t="e">
        <f t="shared" ca="1" si="132"/>
        <v>#NAME?</v>
      </c>
      <c r="F903" s="9">
        <f t="shared" ca="1" si="133"/>
        <v>1</v>
      </c>
      <c r="G903" s="8">
        <f t="shared" ca="1" si="134"/>
        <v>0</v>
      </c>
      <c r="H903" s="8">
        <f t="shared" ca="1" si="135"/>
        <v>0</v>
      </c>
      <c r="I903" s="8">
        <f t="shared" ca="1" si="136"/>
        <v>0</v>
      </c>
      <c r="J903" s="6" t="e">
        <f ca="1">_xll.xlqxhSMA($C903,$L$4,$J$7,$K$3)</f>
        <v>#NAME?</v>
      </c>
      <c r="K903" s="7" t="e">
        <f ca="1">_xll.xlqhClose($C903,K$8,$K$3)</f>
        <v>#NAME?</v>
      </c>
      <c r="L903" s="7" t="e">
        <f ca="1">_xll.xlqhClose($C903,L$8,$K$3)</f>
        <v>#NAME?</v>
      </c>
      <c r="N903" s="9">
        <f t="shared" ca="1" si="137"/>
        <v>1</v>
      </c>
      <c r="O903" s="9">
        <f t="shared" ca="1" si="138"/>
        <v>1</v>
      </c>
      <c r="P903" s="9">
        <f t="shared" ca="1" si="139"/>
        <v>1</v>
      </c>
      <c r="Q903" s="9">
        <f t="shared" ca="1" si="140"/>
        <v>1</v>
      </c>
      <c r="R903" s="9">
        <f t="shared" ca="1" si="141"/>
        <v>0</v>
      </c>
    </row>
    <row r="904" spans="2:18" x14ac:dyDescent="0.25">
      <c r="B904" s="17" t="s">
        <v>1067</v>
      </c>
      <c r="C904" s="18" t="s">
        <v>1068</v>
      </c>
      <c r="D904" s="7" t="e">
        <f ca="1">_xll.xlqPrice(C904)</f>
        <v>#NAME?</v>
      </c>
      <c r="E904" s="9" t="e">
        <f t="shared" ca="1" si="132"/>
        <v>#NAME?</v>
      </c>
      <c r="F904" s="9">
        <f t="shared" ca="1" si="133"/>
        <v>1</v>
      </c>
      <c r="G904" s="8">
        <f t="shared" ca="1" si="134"/>
        <v>0</v>
      </c>
      <c r="H904" s="8">
        <f t="shared" ca="1" si="135"/>
        <v>0</v>
      </c>
      <c r="I904" s="8">
        <f t="shared" ca="1" si="136"/>
        <v>0</v>
      </c>
      <c r="J904" s="6" t="e">
        <f ca="1">_xll.xlqxhSMA($C904,$L$4,$J$7,$K$3)</f>
        <v>#NAME?</v>
      </c>
      <c r="K904" s="7" t="e">
        <f ca="1">_xll.xlqhClose($C904,K$8,$K$3)</f>
        <v>#NAME?</v>
      </c>
      <c r="L904" s="7" t="e">
        <f ca="1">_xll.xlqhClose($C904,L$8,$K$3)</f>
        <v>#NAME?</v>
      </c>
      <c r="N904" s="9">
        <f t="shared" ca="1" si="137"/>
        <v>1</v>
      </c>
      <c r="O904" s="9">
        <f t="shared" ca="1" si="138"/>
        <v>1</v>
      </c>
      <c r="P904" s="9">
        <f t="shared" ca="1" si="139"/>
        <v>1</v>
      </c>
      <c r="Q904" s="9">
        <f t="shared" ca="1" si="140"/>
        <v>1</v>
      </c>
      <c r="R904" s="9">
        <f t="shared" ca="1" si="141"/>
        <v>0</v>
      </c>
    </row>
    <row r="905" spans="2:18" x14ac:dyDescent="0.25">
      <c r="B905" s="17" t="s">
        <v>638</v>
      </c>
      <c r="C905" s="18" t="s">
        <v>639</v>
      </c>
      <c r="D905" s="7" t="e">
        <f ca="1">_xll.xlqPrice(C905)</f>
        <v>#NAME?</v>
      </c>
      <c r="E905" s="9" t="e">
        <f t="shared" ca="1" si="132"/>
        <v>#NAME?</v>
      </c>
      <c r="F905" s="9">
        <f t="shared" ca="1" si="133"/>
        <v>1</v>
      </c>
      <c r="G905" s="8">
        <f t="shared" ca="1" si="134"/>
        <v>0</v>
      </c>
      <c r="H905" s="8">
        <f t="shared" ca="1" si="135"/>
        <v>0</v>
      </c>
      <c r="I905" s="8">
        <f t="shared" ca="1" si="136"/>
        <v>0</v>
      </c>
      <c r="J905" s="6" t="e">
        <f ca="1">_xll.xlqxhSMA($C905,$L$4,$J$7,$K$3)</f>
        <v>#NAME?</v>
      </c>
      <c r="K905" s="7" t="e">
        <f ca="1">_xll.xlqhClose($C905,K$8,$K$3)</f>
        <v>#NAME?</v>
      </c>
      <c r="L905" s="7" t="e">
        <f ca="1">_xll.xlqhClose($C905,L$8,$K$3)</f>
        <v>#NAME?</v>
      </c>
      <c r="N905" s="9">
        <f t="shared" ca="1" si="137"/>
        <v>1</v>
      </c>
      <c r="O905" s="9">
        <f t="shared" ca="1" si="138"/>
        <v>1</v>
      </c>
      <c r="P905" s="9">
        <f t="shared" ca="1" si="139"/>
        <v>1</v>
      </c>
      <c r="Q905" s="9">
        <f t="shared" ca="1" si="140"/>
        <v>1</v>
      </c>
      <c r="R905" s="9">
        <f t="shared" ca="1" si="141"/>
        <v>0</v>
      </c>
    </row>
    <row r="906" spans="2:18" x14ac:dyDescent="0.25">
      <c r="B906" s="17" t="s">
        <v>1921</v>
      </c>
      <c r="C906" s="18" t="s">
        <v>1922</v>
      </c>
      <c r="D906" s="7" t="e">
        <f ca="1">_xll.xlqPrice(C906)</f>
        <v>#NAME?</v>
      </c>
      <c r="E906" s="9" t="e">
        <f t="shared" ca="1" si="132"/>
        <v>#NAME?</v>
      </c>
      <c r="F906" s="9">
        <f t="shared" ca="1" si="133"/>
        <v>1</v>
      </c>
      <c r="G906" s="8">
        <f t="shared" ca="1" si="134"/>
        <v>0</v>
      </c>
      <c r="H906" s="8">
        <f t="shared" ca="1" si="135"/>
        <v>0</v>
      </c>
      <c r="I906" s="8">
        <f t="shared" ca="1" si="136"/>
        <v>0</v>
      </c>
      <c r="J906" s="6" t="e">
        <f ca="1">_xll.xlqxhSMA($C906,$L$4,$J$7,$K$3)</f>
        <v>#NAME?</v>
      </c>
      <c r="K906" s="7" t="e">
        <f ca="1">_xll.xlqhClose($C906,K$8,$K$3)</f>
        <v>#NAME?</v>
      </c>
      <c r="L906" s="7" t="e">
        <f ca="1">_xll.xlqhClose($C906,L$8,$K$3)</f>
        <v>#NAME?</v>
      </c>
      <c r="N906" s="9">
        <f t="shared" ca="1" si="137"/>
        <v>1</v>
      </c>
      <c r="O906" s="9">
        <f t="shared" ca="1" si="138"/>
        <v>1</v>
      </c>
      <c r="P906" s="9">
        <f t="shared" ca="1" si="139"/>
        <v>1</v>
      </c>
      <c r="Q906" s="9">
        <f t="shared" ca="1" si="140"/>
        <v>1</v>
      </c>
      <c r="R906" s="9">
        <f t="shared" ca="1" si="141"/>
        <v>0</v>
      </c>
    </row>
    <row r="907" spans="2:18" x14ac:dyDescent="0.25">
      <c r="B907" s="17" t="s">
        <v>928</v>
      </c>
      <c r="C907" s="18" t="s">
        <v>929</v>
      </c>
      <c r="D907" s="7" t="e">
        <f ca="1">_xll.xlqPrice(C907)</f>
        <v>#NAME?</v>
      </c>
      <c r="E907" s="9" t="e">
        <f t="shared" ref="E907:E970" ca="1" si="142">IF(D907&gt;J907, "Buy","Cash")</f>
        <v>#NAME?</v>
      </c>
      <c r="F907" s="9">
        <f t="shared" ref="F907:F970" ca="1" si="143">RANK(I907,$I$11:$I$1138,0)</f>
        <v>1</v>
      </c>
      <c r="G907" s="8">
        <f t="shared" ref="G907:G970" ca="1" si="144">IFERROR(($D907-K907)/K907,0)</f>
        <v>0</v>
      </c>
      <c r="H907" s="8">
        <f t="shared" ref="H907:H970" ca="1" si="145">IFERROR(($D907-L907)/L907,0)</f>
        <v>0</v>
      </c>
      <c r="I907" s="8">
        <f t="shared" ref="I907:I970" ca="1" si="146">IFERROR((G907*$G$8)+(H907*$H$8),0)</f>
        <v>0</v>
      </c>
      <c r="J907" s="6" t="e">
        <f ca="1">_xll.xlqxhSMA($C907,$L$4,$J$7,$K$3)</f>
        <v>#NAME?</v>
      </c>
      <c r="K907" s="7" t="e">
        <f ca="1">_xll.xlqhClose($C907,K$8,$K$3)</f>
        <v>#NAME?</v>
      </c>
      <c r="L907" s="7" t="e">
        <f ca="1">_xll.xlqhClose($C907,L$8,$K$3)</f>
        <v>#NAME?</v>
      </c>
      <c r="N907" s="9">
        <f t="shared" ref="N907:N970" ca="1" si="147">RANK($G907,G$11:G$1138,0)</f>
        <v>1</v>
      </c>
      <c r="O907" s="9">
        <f t="shared" ref="O907:O970" ca="1" si="148">RANK($H907,H$11:H$1138,0)</f>
        <v>1</v>
      </c>
      <c r="P907" s="9">
        <f t="shared" ref="P907:P970" ca="1" si="149">RANK($I907,I$11:I$1138,0)</f>
        <v>1</v>
      </c>
      <c r="Q907" s="9">
        <f t="shared" ref="Q907:Q970" ca="1" si="150">RANK($P907,P$11:P$1138,1)</f>
        <v>1</v>
      </c>
      <c r="R907" s="9">
        <f t="shared" ref="R907:R970" ca="1" si="151">F907-Q907</f>
        <v>0</v>
      </c>
    </row>
    <row r="908" spans="2:18" x14ac:dyDescent="0.25">
      <c r="B908" s="17" t="s">
        <v>957</v>
      </c>
      <c r="C908" s="18" t="s">
        <v>958</v>
      </c>
      <c r="D908" s="7" t="e">
        <f ca="1">_xll.xlqPrice(C908)</f>
        <v>#NAME?</v>
      </c>
      <c r="E908" s="9" t="e">
        <f t="shared" ca="1" si="142"/>
        <v>#NAME?</v>
      </c>
      <c r="F908" s="9">
        <f t="shared" ca="1" si="143"/>
        <v>1</v>
      </c>
      <c r="G908" s="8">
        <f t="shared" ca="1" si="144"/>
        <v>0</v>
      </c>
      <c r="H908" s="8">
        <f t="shared" ca="1" si="145"/>
        <v>0</v>
      </c>
      <c r="I908" s="8">
        <f t="shared" ca="1" si="146"/>
        <v>0</v>
      </c>
      <c r="J908" s="6" t="e">
        <f ca="1">_xll.xlqxhSMA($C908,$L$4,$J$7,$K$3)</f>
        <v>#NAME?</v>
      </c>
      <c r="K908" s="7" t="e">
        <f ca="1">_xll.xlqhClose($C908,K$8,$K$3)</f>
        <v>#NAME?</v>
      </c>
      <c r="L908" s="7" t="e">
        <f ca="1">_xll.xlqhClose($C908,L$8,$K$3)</f>
        <v>#NAME?</v>
      </c>
      <c r="N908" s="9">
        <f t="shared" ca="1" si="147"/>
        <v>1</v>
      </c>
      <c r="O908" s="9">
        <f t="shared" ca="1" si="148"/>
        <v>1</v>
      </c>
      <c r="P908" s="9">
        <f t="shared" ca="1" si="149"/>
        <v>1</v>
      </c>
      <c r="Q908" s="9">
        <f t="shared" ca="1" si="150"/>
        <v>1</v>
      </c>
      <c r="R908" s="9">
        <f t="shared" ca="1" si="151"/>
        <v>0</v>
      </c>
    </row>
    <row r="909" spans="2:18" x14ac:dyDescent="0.25">
      <c r="B909" s="17" t="s">
        <v>558</v>
      </c>
      <c r="C909" s="18" t="s">
        <v>559</v>
      </c>
      <c r="D909" s="7" t="e">
        <f ca="1">_xll.xlqPrice(C909)</f>
        <v>#NAME?</v>
      </c>
      <c r="E909" s="9" t="e">
        <f t="shared" ca="1" si="142"/>
        <v>#NAME?</v>
      </c>
      <c r="F909" s="9">
        <f t="shared" ca="1" si="143"/>
        <v>1</v>
      </c>
      <c r="G909" s="8">
        <f t="shared" ca="1" si="144"/>
        <v>0</v>
      </c>
      <c r="H909" s="8">
        <f t="shared" ca="1" si="145"/>
        <v>0</v>
      </c>
      <c r="I909" s="8">
        <f t="shared" ca="1" si="146"/>
        <v>0</v>
      </c>
      <c r="J909" s="6" t="e">
        <f ca="1">_xll.xlqxhSMA($C909,$L$4,$J$7,$K$3)</f>
        <v>#NAME?</v>
      </c>
      <c r="K909" s="7" t="e">
        <f ca="1">_xll.xlqhClose($C909,K$8,$K$3)</f>
        <v>#NAME?</v>
      </c>
      <c r="L909" s="7" t="e">
        <f ca="1">_xll.xlqhClose($C909,L$8,$K$3)</f>
        <v>#NAME?</v>
      </c>
      <c r="N909" s="9">
        <f t="shared" ca="1" si="147"/>
        <v>1</v>
      </c>
      <c r="O909" s="9">
        <f t="shared" ca="1" si="148"/>
        <v>1</v>
      </c>
      <c r="P909" s="9">
        <f t="shared" ca="1" si="149"/>
        <v>1</v>
      </c>
      <c r="Q909" s="9">
        <f t="shared" ca="1" si="150"/>
        <v>1</v>
      </c>
      <c r="R909" s="9">
        <f t="shared" ca="1" si="151"/>
        <v>0</v>
      </c>
    </row>
    <row r="910" spans="2:18" x14ac:dyDescent="0.25">
      <c r="B910" s="17" t="s">
        <v>1821</v>
      </c>
      <c r="C910" s="18" t="s">
        <v>1822</v>
      </c>
      <c r="D910" s="7" t="e">
        <f ca="1">_xll.xlqPrice(C910)</f>
        <v>#NAME?</v>
      </c>
      <c r="E910" s="9" t="e">
        <f t="shared" ca="1" si="142"/>
        <v>#NAME?</v>
      </c>
      <c r="F910" s="9">
        <f t="shared" ca="1" si="143"/>
        <v>1</v>
      </c>
      <c r="G910" s="8">
        <f t="shared" ca="1" si="144"/>
        <v>0</v>
      </c>
      <c r="H910" s="8">
        <f t="shared" ca="1" si="145"/>
        <v>0</v>
      </c>
      <c r="I910" s="8">
        <f t="shared" ca="1" si="146"/>
        <v>0</v>
      </c>
      <c r="J910" s="6" t="e">
        <f ca="1">_xll.xlqxhSMA($C910,$L$4,$J$7,$K$3)</f>
        <v>#NAME?</v>
      </c>
      <c r="K910" s="7" t="e">
        <f ca="1">_xll.xlqhClose($C910,K$8,$K$3)</f>
        <v>#NAME?</v>
      </c>
      <c r="L910" s="7" t="e">
        <f ca="1">_xll.xlqhClose($C910,L$8,$K$3)</f>
        <v>#NAME?</v>
      </c>
      <c r="N910" s="9">
        <f t="shared" ca="1" si="147"/>
        <v>1</v>
      </c>
      <c r="O910" s="9">
        <f t="shared" ca="1" si="148"/>
        <v>1</v>
      </c>
      <c r="P910" s="9">
        <f t="shared" ca="1" si="149"/>
        <v>1</v>
      </c>
      <c r="Q910" s="9">
        <f t="shared" ca="1" si="150"/>
        <v>1</v>
      </c>
      <c r="R910" s="9">
        <f t="shared" ca="1" si="151"/>
        <v>0</v>
      </c>
    </row>
    <row r="911" spans="2:18" x14ac:dyDescent="0.25">
      <c r="B911" s="17" t="s">
        <v>1803</v>
      </c>
      <c r="C911" s="18" t="s">
        <v>1804</v>
      </c>
      <c r="D911" s="7" t="e">
        <f ca="1">_xll.xlqPrice(C911)</f>
        <v>#NAME?</v>
      </c>
      <c r="E911" s="9" t="e">
        <f t="shared" ca="1" si="142"/>
        <v>#NAME?</v>
      </c>
      <c r="F911" s="9">
        <f t="shared" ca="1" si="143"/>
        <v>1</v>
      </c>
      <c r="G911" s="8">
        <f t="shared" ca="1" si="144"/>
        <v>0</v>
      </c>
      <c r="H911" s="8">
        <f t="shared" ca="1" si="145"/>
        <v>0</v>
      </c>
      <c r="I911" s="8">
        <f t="shared" ca="1" si="146"/>
        <v>0</v>
      </c>
      <c r="J911" s="6" t="e">
        <f ca="1">_xll.xlqxhSMA($C911,$L$4,$J$7,$K$3)</f>
        <v>#NAME?</v>
      </c>
      <c r="K911" s="7" t="e">
        <f ca="1">_xll.xlqhClose($C911,K$8,$K$3)</f>
        <v>#NAME?</v>
      </c>
      <c r="L911" s="7" t="e">
        <f ca="1">_xll.xlqhClose($C911,L$8,$K$3)</f>
        <v>#NAME?</v>
      </c>
      <c r="N911" s="9">
        <f t="shared" ca="1" si="147"/>
        <v>1</v>
      </c>
      <c r="O911" s="9">
        <f t="shared" ca="1" si="148"/>
        <v>1</v>
      </c>
      <c r="P911" s="9">
        <f t="shared" ca="1" si="149"/>
        <v>1</v>
      </c>
      <c r="Q911" s="9">
        <f t="shared" ca="1" si="150"/>
        <v>1</v>
      </c>
      <c r="R911" s="9">
        <f t="shared" ca="1" si="151"/>
        <v>0</v>
      </c>
    </row>
    <row r="912" spans="2:18" x14ac:dyDescent="0.25">
      <c r="B912" s="17" t="s">
        <v>1747</v>
      </c>
      <c r="C912" s="18" t="s">
        <v>1748</v>
      </c>
      <c r="D912" s="7" t="e">
        <f ca="1">_xll.xlqPrice(C912)</f>
        <v>#NAME?</v>
      </c>
      <c r="E912" s="9" t="e">
        <f t="shared" ca="1" si="142"/>
        <v>#NAME?</v>
      </c>
      <c r="F912" s="9">
        <f t="shared" ca="1" si="143"/>
        <v>1</v>
      </c>
      <c r="G912" s="8">
        <f t="shared" ca="1" si="144"/>
        <v>0</v>
      </c>
      <c r="H912" s="8">
        <f t="shared" ca="1" si="145"/>
        <v>0</v>
      </c>
      <c r="I912" s="8">
        <f t="shared" ca="1" si="146"/>
        <v>0</v>
      </c>
      <c r="J912" s="6" t="e">
        <f ca="1">_xll.xlqxhSMA($C912,$L$4,$J$7,$K$3)</f>
        <v>#NAME?</v>
      </c>
      <c r="K912" s="7" t="e">
        <f ca="1">_xll.xlqhClose($C912,K$8,$K$3)</f>
        <v>#NAME?</v>
      </c>
      <c r="L912" s="7" t="e">
        <f ca="1">_xll.xlqhClose($C912,L$8,$K$3)</f>
        <v>#NAME?</v>
      </c>
      <c r="N912" s="9">
        <f t="shared" ca="1" si="147"/>
        <v>1</v>
      </c>
      <c r="O912" s="9">
        <f t="shared" ca="1" si="148"/>
        <v>1</v>
      </c>
      <c r="P912" s="9">
        <f t="shared" ca="1" si="149"/>
        <v>1</v>
      </c>
      <c r="Q912" s="9">
        <f t="shared" ca="1" si="150"/>
        <v>1</v>
      </c>
      <c r="R912" s="9">
        <f t="shared" ca="1" si="151"/>
        <v>0</v>
      </c>
    </row>
    <row r="913" spans="2:18" x14ac:dyDescent="0.25">
      <c r="B913" t="s">
        <v>1743</v>
      </c>
      <c r="C913" s="39" t="s">
        <v>1744</v>
      </c>
      <c r="D913" s="7" t="e">
        <f ca="1">_xll.xlqPrice(C913)</f>
        <v>#NAME?</v>
      </c>
      <c r="E913" s="9" t="e">
        <f t="shared" ca="1" si="142"/>
        <v>#NAME?</v>
      </c>
      <c r="F913" s="9">
        <f t="shared" ca="1" si="143"/>
        <v>1</v>
      </c>
      <c r="G913" s="8">
        <f t="shared" ca="1" si="144"/>
        <v>0</v>
      </c>
      <c r="H913" s="8">
        <f t="shared" ca="1" si="145"/>
        <v>0</v>
      </c>
      <c r="I913" s="8">
        <f t="shared" ca="1" si="146"/>
        <v>0</v>
      </c>
      <c r="J913" s="6" t="e">
        <f ca="1">_xll.xlqxhSMA($C913,$L$4,$J$7,$K$3)</f>
        <v>#NAME?</v>
      </c>
      <c r="K913" s="7" t="e">
        <f ca="1">_xll.xlqhClose($C913,K$8,$K$3)</f>
        <v>#NAME?</v>
      </c>
      <c r="L913" s="7" t="e">
        <f ca="1">_xll.xlqhClose($C913,L$8,$K$3)</f>
        <v>#NAME?</v>
      </c>
      <c r="N913" s="9">
        <f t="shared" ca="1" si="147"/>
        <v>1</v>
      </c>
      <c r="O913" s="9">
        <f t="shared" ca="1" si="148"/>
        <v>1</v>
      </c>
      <c r="P913" s="9">
        <f t="shared" ca="1" si="149"/>
        <v>1</v>
      </c>
      <c r="Q913" s="9">
        <f t="shared" ca="1" si="150"/>
        <v>1</v>
      </c>
      <c r="R913" s="9">
        <f t="shared" ca="1" si="151"/>
        <v>0</v>
      </c>
    </row>
    <row r="914" spans="2:18" x14ac:dyDescent="0.25">
      <c r="B914" s="17" t="s">
        <v>1741</v>
      </c>
      <c r="C914" s="18" t="s">
        <v>1742</v>
      </c>
      <c r="D914" s="7" t="e">
        <f ca="1">_xll.xlqPrice(C914)</f>
        <v>#NAME?</v>
      </c>
      <c r="E914" s="9" t="e">
        <f t="shared" ca="1" si="142"/>
        <v>#NAME?</v>
      </c>
      <c r="F914" s="9">
        <f t="shared" ca="1" si="143"/>
        <v>1</v>
      </c>
      <c r="G914" s="8">
        <f t="shared" ca="1" si="144"/>
        <v>0</v>
      </c>
      <c r="H914" s="8">
        <f t="shared" ca="1" si="145"/>
        <v>0</v>
      </c>
      <c r="I914" s="8">
        <f t="shared" ca="1" si="146"/>
        <v>0</v>
      </c>
      <c r="J914" s="6" t="e">
        <f ca="1">_xll.xlqxhSMA($C914,$L$4,$J$7,$K$3)</f>
        <v>#NAME?</v>
      </c>
      <c r="K914" s="7" t="e">
        <f ca="1">_xll.xlqhClose($C914,K$8,$K$3)</f>
        <v>#NAME?</v>
      </c>
      <c r="L914" s="7" t="e">
        <f ca="1">_xll.xlqhClose($C914,L$8,$K$3)</f>
        <v>#NAME?</v>
      </c>
      <c r="N914" s="9">
        <f t="shared" ca="1" si="147"/>
        <v>1</v>
      </c>
      <c r="O914" s="9">
        <f t="shared" ca="1" si="148"/>
        <v>1</v>
      </c>
      <c r="P914" s="9">
        <f t="shared" ca="1" si="149"/>
        <v>1</v>
      </c>
      <c r="Q914" s="9">
        <f t="shared" ca="1" si="150"/>
        <v>1</v>
      </c>
      <c r="R914" s="9">
        <f t="shared" ca="1" si="151"/>
        <v>0</v>
      </c>
    </row>
    <row r="915" spans="2:18" x14ac:dyDescent="0.25">
      <c r="B915" s="17" t="s">
        <v>1723</v>
      </c>
      <c r="C915" s="18" t="s">
        <v>1724</v>
      </c>
      <c r="D915" s="7" t="e">
        <f ca="1">_xll.xlqPrice(C915)</f>
        <v>#NAME?</v>
      </c>
      <c r="E915" s="9" t="e">
        <f t="shared" ca="1" si="142"/>
        <v>#NAME?</v>
      </c>
      <c r="F915" s="9">
        <f t="shared" ca="1" si="143"/>
        <v>1</v>
      </c>
      <c r="G915" s="8">
        <f t="shared" ca="1" si="144"/>
        <v>0</v>
      </c>
      <c r="H915" s="8">
        <f t="shared" ca="1" si="145"/>
        <v>0</v>
      </c>
      <c r="I915" s="8">
        <f t="shared" ca="1" si="146"/>
        <v>0</v>
      </c>
      <c r="J915" s="6" t="e">
        <f ca="1">_xll.xlqxhSMA($C915,$L$4,$J$7,$K$3)</f>
        <v>#NAME?</v>
      </c>
      <c r="K915" s="7" t="e">
        <f ca="1">_xll.xlqhClose($C915,K$8,$K$3)</f>
        <v>#NAME?</v>
      </c>
      <c r="L915" s="7" t="e">
        <f ca="1">_xll.xlqhClose($C915,L$8,$K$3)</f>
        <v>#NAME?</v>
      </c>
      <c r="N915" s="9">
        <f t="shared" ca="1" si="147"/>
        <v>1</v>
      </c>
      <c r="O915" s="9">
        <f t="shared" ca="1" si="148"/>
        <v>1</v>
      </c>
      <c r="P915" s="9">
        <f t="shared" ca="1" si="149"/>
        <v>1</v>
      </c>
      <c r="Q915" s="9">
        <f t="shared" ca="1" si="150"/>
        <v>1</v>
      </c>
      <c r="R915" s="9">
        <f t="shared" ca="1" si="151"/>
        <v>0</v>
      </c>
    </row>
    <row r="916" spans="2:18" x14ac:dyDescent="0.25">
      <c r="B916" s="17" t="s">
        <v>1695</v>
      </c>
      <c r="C916" s="18" t="s">
        <v>1696</v>
      </c>
      <c r="D916" s="7" t="e">
        <f ca="1">_xll.xlqPrice(C916)</f>
        <v>#NAME?</v>
      </c>
      <c r="E916" s="9" t="e">
        <f t="shared" ca="1" si="142"/>
        <v>#NAME?</v>
      </c>
      <c r="F916" s="9">
        <f t="shared" ca="1" si="143"/>
        <v>1</v>
      </c>
      <c r="G916" s="8">
        <f t="shared" ca="1" si="144"/>
        <v>0</v>
      </c>
      <c r="H916" s="8">
        <f t="shared" ca="1" si="145"/>
        <v>0</v>
      </c>
      <c r="I916" s="8">
        <f t="shared" ca="1" si="146"/>
        <v>0</v>
      </c>
      <c r="J916" s="6" t="e">
        <f ca="1">_xll.xlqxhSMA($C916,$L$4,$J$7,$K$3)</f>
        <v>#NAME?</v>
      </c>
      <c r="K916" s="7" t="e">
        <f ca="1">_xll.xlqhClose($C916,K$8,$K$3)</f>
        <v>#NAME?</v>
      </c>
      <c r="L916" s="7" t="e">
        <f ca="1">_xll.xlqhClose($C916,L$8,$K$3)</f>
        <v>#NAME?</v>
      </c>
      <c r="N916" s="9">
        <f t="shared" ca="1" si="147"/>
        <v>1</v>
      </c>
      <c r="O916" s="9">
        <f t="shared" ca="1" si="148"/>
        <v>1</v>
      </c>
      <c r="P916" s="9">
        <f t="shared" ca="1" si="149"/>
        <v>1</v>
      </c>
      <c r="Q916" s="9">
        <f t="shared" ca="1" si="150"/>
        <v>1</v>
      </c>
      <c r="R916" s="9">
        <f t="shared" ca="1" si="151"/>
        <v>0</v>
      </c>
    </row>
    <row r="917" spans="2:18" x14ac:dyDescent="0.25">
      <c r="B917" s="17" t="s">
        <v>1683</v>
      </c>
      <c r="C917" s="18" t="s">
        <v>1684</v>
      </c>
      <c r="D917" s="7" t="e">
        <f ca="1">_xll.xlqPrice(C917)</f>
        <v>#NAME?</v>
      </c>
      <c r="E917" s="9" t="e">
        <f t="shared" ca="1" si="142"/>
        <v>#NAME?</v>
      </c>
      <c r="F917" s="9">
        <f t="shared" ca="1" si="143"/>
        <v>1</v>
      </c>
      <c r="G917" s="8">
        <f t="shared" ca="1" si="144"/>
        <v>0</v>
      </c>
      <c r="H917" s="8">
        <f t="shared" ca="1" si="145"/>
        <v>0</v>
      </c>
      <c r="I917" s="8">
        <f t="shared" ca="1" si="146"/>
        <v>0</v>
      </c>
      <c r="J917" s="6" t="e">
        <f ca="1">_xll.xlqxhSMA($C917,$L$4,$J$7,$K$3)</f>
        <v>#NAME?</v>
      </c>
      <c r="K917" s="7" t="e">
        <f ca="1">_xll.xlqhClose($C917,K$8,$K$3)</f>
        <v>#NAME?</v>
      </c>
      <c r="L917" s="7" t="e">
        <f ca="1">_xll.xlqhClose($C917,L$8,$K$3)</f>
        <v>#NAME?</v>
      </c>
      <c r="N917" s="9">
        <f t="shared" ca="1" si="147"/>
        <v>1</v>
      </c>
      <c r="O917" s="9">
        <f t="shared" ca="1" si="148"/>
        <v>1</v>
      </c>
      <c r="P917" s="9">
        <f t="shared" ca="1" si="149"/>
        <v>1</v>
      </c>
      <c r="Q917" s="9">
        <f t="shared" ca="1" si="150"/>
        <v>1</v>
      </c>
      <c r="R917" s="9">
        <f t="shared" ca="1" si="151"/>
        <v>0</v>
      </c>
    </row>
    <row r="918" spans="2:18" x14ac:dyDescent="0.25">
      <c r="B918" s="17" t="s">
        <v>1041</v>
      </c>
      <c r="C918" s="18" t="s">
        <v>1042</v>
      </c>
      <c r="D918" s="7" t="e">
        <f ca="1">_xll.xlqPrice(C918)</f>
        <v>#NAME?</v>
      </c>
      <c r="E918" s="9" t="e">
        <f t="shared" ca="1" si="142"/>
        <v>#NAME?</v>
      </c>
      <c r="F918" s="9">
        <f t="shared" ca="1" si="143"/>
        <v>1</v>
      </c>
      <c r="G918" s="8">
        <f t="shared" ca="1" si="144"/>
        <v>0</v>
      </c>
      <c r="H918" s="8">
        <f t="shared" ca="1" si="145"/>
        <v>0</v>
      </c>
      <c r="I918" s="8">
        <f t="shared" ca="1" si="146"/>
        <v>0</v>
      </c>
      <c r="J918" s="6" t="e">
        <f ca="1">_xll.xlqxhSMA($C918,$L$4,$J$7,$K$3)</f>
        <v>#NAME?</v>
      </c>
      <c r="K918" s="7" t="e">
        <f ca="1">_xll.xlqhClose($C918,K$8,$K$3)</f>
        <v>#NAME?</v>
      </c>
      <c r="L918" s="7" t="e">
        <f ca="1">_xll.xlqhClose($C918,L$8,$K$3)</f>
        <v>#NAME?</v>
      </c>
      <c r="N918" s="9">
        <f t="shared" ca="1" si="147"/>
        <v>1</v>
      </c>
      <c r="O918" s="9">
        <f t="shared" ca="1" si="148"/>
        <v>1</v>
      </c>
      <c r="P918" s="9">
        <f t="shared" ca="1" si="149"/>
        <v>1</v>
      </c>
      <c r="Q918" s="9">
        <f t="shared" ca="1" si="150"/>
        <v>1</v>
      </c>
      <c r="R918" s="9">
        <f t="shared" ca="1" si="151"/>
        <v>0</v>
      </c>
    </row>
    <row r="919" spans="2:18" x14ac:dyDescent="0.25">
      <c r="B919" s="17" t="s">
        <v>806</v>
      </c>
      <c r="C919" s="18" t="s">
        <v>807</v>
      </c>
      <c r="D919" s="7" t="e">
        <f ca="1">_xll.xlqPrice(C919)</f>
        <v>#NAME?</v>
      </c>
      <c r="E919" s="9" t="e">
        <f t="shared" ca="1" si="142"/>
        <v>#NAME?</v>
      </c>
      <c r="F919" s="9">
        <f t="shared" ca="1" si="143"/>
        <v>1</v>
      </c>
      <c r="G919" s="8">
        <f t="shared" ca="1" si="144"/>
        <v>0</v>
      </c>
      <c r="H919" s="8">
        <f t="shared" ca="1" si="145"/>
        <v>0</v>
      </c>
      <c r="I919" s="8">
        <f t="shared" ca="1" si="146"/>
        <v>0</v>
      </c>
      <c r="J919" s="6" t="e">
        <f ca="1">_xll.xlqxhSMA($C919,$L$4,$J$7,$K$3)</f>
        <v>#NAME?</v>
      </c>
      <c r="K919" s="7" t="e">
        <f ca="1">_xll.xlqhClose($C919,K$8,$K$3)</f>
        <v>#NAME?</v>
      </c>
      <c r="L919" s="7" t="e">
        <f ca="1">_xll.xlqhClose($C919,L$8,$K$3)</f>
        <v>#NAME?</v>
      </c>
      <c r="N919" s="9">
        <f t="shared" ca="1" si="147"/>
        <v>1</v>
      </c>
      <c r="O919" s="9">
        <f t="shared" ca="1" si="148"/>
        <v>1</v>
      </c>
      <c r="P919" s="9">
        <f t="shared" ca="1" si="149"/>
        <v>1</v>
      </c>
      <c r="Q919" s="9">
        <f t="shared" ca="1" si="150"/>
        <v>1</v>
      </c>
      <c r="R919" s="9">
        <f t="shared" ca="1" si="151"/>
        <v>0</v>
      </c>
    </row>
    <row r="920" spans="2:18" x14ac:dyDescent="0.25">
      <c r="B920" s="17" t="s">
        <v>646</v>
      </c>
      <c r="C920" s="18" t="s">
        <v>647</v>
      </c>
      <c r="D920" s="7" t="e">
        <f ca="1">_xll.xlqPrice(C920)</f>
        <v>#NAME?</v>
      </c>
      <c r="E920" s="9" t="e">
        <f t="shared" ca="1" si="142"/>
        <v>#NAME?</v>
      </c>
      <c r="F920" s="9">
        <f t="shared" ca="1" si="143"/>
        <v>1</v>
      </c>
      <c r="G920" s="8">
        <f t="shared" ca="1" si="144"/>
        <v>0</v>
      </c>
      <c r="H920" s="8">
        <f t="shared" ca="1" si="145"/>
        <v>0</v>
      </c>
      <c r="I920" s="8">
        <f t="shared" ca="1" si="146"/>
        <v>0</v>
      </c>
      <c r="J920" s="6" t="e">
        <f ca="1">_xll.xlqxhSMA($C920,$L$4,$J$7,$K$3)</f>
        <v>#NAME?</v>
      </c>
      <c r="K920" s="7" t="e">
        <f ca="1">_xll.xlqhClose($C920,K$8,$K$3)</f>
        <v>#NAME?</v>
      </c>
      <c r="L920" s="7" t="e">
        <f ca="1">_xll.xlqhClose($C920,L$8,$K$3)</f>
        <v>#NAME?</v>
      </c>
      <c r="N920" s="9">
        <f t="shared" ca="1" si="147"/>
        <v>1</v>
      </c>
      <c r="O920" s="9">
        <f t="shared" ca="1" si="148"/>
        <v>1</v>
      </c>
      <c r="P920" s="9">
        <f t="shared" ca="1" si="149"/>
        <v>1</v>
      </c>
      <c r="Q920" s="9">
        <f t="shared" ca="1" si="150"/>
        <v>1</v>
      </c>
      <c r="R920" s="9">
        <f t="shared" ca="1" si="151"/>
        <v>0</v>
      </c>
    </row>
    <row r="921" spans="2:18" x14ac:dyDescent="0.25">
      <c r="B921" s="17" t="s">
        <v>520</v>
      </c>
      <c r="C921" s="18" t="s">
        <v>521</v>
      </c>
      <c r="D921" s="7" t="e">
        <f ca="1">_xll.xlqPrice(C921)</f>
        <v>#NAME?</v>
      </c>
      <c r="E921" s="9" t="e">
        <f t="shared" ca="1" si="142"/>
        <v>#NAME?</v>
      </c>
      <c r="F921" s="9">
        <f t="shared" ca="1" si="143"/>
        <v>1</v>
      </c>
      <c r="G921" s="8">
        <f t="shared" ca="1" si="144"/>
        <v>0</v>
      </c>
      <c r="H921" s="8">
        <f t="shared" ca="1" si="145"/>
        <v>0</v>
      </c>
      <c r="I921" s="8">
        <f t="shared" ca="1" si="146"/>
        <v>0</v>
      </c>
      <c r="J921" s="6" t="e">
        <f ca="1">_xll.xlqxhSMA($C921,$L$4,$J$7,$K$3)</f>
        <v>#NAME?</v>
      </c>
      <c r="K921" s="7" t="e">
        <f ca="1">_xll.xlqhClose($C921,K$8,$K$3)</f>
        <v>#NAME?</v>
      </c>
      <c r="L921" s="7" t="e">
        <f ca="1">_xll.xlqhClose($C921,L$8,$K$3)</f>
        <v>#NAME?</v>
      </c>
      <c r="N921" s="9">
        <f t="shared" ca="1" si="147"/>
        <v>1</v>
      </c>
      <c r="O921" s="9">
        <f t="shared" ca="1" si="148"/>
        <v>1</v>
      </c>
      <c r="P921" s="9">
        <f t="shared" ca="1" si="149"/>
        <v>1</v>
      </c>
      <c r="Q921" s="9">
        <f t="shared" ca="1" si="150"/>
        <v>1</v>
      </c>
      <c r="R921" s="9">
        <f t="shared" ca="1" si="151"/>
        <v>0</v>
      </c>
    </row>
    <row r="922" spans="2:18" x14ac:dyDescent="0.25">
      <c r="B922" s="17" t="s">
        <v>2315</v>
      </c>
      <c r="C922" s="18" t="s">
        <v>2316</v>
      </c>
      <c r="D922" s="7" t="e">
        <f ca="1">_xll.xlqPrice(C922)</f>
        <v>#NAME?</v>
      </c>
      <c r="E922" s="9" t="e">
        <f t="shared" ca="1" si="142"/>
        <v>#NAME?</v>
      </c>
      <c r="F922" s="9">
        <f t="shared" ca="1" si="143"/>
        <v>1</v>
      </c>
      <c r="G922" s="8">
        <f t="shared" ca="1" si="144"/>
        <v>0</v>
      </c>
      <c r="H922" s="8">
        <f t="shared" ca="1" si="145"/>
        <v>0</v>
      </c>
      <c r="I922" s="8">
        <f t="shared" ca="1" si="146"/>
        <v>0</v>
      </c>
      <c r="J922" s="6" t="e">
        <f ca="1">_xll.xlqxhSMA($C922,$L$4,$J$7,$K$3)</f>
        <v>#NAME?</v>
      </c>
      <c r="K922" s="7" t="e">
        <f ca="1">_xll.xlqhClose($C922,K$8,$K$3)</f>
        <v>#NAME?</v>
      </c>
      <c r="L922" s="7" t="e">
        <f ca="1">_xll.xlqhClose($C922,L$8,$K$3)</f>
        <v>#NAME?</v>
      </c>
      <c r="N922" s="9">
        <f t="shared" ca="1" si="147"/>
        <v>1</v>
      </c>
      <c r="O922" s="9">
        <f t="shared" ca="1" si="148"/>
        <v>1</v>
      </c>
      <c r="P922" s="9">
        <f t="shared" ca="1" si="149"/>
        <v>1</v>
      </c>
      <c r="Q922" s="9">
        <f t="shared" ca="1" si="150"/>
        <v>1</v>
      </c>
      <c r="R922" s="9">
        <f t="shared" ca="1" si="151"/>
        <v>0</v>
      </c>
    </row>
    <row r="923" spans="2:18" x14ac:dyDescent="0.25">
      <c r="B923" s="17" t="s">
        <v>2299</v>
      </c>
      <c r="C923" s="18" t="s">
        <v>2300</v>
      </c>
      <c r="D923" s="7" t="e">
        <f ca="1">_xll.xlqPrice(C923)</f>
        <v>#NAME?</v>
      </c>
      <c r="E923" s="9" t="e">
        <f t="shared" ca="1" si="142"/>
        <v>#NAME?</v>
      </c>
      <c r="F923" s="9">
        <f t="shared" ca="1" si="143"/>
        <v>1</v>
      </c>
      <c r="G923" s="8">
        <f t="shared" ca="1" si="144"/>
        <v>0</v>
      </c>
      <c r="H923" s="8">
        <f t="shared" ca="1" si="145"/>
        <v>0</v>
      </c>
      <c r="I923" s="8">
        <f t="shared" ca="1" si="146"/>
        <v>0</v>
      </c>
      <c r="J923" s="6" t="e">
        <f ca="1">_xll.xlqxhSMA($C923,$L$4,$J$7,$K$3)</f>
        <v>#NAME?</v>
      </c>
      <c r="K923" s="7" t="e">
        <f ca="1">_xll.xlqhClose($C923,K$8,$K$3)</f>
        <v>#NAME?</v>
      </c>
      <c r="L923" s="7" t="e">
        <f ca="1">_xll.xlqhClose($C923,L$8,$K$3)</f>
        <v>#NAME?</v>
      </c>
      <c r="N923" s="9">
        <f t="shared" ca="1" si="147"/>
        <v>1</v>
      </c>
      <c r="O923" s="9">
        <f t="shared" ca="1" si="148"/>
        <v>1</v>
      </c>
      <c r="P923" s="9">
        <f t="shared" ca="1" si="149"/>
        <v>1</v>
      </c>
      <c r="Q923" s="9">
        <f t="shared" ca="1" si="150"/>
        <v>1</v>
      </c>
      <c r="R923" s="9">
        <f t="shared" ca="1" si="151"/>
        <v>0</v>
      </c>
    </row>
    <row r="924" spans="2:18" x14ac:dyDescent="0.25">
      <c r="B924" s="17" t="s">
        <v>1023</v>
      </c>
      <c r="C924" s="18" t="s">
        <v>1024</v>
      </c>
      <c r="D924" s="7" t="e">
        <f ca="1">_xll.xlqPrice(C924)</f>
        <v>#NAME?</v>
      </c>
      <c r="E924" s="9" t="e">
        <f t="shared" ca="1" si="142"/>
        <v>#NAME?</v>
      </c>
      <c r="F924" s="9">
        <f t="shared" ca="1" si="143"/>
        <v>1</v>
      </c>
      <c r="G924" s="8">
        <f t="shared" ca="1" si="144"/>
        <v>0</v>
      </c>
      <c r="H924" s="8">
        <f t="shared" ca="1" si="145"/>
        <v>0</v>
      </c>
      <c r="I924" s="8">
        <f t="shared" ca="1" si="146"/>
        <v>0</v>
      </c>
      <c r="J924" s="6" t="e">
        <f ca="1">_xll.xlqxhSMA($C924,$L$4,$J$7,$K$3)</f>
        <v>#NAME?</v>
      </c>
      <c r="K924" s="7" t="e">
        <f ca="1">_xll.xlqhClose($C924,K$8,$K$3)</f>
        <v>#NAME?</v>
      </c>
      <c r="L924" s="7" t="e">
        <f ca="1">_xll.xlqhClose($C924,L$8,$K$3)</f>
        <v>#NAME?</v>
      </c>
      <c r="N924" s="9">
        <f t="shared" ca="1" si="147"/>
        <v>1</v>
      </c>
      <c r="O924" s="9">
        <f t="shared" ca="1" si="148"/>
        <v>1</v>
      </c>
      <c r="P924" s="9">
        <f t="shared" ca="1" si="149"/>
        <v>1</v>
      </c>
      <c r="Q924" s="9">
        <f t="shared" ca="1" si="150"/>
        <v>1</v>
      </c>
      <c r="R924" s="9">
        <f t="shared" ca="1" si="151"/>
        <v>0</v>
      </c>
    </row>
    <row r="925" spans="2:18" x14ac:dyDescent="0.25">
      <c r="B925" s="17" t="s">
        <v>1013</v>
      </c>
      <c r="C925" s="18" t="s">
        <v>1014</v>
      </c>
      <c r="D925" s="7" t="e">
        <f ca="1">_xll.xlqPrice(C925)</f>
        <v>#NAME?</v>
      </c>
      <c r="E925" s="9" t="e">
        <f t="shared" ca="1" si="142"/>
        <v>#NAME?</v>
      </c>
      <c r="F925" s="9">
        <f t="shared" ca="1" si="143"/>
        <v>1</v>
      </c>
      <c r="G925" s="8">
        <f t="shared" ca="1" si="144"/>
        <v>0</v>
      </c>
      <c r="H925" s="8">
        <f t="shared" ca="1" si="145"/>
        <v>0</v>
      </c>
      <c r="I925" s="8">
        <f t="shared" ca="1" si="146"/>
        <v>0</v>
      </c>
      <c r="J925" s="6" t="e">
        <f ca="1">_xll.xlqxhSMA($C925,$L$4,$J$7,$K$3)</f>
        <v>#NAME?</v>
      </c>
      <c r="K925" s="7" t="e">
        <f ca="1">_xll.xlqhClose($C925,K$8,$K$3)</f>
        <v>#NAME?</v>
      </c>
      <c r="L925" s="7" t="e">
        <f ca="1">_xll.xlqhClose($C925,L$8,$K$3)</f>
        <v>#NAME?</v>
      </c>
      <c r="N925" s="9">
        <f t="shared" ca="1" si="147"/>
        <v>1</v>
      </c>
      <c r="O925" s="9">
        <f t="shared" ca="1" si="148"/>
        <v>1</v>
      </c>
      <c r="P925" s="9">
        <f t="shared" ca="1" si="149"/>
        <v>1</v>
      </c>
      <c r="Q925" s="9">
        <f t="shared" ca="1" si="150"/>
        <v>1</v>
      </c>
      <c r="R925" s="9">
        <f t="shared" ca="1" si="151"/>
        <v>0</v>
      </c>
    </row>
    <row r="926" spans="2:18" x14ac:dyDescent="0.25">
      <c r="B926" t="s">
        <v>1003</v>
      </c>
      <c r="C926" s="39" t="s">
        <v>1004</v>
      </c>
      <c r="D926" s="7" t="e">
        <f ca="1">_xll.xlqPrice(C926)</f>
        <v>#NAME?</v>
      </c>
      <c r="E926" s="9" t="e">
        <f t="shared" ca="1" si="142"/>
        <v>#NAME?</v>
      </c>
      <c r="F926" s="9">
        <f t="shared" ca="1" si="143"/>
        <v>1</v>
      </c>
      <c r="G926" s="8">
        <f t="shared" ca="1" si="144"/>
        <v>0</v>
      </c>
      <c r="H926" s="8">
        <f t="shared" ca="1" si="145"/>
        <v>0</v>
      </c>
      <c r="I926" s="8">
        <f t="shared" ca="1" si="146"/>
        <v>0</v>
      </c>
      <c r="J926" s="6" t="e">
        <f ca="1">_xll.xlqxhSMA($C926,$L$4,$J$7,$K$3)</f>
        <v>#NAME?</v>
      </c>
      <c r="K926" s="7" t="e">
        <f ca="1">_xll.xlqhClose($C926,K$8,$K$3)</f>
        <v>#NAME?</v>
      </c>
      <c r="L926" s="7" t="e">
        <f ca="1">_xll.xlqhClose($C926,L$8,$K$3)</f>
        <v>#NAME?</v>
      </c>
      <c r="N926" s="9">
        <f t="shared" ca="1" si="147"/>
        <v>1</v>
      </c>
      <c r="O926" s="9">
        <f t="shared" ca="1" si="148"/>
        <v>1</v>
      </c>
      <c r="P926" s="9">
        <f t="shared" ca="1" si="149"/>
        <v>1</v>
      </c>
      <c r="Q926" s="9">
        <f t="shared" ca="1" si="150"/>
        <v>1</v>
      </c>
      <c r="R926" s="9">
        <f t="shared" ca="1" si="151"/>
        <v>0</v>
      </c>
    </row>
    <row r="927" spans="2:18" x14ac:dyDescent="0.25">
      <c r="B927" s="17" t="s">
        <v>2131</v>
      </c>
      <c r="C927" s="18" t="s">
        <v>2132</v>
      </c>
      <c r="D927" s="7" t="e">
        <f ca="1">_xll.xlqPrice(C927)</f>
        <v>#NAME?</v>
      </c>
      <c r="E927" s="9" t="e">
        <f t="shared" ca="1" si="142"/>
        <v>#NAME?</v>
      </c>
      <c r="F927" s="9">
        <f t="shared" ca="1" si="143"/>
        <v>1</v>
      </c>
      <c r="G927" s="8">
        <f t="shared" ca="1" si="144"/>
        <v>0</v>
      </c>
      <c r="H927" s="8">
        <f t="shared" ca="1" si="145"/>
        <v>0</v>
      </c>
      <c r="I927" s="8">
        <f t="shared" ca="1" si="146"/>
        <v>0</v>
      </c>
      <c r="J927" s="6" t="e">
        <f ca="1">_xll.xlqxhSMA($C927,$L$4,$J$7,$K$3)</f>
        <v>#NAME?</v>
      </c>
      <c r="K927" s="7" t="e">
        <f ca="1">_xll.xlqhClose($C927,K$8,$K$3)</f>
        <v>#NAME?</v>
      </c>
      <c r="L927" s="7" t="e">
        <f ca="1">_xll.xlqhClose($C927,L$8,$K$3)</f>
        <v>#NAME?</v>
      </c>
      <c r="N927" s="9">
        <f t="shared" ca="1" si="147"/>
        <v>1</v>
      </c>
      <c r="O927" s="9">
        <f t="shared" ca="1" si="148"/>
        <v>1</v>
      </c>
      <c r="P927" s="9">
        <f t="shared" ca="1" si="149"/>
        <v>1</v>
      </c>
      <c r="Q927" s="9">
        <f t="shared" ca="1" si="150"/>
        <v>1</v>
      </c>
      <c r="R927" s="9">
        <f t="shared" ca="1" si="151"/>
        <v>0</v>
      </c>
    </row>
    <row r="928" spans="2:18" x14ac:dyDescent="0.25">
      <c r="B928" s="17" t="s">
        <v>936</v>
      </c>
      <c r="C928" s="18" t="s">
        <v>937</v>
      </c>
      <c r="D928" s="7" t="e">
        <f ca="1">_xll.xlqPrice(C928)</f>
        <v>#NAME?</v>
      </c>
      <c r="E928" s="9" t="e">
        <f t="shared" ca="1" si="142"/>
        <v>#NAME?</v>
      </c>
      <c r="F928" s="9">
        <f t="shared" ca="1" si="143"/>
        <v>1</v>
      </c>
      <c r="G928" s="8">
        <f t="shared" ca="1" si="144"/>
        <v>0</v>
      </c>
      <c r="H928" s="8">
        <f t="shared" ca="1" si="145"/>
        <v>0</v>
      </c>
      <c r="I928" s="8">
        <f t="shared" ca="1" si="146"/>
        <v>0</v>
      </c>
      <c r="J928" s="6" t="e">
        <f ca="1">_xll.xlqxhSMA($C928,$L$4,$J$7,$K$3)</f>
        <v>#NAME?</v>
      </c>
      <c r="K928" s="7" t="e">
        <f ca="1">_xll.xlqhClose($C928,K$8,$K$3)</f>
        <v>#NAME?</v>
      </c>
      <c r="L928" s="7" t="e">
        <f ca="1">_xll.xlqhClose($C928,L$8,$K$3)</f>
        <v>#NAME?</v>
      </c>
      <c r="N928" s="9">
        <f t="shared" ca="1" si="147"/>
        <v>1</v>
      </c>
      <c r="O928" s="9">
        <f t="shared" ca="1" si="148"/>
        <v>1</v>
      </c>
      <c r="P928" s="9">
        <f t="shared" ca="1" si="149"/>
        <v>1</v>
      </c>
      <c r="Q928" s="9">
        <f t="shared" ca="1" si="150"/>
        <v>1</v>
      </c>
      <c r="R928" s="9">
        <f t="shared" ca="1" si="151"/>
        <v>0</v>
      </c>
    </row>
    <row r="929" spans="2:18" x14ac:dyDescent="0.25">
      <c r="B929" t="s">
        <v>2077</v>
      </c>
      <c r="C929" s="39" t="s">
        <v>2078</v>
      </c>
      <c r="D929" s="7" t="e">
        <f ca="1">_xll.xlqPrice(C929)</f>
        <v>#NAME?</v>
      </c>
      <c r="E929" s="9" t="e">
        <f t="shared" ca="1" si="142"/>
        <v>#NAME?</v>
      </c>
      <c r="F929" s="9">
        <f t="shared" ca="1" si="143"/>
        <v>1</v>
      </c>
      <c r="G929" s="8">
        <f t="shared" ca="1" si="144"/>
        <v>0</v>
      </c>
      <c r="H929" s="8">
        <f t="shared" ca="1" si="145"/>
        <v>0</v>
      </c>
      <c r="I929" s="8">
        <f t="shared" ca="1" si="146"/>
        <v>0</v>
      </c>
      <c r="J929" s="6" t="e">
        <f ca="1">_xll.xlqxhSMA($C929,$L$4,$J$7,$K$3)</f>
        <v>#NAME?</v>
      </c>
      <c r="K929" s="7" t="e">
        <f ca="1">_xll.xlqhClose($C929,K$8,$K$3)</f>
        <v>#NAME?</v>
      </c>
      <c r="L929" s="7" t="e">
        <f ca="1">_xll.xlqhClose($C929,L$8,$K$3)</f>
        <v>#NAME?</v>
      </c>
      <c r="N929" s="9">
        <f t="shared" ca="1" si="147"/>
        <v>1</v>
      </c>
      <c r="O929" s="9">
        <f t="shared" ca="1" si="148"/>
        <v>1</v>
      </c>
      <c r="P929" s="9">
        <f t="shared" ca="1" si="149"/>
        <v>1</v>
      </c>
      <c r="Q929" s="9">
        <f t="shared" ca="1" si="150"/>
        <v>1</v>
      </c>
      <c r="R929" s="9">
        <f t="shared" ca="1" si="151"/>
        <v>0</v>
      </c>
    </row>
    <row r="930" spans="2:18" x14ac:dyDescent="0.25">
      <c r="B930" s="17" t="s">
        <v>2053</v>
      </c>
      <c r="C930" s="18" t="s">
        <v>2054</v>
      </c>
      <c r="D930" s="7" t="e">
        <f ca="1">_xll.xlqPrice(C930)</f>
        <v>#NAME?</v>
      </c>
      <c r="E930" s="9" t="e">
        <f t="shared" ca="1" si="142"/>
        <v>#NAME?</v>
      </c>
      <c r="F930" s="9">
        <f t="shared" ca="1" si="143"/>
        <v>1</v>
      </c>
      <c r="G930" s="8">
        <f t="shared" ca="1" si="144"/>
        <v>0</v>
      </c>
      <c r="H930" s="8">
        <f t="shared" ca="1" si="145"/>
        <v>0</v>
      </c>
      <c r="I930" s="8">
        <f t="shared" ca="1" si="146"/>
        <v>0</v>
      </c>
      <c r="J930" s="6" t="e">
        <f ca="1">_xll.xlqxhSMA($C930,$L$4,$J$7,$K$3)</f>
        <v>#NAME?</v>
      </c>
      <c r="K930" s="7" t="e">
        <f ca="1">_xll.xlqhClose($C930,K$8,$K$3)</f>
        <v>#NAME?</v>
      </c>
      <c r="L930" s="7" t="e">
        <f ca="1">_xll.xlqhClose($C930,L$8,$K$3)</f>
        <v>#NAME?</v>
      </c>
      <c r="N930" s="9">
        <f t="shared" ca="1" si="147"/>
        <v>1</v>
      </c>
      <c r="O930" s="9">
        <f t="shared" ca="1" si="148"/>
        <v>1</v>
      </c>
      <c r="P930" s="9">
        <f t="shared" ca="1" si="149"/>
        <v>1</v>
      </c>
      <c r="Q930" s="9">
        <f t="shared" ca="1" si="150"/>
        <v>1</v>
      </c>
      <c r="R930" s="9">
        <f t="shared" ca="1" si="151"/>
        <v>0</v>
      </c>
    </row>
    <row r="931" spans="2:18" x14ac:dyDescent="0.25">
      <c r="B931" t="s">
        <v>1107</v>
      </c>
      <c r="C931" s="39" t="s">
        <v>1108</v>
      </c>
      <c r="D931" s="7" t="e">
        <f ca="1">_xll.xlqPrice(C931)</f>
        <v>#NAME?</v>
      </c>
      <c r="E931" s="9" t="e">
        <f t="shared" ca="1" si="142"/>
        <v>#NAME?</v>
      </c>
      <c r="F931" s="9">
        <f t="shared" ca="1" si="143"/>
        <v>1</v>
      </c>
      <c r="G931" s="8">
        <f t="shared" ca="1" si="144"/>
        <v>0</v>
      </c>
      <c r="H931" s="8">
        <f t="shared" ca="1" si="145"/>
        <v>0</v>
      </c>
      <c r="I931" s="8">
        <f t="shared" ca="1" si="146"/>
        <v>0</v>
      </c>
      <c r="J931" s="6" t="e">
        <f ca="1">_xll.xlqxhSMA($C931,$L$4,$J$7,$K$3)</f>
        <v>#NAME?</v>
      </c>
      <c r="K931" s="7" t="e">
        <f ca="1">_xll.xlqhClose($C931,K$8,$K$3)</f>
        <v>#NAME?</v>
      </c>
      <c r="L931" s="7" t="e">
        <f ca="1">_xll.xlqhClose($C931,L$8,$K$3)</f>
        <v>#NAME?</v>
      </c>
      <c r="N931" s="9">
        <f t="shared" ca="1" si="147"/>
        <v>1</v>
      </c>
      <c r="O931" s="9">
        <f t="shared" ca="1" si="148"/>
        <v>1</v>
      </c>
      <c r="P931" s="9">
        <f t="shared" ca="1" si="149"/>
        <v>1</v>
      </c>
      <c r="Q931" s="9">
        <f t="shared" ca="1" si="150"/>
        <v>1</v>
      </c>
      <c r="R931" s="9">
        <f t="shared" ca="1" si="151"/>
        <v>0</v>
      </c>
    </row>
    <row r="932" spans="2:18" x14ac:dyDescent="0.25">
      <c r="B932" s="17" t="s">
        <v>492</v>
      </c>
      <c r="C932" s="18" t="s">
        <v>493</v>
      </c>
      <c r="D932" s="7" t="e">
        <f ca="1">_xll.xlqPrice(C932)</f>
        <v>#NAME?</v>
      </c>
      <c r="E932" s="9" t="e">
        <f t="shared" ca="1" si="142"/>
        <v>#NAME?</v>
      </c>
      <c r="F932" s="9">
        <f t="shared" ca="1" si="143"/>
        <v>1</v>
      </c>
      <c r="G932" s="8">
        <f t="shared" ca="1" si="144"/>
        <v>0</v>
      </c>
      <c r="H932" s="8">
        <f t="shared" ca="1" si="145"/>
        <v>0</v>
      </c>
      <c r="I932" s="8">
        <f t="shared" ca="1" si="146"/>
        <v>0</v>
      </c>
      <c r="J932" s="6" t="e">
        <f ca="1">_xll.xlqxhSMA($C932,$L$4,$J$7,$K$3)</f>
        <v>#NAME?</v>
      </c>
      <c r="K932" s="7" t="e">
        <f ca="1">_xll.xlqhClose($C932,K$8,$K$3)</f>
        <v>#NAME?</v>
      </c>
      <c r="L932" s="7" t="e">
        <f ca="1">_xll.xlqhClose($C932,L$8,$K$3)</f>
        <v>#NAME?</v>
      </c>
      <c r="N932" s="9">
        <f t="shared" ca="1" si="147"/>
        <v>1</v>
      </c>
      <c r="O932" s="9">
        <f t="shared" ca="1" si="148"/>
        <v>1</v>
      </c>
      <c r="P932" s="9">
        <f t="shared" ca="1" si="149"/>
        <v>1</v>
      </c>
      <c r="Q932" s="9">
        <f t="shared" ca="1" si="150"/>
        <v>1</v>
      </c>
      <c r="R932" s="9">
        <f t="shared" ca="1" si="151"/>
        <v>0</v>
      </c>
    </row>
    <row r="933" spans="2:18" x14ac:dyDescent="0.25">
      <c r="B933" t="s">
        <v>1767</v>
      </c>
      <c r="C933" s="39" t="s">
        <v>1768</v>
      </c>
      <c r="D933" s="7" t="e">
        <f ca="1">_xll.xlqPrice(C933)</f>
        <v>#NAME?</v>
      </c>
      <c r="E933" s="9" t="e">
        <f t="shared" ca="1" si="142"/>
        <v>#NAME?</v>
      </c>
      <c r="F933" s="9">
        <f t="shared" ca="1" si="143"/>
        <v>1</v>
      </c>
      <c r="G933" s="8">
        <f t="shared" ca="1" si="144"/>
        <v>0</v>
      </c>
      <c r="H933" s="8">
        <f t="shared" ca="1" si="145"/>
        <v>0</v>
      </c>
      <c r="I933" s="8">
        <f t="shared" ca="1" si="146"/>
        <v>0</v>
      </c>
      <c r="J933" s="6" t="e">
        <f ca="1">_xll.xlqxhSMA($C933,$L$4,$J$7,$K$3)</f>
        <v>#NAME?</v>
      </c>
      <c r="K933" s="7" t="e">
        <f ca="1">_xll.xlqhClose($C933,K$8,$K$3)</f>
        <v>#NAME?</v>
      </c>
      <c r="L933" s="7" t="e">
        <f ca="1">_xll.xlqhClose($C933,L$8,$K$3)</f>
        <v>#NAME?</v>
      </c>
      <c r="N933" s="9">
        <f t="shared" ca="1" si="147"/>
        <v>1</v>
      </c>
      <c r="O933" s="9">
        <f t="shared" ca="1" si="148"/>
        <v>1</v>
      </c>
      <c r="P933" s="9">
        <f t="shared" ca="1" si="149"/>
        <v>1</v>
      </c>
      <c r="Q933" s="9">
        <f t="shared" ca="1" si="150"/>
        <v>1</v>
      </c>
      <c r="R933" s="9">
        <f t="shared" ca="1" si="151"/>
        <v>0</v>
      </c>
    </row>
    <row r="934" spans="2:18" x14ac:dyDescent="0.25">
      <c r="B934" t="s">
        <v>1625</v>
      </c>
      <c r="C934" s="39" t="s">
        <v>1626</v>
      </c>
      <c r="D934" s="7" t="e">
        <f ca="1">_xll.xlqPrice(C934)</f>
        <v>#NAME?</v>
      </c>
      <c r="E934" s="9" t="e">
        <f t="shared" ca="1" si="142"/>
        <v>#NAME?</v>
      </c>
      <c r="F934" s="9">
        <f t="shared" ca="1" si="143"/>
        <v>1</v>
      </c>
      <c r="G934" s="8">
        <f t="shared" ca="1" si="144"/>
        <v>0</v>
      </c>
      <c r="H934" s="8">
        <f t="shared" ca="1" si="145"/>
        <v>0</v>
      </c>
      <c r="I934" s="8">
        <f t="shared" ca="1" si="146"/>
        <v>0</v>
      </c>
      <c r="J934" s="6" t="e">
        <f ca="1">_xll.xlqxhSMA($C934,$L$4,$J$7,$K$3)</f>
        <v>#NAME?</v>
      </c>
      <c r="K934" s="7" t="e">
        <f ca="1">_xll.xlqhClose($C934,K$8,$K$3)</f>
        <v>#NAME?</v>
      </c>
      <c r="L934" s="7" t="e">
        <f ca="1">_xll.xlqhClose($C934,L$8,$K$3)</f>
        <v>#NAME?</v>
      </c>
      <c r="N934" s="9">
        <f t="shared" ca="1" si="147"/>
        <v>1</v>
      </c>
      <c r="O934" s="9">
        <f t="shared" ca="1" si="148"/>
        <v>1</v>
      </c>
      <c r="P934" s="9">
        <f t="shared" ca="1" si="149"/>
        <v>1</v>
      </c>
      <c r="Q934" s="9">
        <f t="shared" ca="1" si="150"/>
        <v>1</v>
      </c>
      <c r="R934" s="9">
        <f t="shared" ca="1" si="151"/>
        <v>0</v>
      </c>
    </row>
    <row r="935" spans="2:18" x14ac:dyDescent="0.25">
      <c r="B935" s="17" t="s">
        <v>1291</v>
      </c>
      <c r="C935" s="18" t="s">
        <v>1292</v>
      </c>
      <c r="D935" s="7" t="e">
        <f ca="1">_xll.xlqPrice(C935)</f>
        <v>#NAME?</v>
      </c>
      <c r="E935" s="9" t="e">
        <f t="shared" ca="1" si="142"/>
        <v>#NAME?</v>
      </c>
      <c r="F935" s="9">
        <f t="shared" ca="1" si="143"/>
        <v>1</v>
      </c>
      <c r="G935" s="8">
        <f t="shared" ca="1" si="144"/>
        <v>0</v>
      </c>
      <c r="H935" s="8">
        <f t="shared" ca="1" si="145"/>
        <v>0</v>
      </c>
      <c r="I935" s="8">
        <f t="shared" ca="1" si="146"/>
        <v>0</v>
      </c>
      <c r="J935" s="6" t="e">
        <f ca="1">_xll.xlqxhSMA($C935,$L$4,$J$7,$K$3)</f>
        <v>#NAME?</v>
      </c>
      <c r="K935" s="7" t="e">
        <f ca="1">_xll.xlqhClose($C935,K$8,$K$3)</f>
        <v>#NAME?</v>
      </c>
      <c r="L935" s="7" t="e">
        <f ca="1">_xll.xlqhClose($C935,L$8,$K$3)</f>
        <v>#NAME?</v>
      </c>
      <c r="N935" s="9">
        <f t="shared" ca="1" si="147"/>
        <v>1</v>
      </c>
      <c r="O935" s="9">
        <f t="shared" ca="1" si="148"/>
        <v>1</v>
      </c>
      <c r="P935" s="9">
        <f t="shared" ca="1" si="149"/>
        <v>1</v>
      </c>
      <c r="Q935" s="9">
        <f t="shared" ca="1" si="150"/>
        <v>1</v>
      </c>
      <c r="R935" s="9">
        <f t="shared" ca="1" si="151"/>
        <v>0</v>
      </c>
    </row>
    <row r="936" spans="2:18" x14ac:dyDescent="0.25">
      <c r="B936" t="s">
        <v>1627</v>
      </c>
      <c r="C936" s="39" t="s">
        <v>1628</v>
      </c>
      <c r="D936" s="7" t="e">
        <f ca="1">_xll.xlqPrice(C936)</f>
        <v>#NAME?</v>
      </c>
      <c r="E936" s="9" t="e">
        <f t="shared" ca="1" si="142"/>
        <v>#NAME?</v>
      </c>
      <c r="F936" s="9">
        <f t="shared" ca="1" si="143"/>
        <v>1</v>
      </c>
      <c r="G936" s="8">
        <f t="shared" ca="1" si="144"/>
        <v>0</v>
      </c>
      <c r="H936" s="8">
        <f t="shared" ca="1" si="145"/>
        <v>0</v>
      </c>
      <c r="I936" s="8">
        <f t="shared" ca="1" si="146"/>
        <v>0</v>
      </c>
      <c r="J936" s="6" t="e">
        <f ca="1">_xll.xlqxhSMA($C936,$L$4,$J$7,$K$3)</f>
        <v>#NAME?</v>
      </c>
      <c r="K936" s="7" t="e">
        <f ca="1">_xll.xlqhClose($C936,K$8,$K$3)</f>
        <v>#NAME?</v>
      </c>
      <c r="L936" s="7" t="e">
        <f ca="1">_xll.xlqhClose($C936,L$8,$K$3)</f>
        <v>#NAME?</v>
      </c>
      <c r="N936" s="9">
        <f t="shared" ca="1" si="147"/>
        <v>1</v>
      </c>
      <c r="O936" s="9">
        <f t="shared" ca="1" si="148"/>
        <v>1</v>
      </c>
      <c r="P936" s="9">
        <f t="shared" ca="1" si="149"/>
        <v>1</v>
      </c>
      <c r="Q936" s="9">
        <f t="shared" ca="1" si="150"/>
        <v>1</v>
      </c>
      <c r="R936" s="9">
        <f t="shared" ca="1" si="151"/>
        <v>0</v>
      </c>
    </row>
    <row r="937" spans="2:18" x14ac:dyDescent="0.25">
      <c r="B937" s="17" t="s">
        <v>1551</v>
      </c>
      <c r="C937" s="18" t="s">
        <v>1552</v>
      </c>
      <c r="D937" s="7" t="e">
        <f ca="1">_xll.xlqPrice(C937)</f>
        <v>#NAME?</v>
      </c>
      <c r="E937" s="9" t="e">
        <f t="shared" ca="1" si="142"/>
        <v>#NAME?</v>
      </c>
      <c r="F937" s="9">
        <f t="shared" ca="1" si="143"/>
        <v>1</v>
      </c>
      <c r="G937" s="8">
        <f t="shared" ca="1" si="144"/>
        <v>0</v>
      </c>
      <c r="H937" s="8">
        <f t="shared" ca="1" si="145"/>
        <v>0</v>
      </c>
      <c r="I937" s="8">
        <f t="shared" ca="1" si="146"/>
        <v>0</v>
      </c>
      <c r="J937" s="6" t="e">
        <f ca="1">_xll.xlqxhSMA($C937,$L$4,$J$7,$K$3)</f>
        <v>#NAME?</v>
      </c>
      <c r="K937" s="7" t="e">
        <f ca="1">_xll.xlqhClose($C937,K$8,$K$3)</f>
        <v>#NAME?</v>
      </c>
      <c r="L937" s="7" t="e">
        <f ca="1">_xll.xlqhClose($C937,L$8,$K$3)</f>
        <v>#NAME?</v>
      </c>
      <c r="N937" s="9">
        <f t="shared" ca="1" si="147"/>
        <v>1</v>
      </c>
      <c r="O937" s="9">
        <f t="shared" ca="1" si="148"/>
        <v>1</v>
      </c>
      <c r="P937" s="9">
        <f t="shared" ca="1" si="149"/>
        <v>1</v>
      </c>
      <c r="Q937" s="9">
        <f t="shared" ca="1" si="150"/>
        <v>1</v>
      </c>
      <c r="R937" s="9">
        <f t="shared" ca="1" si="151"/>
        <v>0</v>
      </c>
    </row>
    <row r="938" spans="2:18" x14ac:dyDescent="0.25">
      <c r="B938" s="17" t="s">
        <v>2311</v>
      </c>
      <c r="C938" s="18" t="s">
        <v>2312</v>
      </c>
      <c r="D938" s="7" t="e">
        <f ca="1">_xll.xlqPrice(C938)</f>
        <v>#NAME?</v>
      </c>
      <c r="E938" s="9" t="e">
        <f t="shared" ca="1" si="142"/>
        <v>#NAME?</v>
      </c>
      <c r="F938" s="9">
        <f t="shared" ca="1" si="143"/>
        <v>1</v>
      </c>
      <c r="G938" s="8">
        <f t="shared" ca="1" si="144"/>
        <v>0</v>
      </c>
      <c r="H938" s="8">
        <f t="shared" ca="1" si="145"/>
        <v>0</v>
      </c>
      <c r="I938" s="8">
        <f t="shared" ca="1" si="146"/>
        <v>0</v>
      </c>
      <c r="J938" s="6" t="e">
        <f ca="1">_xll.xlqxhSMA($C938,$L$4,$J$7,$K$3)</f>
        <v>#NAME?</v>
      </c>
      <c r="K938" s="7" t="e">
        <f ca="1">_xll.xlqhClose($C938,K$8,$K$3)</f>
        <v>#NAME?</v>
      </c>
      <c r="L938" s="7" t="e">
        <f ca="1">_xll.xlqhClose($C938,L$8,$K$3)</f>
        <v>#NAME?</v>
      </c>
      <c r="N938" s="9">
        <f t="shared" ca="1" si="147"/>
        <v>1</v>
      </c>
      <c r="O938" s="9">
        <f t="shared" ca="1" si="148"/>
        <v>1</v>
      </c>
      <c r="P938" s="9">
        <f t="shared" ca="1" si="149"/>
        <v>1</v>
      </c>
      <c r="Q938" s="9">
        <f t="shared" ca="1" si="150"/>
        <v>1</v>
      </c>
      <c r="R938" s="9">
        <f t="shared" ca="1" si="151"/>
        <v>0</v>
      </c>
    </row>
    <row r="939" spans="2:18" x14ac:dyDescent="0.25">
      <c r="B939" s="17" t="s">
        <v>650</v>
      </c>
      <c r="C939" s="18" t="s">
        <v>651</v>
      </c>
      <c r="D939" s="7" t="e">
        <f ca="1">_xll.xlqPrice(C939)</f>
        <v>#NAME?</v>
      </c>
      <c r="E939" s="9" t="e">
        <f t="shared" ca="1" si="142"/>
        <v>#NAME?</v>
      </c>
      <c r="F939" s="9">
        <f t="shared" ca="1" si="143"/>
        <v>1</v>
      </c>
      <c r="G939" s="8">
        <f t="shared" ca="1" si="144"/>
        <v>0</v>
      </c>
      <c r="H939" s="8">
        <f t="shared" ca="1" si="145"/>
        <v>0</v>
      </c>
      <c r="I939" s="8">
        <f t="shared" ca="1" si="146"/>
        <v>0</v>
      </c>
      <c r="J939" s="6" t="e">
        <f ca="1">_xll.xlqxhSMA($C939,$L$4,$J$7,$K$3)</f>
        <v>#NAME?</v>
      </c>
      <c r="K939" s="7" t="e">
        <f ca="1">_xll.xlqhClose($C939,K$8,$K$3)</f>
        <v>#NAME?</v>
      </c>
      <c r="L939" s="7" t="e">
        <f ca="1">_xll.xlqhClose($C939,L$8,$K$3)</f>
        <v>#NAME?</v>
      </c>
      <c r="N939" s="9">
        <f t="shared" ca="1" si="147"/>
        <v>1</v>
      </c>
      <c r="O939" s="9">
        <f t="shared" ca="1" si="148"/>
        <v>1</v>
      </c>
      <c r="P939" s="9">
        <f t="shared" ca="1" si="149"/>
        <v>1</v>
      </c>
      <c r="Q939" s="9">
        <f t="shared" ca="1" si="150"/>
        <v>1</v>
      </c>
      <c r="R939" s="9">
        <f t="shared" ca="1" si="151"/>
        <v>0</v>
      </c>
    </row>
    <row r="940" spans="2:18" x14ac:dyDescent="0.25">
      <c r="B940" s="17" t="s">
        <v>42</v>
      </c>
      <c r="C940" s="18" t="s">
        <v>19</v>
      </c>
      <c r="D940" s="7" t="e">
        <f ca="1">_xll.xlqPrice(C940)</f>
        <v>#NAME?</v>
      </c>
      <c r="E940" s="9" t="e">
        <f t="shared" ca="1" si="142"/>
        <v>#NAME?</v>
      </c>
      <c r="F940" s="9">
        <f t="shared" ca="1" si="143"/>
        <v>1</v>
      </c>
      <c r="G940" s="8">
        <f t="shared" ca="1" si="144"/>
        <v>0</v>
      </c>
      <c r="H940" s="8">
        <f t="shared" ca="1" si="145"/>
        <v>0</v>
      </c>
      <c r="I940" s="8">
        <f t="shared" ca="1" si="146"/>
        <v>0</v>
      </c>
      <c r="J940" s="6" t="e">
        <f ca="1">_xll.xlqxhSMA($C940,$L$4,$J$7,$K$3)</f>
        <v>#NAME?</v>
      </c>
      <c r="K940" s="7" t="e">
        <f ca="1">_xll.xlqhClose($C940,K$8,$K$3)</f>
        <v>#NAME?</v>
      </c>
      <c r="L940" s="7" t="e">
        <f ca="1">_xll.xlqhClose($C940,L$8,$K$3)</f>
        <v>#NAME?</v>
      </c>
      <c r="N940" s="9">
        <f t="shared" ca="1" si="147"/>
        <v>1</v>
      </c>
      <c r="O940" s="9">
        <f t="shared" ca="1" si="148"/>
        <v>1</v>
      </c>
      <c r="P940" s="9">
        <f t="shared" ca="1" si="149"/>
        <v>1</v>
      </c>
      <c r="Q940" s="9">
        <f t="shared" ca="1" si="150"/>
        <v>1</v>
      </c>
      <c r="R940" s="9">
        <f t="shared" ca="1" si="151"/>
        <v>0</v>
      </c>
    </row>
    <row r="941" spans="2:18" x14ac:dyDescent="0.25">
      <c r="B941" t="s">
        <v>2117</v>
      </c>
      <c r="C941" s="39" t="s">
        <v>2118</v>
      </c>
      <c r="D941" s="7" t="e">
        <f ca="1">_xll.xlqPrice(C941)</f>
        <v>#NAME?</v>
      </c>
      <c r="E941" s="9" t="e">
        <f t="shared" ca="1" si="142"/>
        <v>#NAME?</v>
      </c>
      <c r="F941" s="9">
        <f t="shared" ca="1" si="143"/>
        <v>1</v>
      </c>
      <c r="G941" s="8">
        <f t="shared" ca="1" si="144"/>
        <v>0</v>
      </c>
      <c r="H941" s="8">
        <f t="shared" ca="1" si="145"/>
        <v>0</v>
      </c>
      <c r="I941" s="8">
        <f t="shared" ca="1" si="146"/>
        <v>0</v>
      </c>
      <c r="J941" s="6" t="e">
        <f ca="1">_xll.xlqxhSMA($C941,$L$4,$J$7,$K$3)</f>
        <v>#NAME?</v>
      </c>
      <c r="K941" s="7" t="e">
        <f ca="1">_xll.xlqhClose($C941,K$8,$K$3)</f>
        <v>#NAME?</v>
      </c>
      <c r="L941" s="7" t="e">
        <f ca="1">_xll.xlqhClose($C941,L$8,$K$3)</f>
        <v>#NAME?</v>
      </c>
      <c r="N941" s="9">
        <f t="shared" ca="1" si="147"/>
        <v>1</v>
      </c>
      <c r="O941" s="9">
        <f t="shared" ca="1" si="148"/>
        <v>1</v>
      </c>
      <c r="P941" s="9">
        <f t="shared" ca="1" si="149"/>
        <v>1</v>
      </c>
      <c r="Q941" s="9">
        <f t="shared" ca="1" si="150"/>
        <v>1</v>
      </c>
      <c r="R941" s="9">
        <f t="shared" ca="1" si="151"/>
        <v>0</v>
      </c>
    </row>
    <row r="942" spans="2:18" x14ac:dyDescent="0.25">
      <c r="B942" t="s">
        <v>472</v>
      </c>
      <c r="C942" s="39" t="s">
        <v>473</v>
      </c>
      <c r="D942" s="7" t="e">
        <f ca="1">_xll.xlqPrice(C942)</f>
        <v>#NAME?</v>
      </c>
      <c r="E942" s="9" t="e">
        <f t="shared" ca="1" si="142"/>
        <v>#NAME?</v>
      </c>
      <c r="F942" s="9">
        <f t="shared" ca="1" si="143"/>
        <v>1</v>
      </c>
      <c r="G942" s="8">
        <f t="shared" ca="1" si="144"/>
        <v>0</v>
      </c>
      <c r="H942" s="8">
        <f t="shared" ca="1" si="145"/>
        <v>0</v>
      </c>
      <c r="I942" s="8">
        <f t="shared" ca="1" si="146"/>
        <v>0</v>
      </c>
      <c r="J942" s="6" t="e">
        <f ca="1">_xll.xlqxhSMA($C942,$L$4,$J$7,$K$3)</f>
        <v>#NAME?</v>
      </c>
      <c r="K942" s="7" t="e">
        <f ca="1">_xll.xlqhClose($C942,K$8,$K$3)</f>
        <v>#NAME?</v>
      </c>
      <c r="L942" s="7" t="e">
        <f ca="1">_xll.xlqhClose($C942,L$8,$K$3)</f>
        <v>#NAME?</v>
      </c>
      <c r="N942" s="9">
        <f t="shared" ca="1" si="147"/>
        <v>1</v>
      </c>
      <c r="O942" s="9">
        <f t="shared" ca="1" si="148"/>
        <v>1</v>
      </c>
      <c r="P942" s="9">
        <f t="shared" ca="1" si="149"/>
        <v>1</v>
      </c>
      <c r="Q942" s="9">
        <f t="shared" ca="1" si="150"/>
        <v>1</v>
      </c>
      <c r="R942" s="9">
        <f t="shared" ca="1" si="151"/>
        <v>0</v>
      </c>
    </row>
    <row r="943" spans="2:18" x14ac:dyDescent="0.25">
      <c r="B943" t="s">
        <v>1715</v>
      </c>
      <c r="C943" s="39" t="s">
        <v>1716</v>
      </c>
      <c r="D943" s="7" t="e">
        <f ca="1">_xll.xlqPrice(C943)</f>
        <v>#NAME?</v>
      </c>
      <c r="E943" s="9" t="e">
        <f t="shared" ca="1" si="142"/>
        <v>#NAME?</v>
      </c>
      <c r="F943" s="9">
        <f t="shared" ca="1" si="143"/>
        <v>1</v>
      </c>
      <c r="G943" s="8">
        <f t="shared" ca="1" si="144"/>
        <v>0</v>
      </c>
      <c r="H943" s="8">
        <f t="shared" ca="1" si="145"/>
        <v>0</v>
      </c>
      <c r="I943" s="8">
        <f t="shared" ca="1" si="146"/>
        <v>0</v>
      </c>
      <c r="J943" s="6" t="e">
        <f ca="1">_xll.xlqxhSMA($C943,$L$4,$J$7,$K$3)</f>
        <v>#NAME?</v>
      </c>
      <c r="K943" s="7" t="e">
        <f ca="1">_xll.xlqhClose($C943,K$8,$K$3)</f>
        <v>#NAME?</v>
      </c>
      <c r="L943" s="7" t="e">
        <f ca="1">_xll.xlqhClose($C943,L$8,$K$3)</f>
        <v>#NAME?</v>
      </c>
      <c r="N943" s="9">
        <f t="shared" ca="1" si="147"/>
        <v>1</v>
      </c>
      <c r="O943" s="9">
        <f t="shared" ca="1" si="148"/>
        <v>1</v>
      </c>
      <c r="P943" s="9">
        <f t="shared" ca="1" si="149"/>
        <v>1</v>
      </c>
      <c r="Q943" s="9">
        <f t="shared" ca="1" si="150"/>
        <v>1</v>
      </c>
      <c r="R943" s="9">
        <f t="shared" ca="1" si="151"/>
        <v>0</v>
      </c>
    </row>
    <row r="944" spans="2:18" x14ac:dyDescent="0.25">
      <c r="B944" s="17" t="s">
        <v>764</v>
      </c>
      <c r="C944" s="18" t="s">
        <v>765</v>
      </c>
      <c r="D944" s="7" t="e">
        <f ca="1">_xll.xlqPrice(C944)</f>
        <v>#NAME?</v>
      </c>
      <c r="E944" s="9" t="e">
        <f t="shared" ca="1" si="142"/>
        <v>#NAME?</v>
      </c>
      <c r="F944" s="9">
        <f t="shared" ca="1" si="143"/>
        <v>1</v>
      </c>
      <c r="G944" s="8">
        <f t="shared" ca="1" si="144"/>
        <v>0</v>
      </c>
      <c r="H944" s="8">
        <f t="shared" ca="1" si="145"/>
        <v>0</v>
      </c>
      <c r="I944" s="8">
        <f t="shared" ca="1" si="146"/>
        <v>0</v>
      </c>
      <c r="J944" s="6" t="e">
        <f ca="1">_xll.xlqxhSMA($C944,$L$4,$J$7,$K$3)</f>
        <v>#NAME?</v>
      </c>
      <c r="K944" s="7" t="e">
        <f ca="1">_xll.xlqhClose($C944,K$8,$K$3)</f>
        <v>#NAME?</v>
      </c>
      <c r="L944" s="7" t="e">
        <f ca="1">_xll.xlqhClose($C944,L$8,$K$3)</f>
        <v>#NAME?</v>
      </c>
      <c r="N944" s="9">
        <f t="shared" ca="1" si="147"/>
        <v>1</v>
      </c>
      <c r="O944" s="9">
        <f t="shared" ca="1" si="148"/>
        <v>1</v>
      </c>
      <c r="P944" s="9">
        <f t="shared" ca="1" si="149"/>
        <v>1</v>
      </c>
      <c r="Q944" s="9">
        <f t="shared" ca="1" si="150"/>
        <v>1</v>
      </c>
      <c r="R944" s="9">
        <f t="shared" ca="1" si="151"/>
        <v>0</v>
      </c>
    </row>
    <row r="945" spans="2:18" x14ac:dyDescent="0.25">
      <c r="B945" s="17" t="s">
        <v>800</v>
      </c>
      <c r="C945" s="18" t="s">
        <v>801</v>
      </c>
      <c r="D945" s="7" t="e">
        <f ca="1">_xll.xlqPrice(C945)</f>
        <v>#NAME?</v>
      </c>
      <c r="E945" s="9" t="e">
        <f t="shared" ca="1" si="142"/>
        <v>#NAME?</v>
      </c>
      <c r="F945" s="9">
        <f t="shared" ca="1" si="143"/>
        <v>1</v>
      </c>
      <c r="G945" s="8">
        <f t="shared" ca="1" si="144"/>
        <v>0</v>
      </c>
      <c r="H945" s="8">
        <f t="shared" ca="1" si="145"/>
        <v>0</v>
      </c>
      <c r="I945" s="8">
        <f t="shared" ca="1" si="146"/>
        <v>0</v>
      </c>
      <c r="J945" s="6" t="e">
        <f ca="1">_xll.xlqxhSMA($C945,$L$4,$J$7,$K$3)</f>
        <v>#NAME?</v>
      </c>
      <c r="K945" s="7" t="e">
        <f ca="1">_xll.xlqhClose($C945,K$8,$K$3)</f>
        <v>#NAME?</v>
      </c>
      <c r="L945" s="7" t="e">
        <f ca="1">_xll.xlqhClose($C945,L$8,$K$3)</f>
        <v>#NAME?</v>
      </c>
      <c r="N945" s="9">
        <f t="shared" ca="1" si="147"/>
        <v>1</v>
      </c>
      <c r="O945" s="9">
        <f t="shared" ca="1" si="148"/>
        <v>1</v>
      </c>
      <c r="P945" s="9">
        <f t="shared" ca="1" si="149"/>
        <v>1</v>
      </c>
      <c r="Q945" s="9">
        <f t="shared" ca="1" si="150"/>
        <v>1</v>
      </c>
      <c r="R945" s="9">
        <f t="shared" ca="1" si="151"/>
        <v>0</v>
      </c>
    </row>
    <row r="946" spans="2:18" x14ac:dyDescent="0.25">
      <c r="B946" s="17" t="s">
        <v>1243</v>
      </c>
      <c r="C946" s="18" t="s">
        <v>1244</v>
      </c>
      <c r="D946" s="7" t="e">
        <f ca="1">_xll.xlqPrice(C946)</f>
        <v>#NAME?</v>
      </c>
      <c r="E946" s="9" t="e">
        <f t="shared" ca="1" si="142"/>
        <v>#NAME?</v>
      </c>
      <c r="F946" s="9">
        <f t="shared" ca="1" si="143"/>
        <v>1</v>
      </c>
      <c r="G946" s="8">
        <f t="shared" ca="1" si="144"/>
        <v>0</v>
      </c>
      <c r="H946" s="8">
        <f t="shared" ca="1" si="145"/>
        <v>0</v>
      </c>
      <c r="I946" s="8">
        <f t="shared" ca="1" si="146"/>
        <v>0</v>
      </c>
      <c r="J946" s="6" t="e">
        <f ca="1">_xll.xlqxhSMA($C946,$L$4,$J$7,$K$3)</f>
        <v>#NAME?</v>
      </c>
      <c r="K946" s="7" t="e">
        <f ca="1">_xll.xlqhClose($C946,K$8,$K$3)</f>
        <v>#NAME?</v>
      </c>
      <c r="L946" s="7" t="e">
        <f ca="1">_xll.xlqhClose($C946,L$8,$K$3)</f>
        <v>#NAME?</v>
      </c>
      <c r="N946" s="9">
        <f t="shared" ca="1" si="147"/>
        <v>1</v>
      </c>
      <c r="O946" s="9">
        <f t="shared" ca="1" si="148"/>
        <v>1</v>
      </c>
      <c r="P946" s="9">
        <f t="shared" ca="1" si="149"/>
        <v>1</v>
      </c>
      <c r="Q946" s="9">
        <f t="shared" ca="1" si="150"/>
        <v>1</v>
      </c>
      <c r="R946" s="9">
        <f t="shared" ca="1" si="151"/>
        <v>0</v>
      </c>
    </row>
    <row r="947" spans="2:18" x14ac:dyDescent="0.25">
      <c r="B947" s="17" t="s">
        <v>482</v>
      </c>
      <c r="C947" s="18" t="s">
        <v>483</v>
      </c>
      <c r="D947" s="7" t="e">
        <f ca="1">_xll.xlqPrice(C947)</f>
        <v>#NAME?</v>
      </c>
      <c r="E947" s="9" t="e">
        <f t="shared" ca="1" si="142"/>
        <v>#NAME?</v>
      </c>
      <c r="F947" s="9">
        <f t="shared" ca="1" si="143"/>
        <v>1</v>
      </c>
      <c r="G947" s="8">
        <f t="shared" ca="1" si="144"/>
        <v>0</v>
      </c>
      <c r="H947" s="8">
        <f t="shared" ca="1" si="145"/>
        <v>0</v>
      </c>
      <c r="I947" s="8">
        <f t="shared" ca="1" si="146"/>
        <v>0</v>
      </c>
      <c r="J947" s="6" t="e">
        <f ca="1">_xll.xlqxhSMA($C947,$L$4,$J$7,$K$3)</f>
        <v>#NAME?</v>
      </c>
      <c r="K947" s="7" t="e">
        <f ca="1">_xll.xlqhClose($C947,K$8,$K$3)</f>
        <v>#NAME?</v>
      </c>
      <c r="L947" s="7" t="e">
        <f ca="1">_xll.xlqhClose($C947,L$8,$K$3)</f>
        <v>#NAME?</v>
      </c>
      <c r="N947" s="9">
        <f t="shared" ca="1" si="147"/>
        <v>1</v>
      </c>
      <c r="O947" s="9">
        <f t="shared" ca="1" si="148"/>
        <v>1</v>
      </c>
      <c r="P947" s="9">
        <f t="shared" ca="1" si="149"/>
        <v>1</v>
      </c>
      <c r="Q947" s="9">
        <f t="shared" ca="1" si="150"/>
        <v>1</v>
      </c>
      <c r="R947" s="9">
        <f t="shared" ca="1" si="151"/>
        <v>0</v>
      </c>
    </row>
    <row r="948" spans="2:18" x14ac:dyDescent="0.25">
      <c r="B948" s="17" t="s">
        <v>1277</v>
      </c>
      <c r="C948" s="18" t="s">
        <v>1278</v>
      </c>
      <c r="D948" s="7" t="e">
        <f ca="1">_xll.xlqPrice(C948)</f>
        <v>#NAME?</v>
      </c>
      <c r="E948" s="9" t="e">
        <f t="shared" ca="1" si="142"/>
        <v>#NAME?</v>
      </c>
      <c r="F948" s="9">
        <f t="shared" ca="1" si="143"/>
        <v>1</v>
      </c>
      <c r="G948" s="8">
        <f t="shared" ca="1" si="144"/>
        <v>0</v>
      </c>
      <c r="H948" s="8">
        <f t="shared" ca="1" si="145"/>
        <v>0</v>
      </c>
      <c r="I948" s="8">
        <f t="shared" ca="1" si="146"/>
        <v>0</v>
      </c>
      <c r="J948" s="6" t="e">
        <f ca="1">_xll.xlqxhSMA($C948,$L$4,$J$7,$K$3)</f>
        <v>#NAME?</v>
      </c>
      <c r="K948" s="7" t="e">
        <f ca="1">_xll.xlqhClose($C948,K$8,$K$3)</f>
        <v>#NAME?</v>
      </c>
      <c r="L948" s="7" t="e">
        <f ca="1">_xll.xlqhClose($C948,L$8,$K$3)</f>
        <v>#NAME?</v>
      </c>
      <c r="N948" s="9">
        <f t="shared" ca="1" si="147"/>
        <v>1</v>
      </c>
      <c r="O948" s="9">
        <f t="shared" ca="1" si="148"/>
        <v>1</v>
      </c>
      <c r="P948" s="9">
        <f t="shared" ca="1" si="149"/>
        <v>1</v>
      </c>
      <c r="Q948" s="9">
        <f t="shared" ca="1" si="150"/>
        <v>1</v>
      </c>
      <c r="R948" s="9">
        <f t="shared" ca="1" si="151"/>
        <v>0</v>
      </c>
    </row>
    <row r="949" spans="2:18" x14ac:dyDescent="0.25">
      <c r="B949" s="17" t="s">
        <v>594</v>
      </c>
      <c r="C949" s="18" t="s">
        <v>595</v>
      </c>
      <c r="D949" s="7" t="e">
        <f ca="1">_xll.xlqPrice(C949)</f>
        <v>#NAME?</v>
      </c>
      <c r="E949" s="9" t="e">
        <f t="shared" ca="1" si="142"/>
        <v>#NAME?</v>
      </c>
      <c r="F949" s="9">
        <f t="shared" ca="1" si="143"/>
        <v>1</v>
      </c>
      <c r="G949" s="8">
        <f t="shared" ca="1" si="144"/>
        <v>0</v>
      </c>
      <c r="H949" s="8">
        <f t="shared" ca="1" si="145"/>
        <v>0</v>
      </c>
      <c r="I949" s="8">
        <f t="shared" ca="1" si="146"/>
        <v>0</v>
      </c>
      <c r="J949" s="6" t="e">
        <f ca="1">_xll.xlqxhSMA($C949,$L$4,$J$7,$K$3)</f>
        <v>#NAME?</v>
      </c>
      <c r="K949" s="7" t="e">
        <f ca="1">_xll.xlqhClose($C949,K$8,$K$3)</f>
        <v>#NAME?</v>
      </c>
      <c r="L949" s="7" t="e">
        <f ca="1">_xll.xlqhClose($C949,L$8,$K$3)</f>
        <v>#NAME?</v>
      </c>
      <c r="N949" s="9">
        <f t="shared" ca="1" si="147"/>
        <v>1</v>
      </c>
      <c r="O949" s="9">
        <f t="shared" ca="1" si="148"/>
        <v>1</v>
      </c>
      <c r="P949" s="9">
        <f t="shared" ca="1" si="149"/>
        <v>1</v>
      </c>
      <c r="Q949" s="9">
        <f t="shared" ca="1" si="150"/>
        <v>1</v>
      </c>
      <c r="R949" s="9">
        <f t="shared" ca="1" si="151"/>
        <v>0</v>
      </c>
    </row>
    <row r="950" spans="2:18" x14ac:dyDescent="0.25">
      <c r="B950" s="17" t="s">
        <v>1175</v>
      </c>
      <c r="C950" s="18" t="s">
        <v>1176</v>
      </c>
      <c r="D950" s="7" t="e">
        <f ca="1">_xll.xlqPrice(C950)</f>
        <v>#NAME?</v>
      </c>
      <c r="E950" s="9" t="e">
        <f t="shared" ca="1" si="142"/>
        <v>#NAME?</v>
      </c>
      <c r="F950" s="9">
        <f t="shared" ca="1" si="143"/>
        <v>1</v>
      </c>
      <c r="G950" s="8">
        <f t="shared" ca="1" si="144"/>
        <v>0</v>
      </c>
      <c r="H950" s="8">
        <f t="shared" ca="1" si="145"/>
        <v>0</v>
      </c>
      <c r="I950" s="8">
        <f t="shared" ca="1" si="146"/>
        <v>0</v>
      </c>
      <c r="J950" s="6" t="e">
        <f ca="1">_xll.xlqxhSMA($C950,$L$4,$J$7,$K$3)</f>
        <v>#NAME?</v>
      </c>
      <c r="K950" s="7" t="e">
        <f ca="1">_xll.xlqhClose($C950,K$8,$K$3)</f>
        <v>#NAME?</v>
      </c>
      <c r="L950" s="7" t="e">
        <f ca="1">_xll.xlqhClose($C950,L$8,$K$3)</f>
        <v>#NAME?</v>
      </c>
      <c r="N950" s="9">
        <f t="shared" ca="1" si="147"/>
        <v>1</v>
      </c>
      <c r="O950" s="9">
        <f t="shared" ca="1" si="148"/>
        <v>1</v>
      </c>
      <c r="P950" s="9">
        <f t="shared" ca="1" si="149"/>
        <v>1</v>
      </c>
      <c r="Q950" s="9">
        <f t="shared" ca="1" si="150"/>
        <v>1</v>
      </c>
      <c r="R950" s="9">
        <f t="shared" ca="1" si="151"/>
        <v>0</v>
      </c>
    </row>
    <row r="951" spans="2:18" x14ac:dyDescent="0.25">
      <c r="B951" t="s">
        <v>1029</v>
      </c>
      <c r="C951" s="39" t="s">
        <v>1030</v>
      </c>
      <c r="D951" s="7" t="e">
        <f ca="1">_xll.xlqPrice(C951)</f>
        <v>#NAME?</v>
      </c>
      <c r="E951" s="9" t="e">
        <f t="shared" ca="1" si="142"/>
        <v>#NAME?</v>
      </c>
      <c r="F951" s="9">
        <f t="shared" ca="1" si="143"/>
        <v>1</v>
      </c>
      <c r="G951" s="8">
        <f t="shared" ca="1" si="144"/>
        <v>0</v>
      </c>
      <c r="H951" s="8">
        <f t="shared" ca="1" si="145"/>
        <v>0</v>
      </c>
      <c r="I951" s="8">
        <f t="shared" ca="1" si="146"/>
        <v>0</v>
      </c>
      <c r="J951" s="6" t="e">
        <f ca="1">_xll.xlqxhSMA($C951,$L$4,$J$7,$K$3)</f>
        <v>#NAME?</v>
      </c>
      <c r="K951" s="7" t="e">
        <f ca="1">_xll.xlqhClose($C951,K$8,$K$3)</f>
        <v>#NAME?</v>
      </c>
      <c r="L951" s="7" t="e">
        <f ca="1">_xll.xlqhClose($C951,L$8,$K$3)</f>
        <v>#NAME?</v>
      </c>
      <c r="N951" s="9">
        <f t="shared" ca="1" si="147"/>
        <v>1</v>
      </c>
      <c r="O951" s="9">
        <f t="shared" ca="1" si="148"/>
        <v>1</v>
      </c>
      <c r="P951" s="9">
        <f t="shared" ca="1" si="149"/>
        <v>1</v>
      </c>
      <c r="Q951" s="9">
        <f t="shared" ca="1" si="150"/>
        <v>1</v>
      </c>
      <c r="R951" s="9">
        <f t="shared" ca="1" si="151"/>
        <v>0</v>
      </c>
    </row>
    <row r="952" spans="2:18" x14ac:dyDescent="0.25">
      <c r="B952" s="17" t="s">
        <v>1765</v>
      </c>
      <c r="C952" s="18" t="s">
        <v>1766</v>
      </c>
      <c r="D952" s="7" t="e">
        <f ca="1">_xll.xlqPrice(C952)</f>
        <v>#NAME?</v>
      </c>
      <c r="E952" s="9" t="e">
        <f t="shared" ca="1" si="142"/>
        <v>#NAME?</v>
      </c>
      <c r="F952" s="9">
        <f t="shared" ca="1" si="143"/>
        <v>1</v>
      </c>
      <c r="G952" s="8">
        <f t="shared" ca="1" si="144"/>
        <v>0</v>
      </c>
      <c r="H952" s="8">
        <f t="shared" ca="1" si="145"/>
        <v>0</v>
      </c>
      <c r="I952" s="8">
        <f t="shared" ca="1" si="146"/>
        <v>0</v>
      </c>
      <c r="J952" s="6" t="e">
        <f ca="1">_xll.xlqxhSMA($C952,$L$4,$J$7,$K$3)</f>
        <v>#NAME?</v>
      </c>
      <c r="K952" s="7" t="e">
        <f ca="1">_xll.xlqhClose($C952,K$8,$K$3)</f>
        <v>#NAME?</v>
      </c>
      <c r="L952" s="7" t="e">
        <f ca="1">_xll.xlqhClose($C952,L$8,$K$3)</f>
        <v>#NAME?</v>
      </c>
      <c r="N952" s="9">
        <f t="shared" ca="1" si="147"/>
        <v>1</v>
      </c>
      <c r="O952" s="9">
        <f t="shared" ca="1" si="148"/>
        <v>1</v>
      </c>
      <c r="P952" s="9">
        <f t="shared" ca="1" si="149"/>
        <v>1</v>
      </c>
      <c r="Q952" s="9">
        <f t="shared" ca="1" si="150"/>
        <v>1</v>
      </c>
      <c r="R952" s="9">
        <f t="shared" ca="1" si="151"/>
        <v>0</v>
      </c>
    </row>
    <row r="953" spans="2:18" x14ac:dyDescent="0.25">
      <c r="B953" t="s">
        <v>1195</v>
      </c>
      <c r="C953" s="39" t="s">
        <v>1196</v>
      </c>
      <c r="D953" s="7" t="e">
        <f ca="1">_xll.xlqPrice(C953)</f>
        <v>#NAME?</v>
      </c>
      <c r="E953" s="9" t="e">
        <f t="shared" ca="1" si="142"/>
        <v>#NAME?</v>
      </c>
      <c r="F953" s="9">
        <f t="shared" ca="1" si="143"/>
        <v>1</v>
      </c>
      <c r="G953" s="8">
        <f t="shared" ca="1" si="144"/>
        <v>0</v>
      </c>
      <c r="H953" s="8">
        <f t="shared" ca="1" si="145"/>
        <v>0</v>
      </c>
      <c r="I953" s="8">
        <f t="shared" ca="1" si="146"/>
        <v>0</v>
      </c>
      <c r="J953" s="6" t="e">
        <f ca="1">_xll.xlqxhSMA($C953,$L$4,$J$7,$K$3)</f>
        <v>#NAME?</v>
      </c>
      <c r="K953" s="7" t="e">
        <f ca="1">_xll.xlqhClose($C953,K$8,$K$3)</f>
        <v>#NAME?</v>
      </c>
      <c r="L953" s="7" t="e">
        <f ca="1">_xll.xlqhClose($C953,L$8,$K$3)</f>
        <v>#NAME?</v>
      </c>
      <c r="N953" s="9">
        <f t="shared" ca="1" si="147"/>
        <v>1</v>
      </c>
      <c r="O953" s="9">
        <f t="shared" ca="1" si="148"/>
        <v>1</v>
      </c>
      <c r="P953" s="9">
        <f t="shared" ca="1" si="149"/>
        <v>1</v>
      </c>
      <c r="Q953" s="9">
        <f t="shared" ca="1" si="150"/>
        <v>1</v>
      </c>
      <c r="R953" s="9">
        <f t="shared" ca="1" si="151"/>
        <v>0</v>
      </c>
    </row>
    <row r="954" spans="2:18" x14ac:dyDescent="0.25">
      <c r="B954" t="s">
        <v>2107</v>
      </c>
      <c r="C954" s="39" t="s">
        <v>2108</v>
      </c>
      <c r="D954" s="7" t="e">
        <f ca="1">_xll.xlqPrice(C954)</f>
        <v>#NAME?</v>
      </c>
      <c r="E954" s="9" t="e">
        <f t="shared" ca="1" si="142"/>
        <v>#NAME?</v>
      </c>
      <c r="F954" s="9">
        <f t="shared" ca="1" si="143"/>
        <v>1</v>
      </c>
      <c r="G954" s="8">
        <f t="shared" ca="1" si="144"/>
        <v>0</v>
      </c>
      <c r="H954" s="8">
        <f t="shared" ca="1" si="145"/>
        <v>0</v>
      </c>
      <c r="I954" s="8">
        <f t="shared" ca="1" si="146"/>
        <v>0</v>
      </c>
      <c r="J954" s="6" t="e">
        <f ca="1">_xll.xlqxhSMA($C954,$L$4,$J$7,$K$3)</f>
        <v>#NAME?</v>
      </c>
      <c r="K954" s="7" t="e">
        <f ca="1">_xll.xlqhClose($C954,K$8,$K$3)</f>
        <v>#NAME?</v>
      </c>
      <c r="L954" s="7" t="e">
        <f ca="1">_xll.xlqhClose($C954,L$8,$K$3)</f>
        <v>#NAME?</v>
      </c>
      <c r="N954" s="9">
        <f t="shared" ca="1" si="147"/>
        <v>1</v>
      </c>
      <c r="O954" s="9">
        <f t="shared" ca="1" si="148"/>
        <v>1</v>
      </c>
      <c r="P954" s="9">
        <f t="shared" ca="1" si="149"/>
        <v>1</v>
      </c>
      <c r="Q954" s="9">
        <f t="shared" ca="1" si="150"/>
        <v>1</v>
      </c>
      <c r="R954" s="9">
        <f t="shared" ca="1" si="151"/>
        <v>0</v>
      </c>
    </row>
    <row r="955" spans="2:18" x14ac:dyDescent="0.25">
      <c r="B955" t="s">
        <v>2081</v>
      </c>
      <c r="C955" s="39" t="s">
        <v>2082</v>
      </c>
      <c r="D955" s="7" t="e">
        <f ca="1">_xll.xlqPrice(C955)</f>
        <v>#NAME?</v>
      </c>
      <c r="E955" s="9" t="e">
        <f t="shared" ca="1" si="142"/>
        <v>#NAME?</v>
      </c>
      <c r="F955" s="9">
        <f t="shared" ca="1" si="143"/>
        <v>1</v>
      </c>
      <c r="G955" s="8">
        <f t="shared" ca="1" si="144"/>
        <v>0</v>
      </c>
      <c r="H955" s="8">
        <f t="shared" ca="1" si="145"/>
        <v>0</v>
      </c>
      <c r="I955" s="8">
        <f t="shared" ca="1" si="146"/>
        <v>0</v>
      </c>
      <c r="J955" s="6" t="e">
        <f ca="1">_xll.xlqxhSMA($C955,$L$4,$J$7,$K$3)</f>
        <v>#NAME?</v>
      </c>
      <c r="K955" s="7" t="e">
        <f ca="1">_xll.xlqhClose($C955,K$8,$K$3)</f>
        <v>#NAME?</v>
      </c>
      <c r="L955" s="7" t="e">
        <f ca="1">_xll.xlqhClose($C955,L$8,$K$3)</f>
        <v>#NAME?</v>
      </c>
      <c r="N955" s="9">
        <f t="shared" ca="1" si="147"/>
        <v>1</v>
      </c>
      <c r="O955" s="9">
        <f t="shared" ca="1" si="148"/>
        <v>1</v>
      </c>
      <c r="P955" s="9">
        <f t="shared" ca="1" si="149"/>
        <v>1</v>
      </c>
      <c r="Q955" s="9">
        <f t="shared" ca="1" si="150"/>
        <v>1</v>
      </c>
      <c r="R955" s="9">
        <f t="shared" ca="1" si="151"/>
        <v>0</v>
      </c>
    </row>
    <row r="956" spans="2:18" x14ac:dyDescent="0.25">
      <c r="B956" s="17" t="s">
        <v>250</v>
      </c>
      <c r="C956" s="18" t="s">
        <v>251</v>
      </c>
      <c r="D956" s="7" t="e">
        <f ca="1">_xll.xlqPrice(C956)</f>
        <v>#NAME?</v>
      </c>
      <c r="E956" s="9" t="e">
        <f t="shared" ca="1" si="142"/>
        <v>#NAME?</v>
      </c>
      <c r="F956" s="9">
        <f t="shared" ca="1" si="143"/>
        <v>1</v>
      </c>
      <c r="G956" s="8">
        <f t="shared" ca="1" si="144"/>
        <v>0</v>
      </c>
      <c r="H956" s="8">
        <f t="shared" ca="1" si="145"/>
        <v>0</v>
      </c>
      <c r="I956" s="8">
        <f t="shared" ca="1" si="146"/>
        <v>0</v>
      </c>
      <c r="J956" s="6" t="e">
        <f ca="1">_xll.xlqxhSMA($C956,$L$4,$J$7,$K$3)</f>
        <v>#NAME?</v>
      </c>
      <c r="K956" s="7" t="e">
        <f ca="1">_xll.xlqhClose($C956,K$8,$K$3)</f>
        <v>#NAME?</v>
      </c>
      <c r="L956" s="7" t="e">
        <f ca="1">_xll.xlqhClose($C956,L$8,$K$3)</f>
        <v>#NAME?</v>
      </c>
      <c r="N956" s="9">
        <f t="shared" ca="1" si="147"/>
        <v>1</v>
      </c>
      <c r="O956" s="9">
        <f t="shared" ca="1" si="148"/>
        <v>1</v>
      </c>
      <c r="P956" s="9">
        <f t="shared" ca="1" si="149"/>
        <v>1</v>
      </c>
      <c r="Q956" s="9">
        <f t="shared" ca="1" si="150"/>
        <v>1</v>
      </c>
      <c r="R956" s="9">
        <f t="shared" ca="1" si="151"/>
        <v>0</v>
      </c>
    </row>
    <row r="957" spans="2:18" x14ac:dyDescent="0.25">
      <c r="B957" s="17" t="s">
        <v>1341</v>
      </c>
      <c r="C957" s="18" t="s">
        <v>1342</v>
      </c>
      <c r="D957" s="7" t="e">
        <f ca="1">_xll.xlqPrice(C957)</f>
        <v>#NAME?</v>
      </c>
      <c r="E957" s="9" t="e">
        <f t="shared" ca="1" si="142"/>
        <v>#NAME?</v>
      </c>
      <c r="F957" s="9">
        <f t="shared" ca="1" si="143"/>
        <v>1</v>
      </c>
      <c r="G957" s="8">
        <f t="shared" ca="1" si="144"/>
        <v>0</v>
      </c>
      <c r="H957" s="8">
        <f t="shared" ca="1" si="145"/>
        <v>0</v>
      </c>
      <c r="I957" s="8">
        <f t="shared" ca="1" si="146"/>
        <v>0</v>
      </c>
      <c r="J957" s="6" t="e">
        <f ca="1">_xll.xlqxhSMA($C957,$L$4,$J$7,$K$3)</f>
        <v>#NAME?</v>
      </c>
      <c r="K957" s="7" t="e">
        <f ca="1">_xll.xlqhClose($C957,K$8,$K$3)</f>
        <v>#NAME?</v>
      </c>
      <c r="L957" s="7" t="e">
        <f ca="1">_xll.xlqhClose($C957,L$8,$K$3)</f>
        <v>#NAME?</v>
      </c>
      <c r="N957" s="9">
        <f t="shared" ca="1" si="147"/>
        <v>1</v>
      </c>
      <c r="O957" s="9">
        <f t="shared" ca="1" si="148"/>
        <v>1</v>
      </c>
      <c r="P957" s="9">
        <f t="shared" ca="1" si="149"/>
        <v>1</v>
      </c>
      <c r="Q957" s="9">
        <f t="shared" ca="1" si="150"/>
        <v>1</v>
      </c>
      <c r="R957" s="9">
        <f t="shared" ca="1" si="151"/>
        <v>0</v>
      </c>
    </row>
    <row r="958" spans="2:18" x14ac:dyDescent="0.25">
      <c r="B958" s="17" t="s">
        <v>2171</v>
      </c>
      <c r="C958" s="18" t="s">
        <v>2172</v>
      </c>
      <c r="D958" s="7" t="e">
        <f ca="1">_xll.xlqPrice(C958)</f>
        <v>#NAME?</v>
      </c>
      <c r="E958" s="9" t="e">
        <f t="shared" ca="1" si="142"/>
        <v>#NAME?</v>
      </c>
      <c r="F958" s="9">
        <f t="shared" ca="1" si="143"/>
        <v>1</v>
      </c>
      <c r="G958" s="8">
        <f t="shared" ca="1" si="144"/>
        <v>0</v>
      </c>
      <c r="H958" s="8">
        <f t="shared" ca="1" si="145"/>
        <v>0</v>
      </c>
      <c r="I958" s="8">
        <f t="shared" ca="1" si="146"/>
        <v>0</v>
      </c>
      <c r="J958" s="6" t="e">
        <f ca="1">_xll.xlqxhSMA($C958,$L$4,$J$7,$K$3)</f>
        <v>#NAME?</v>
      </c>
      <c r="K958" s="7" t="e">
        <f ca="1">_xll.xlqhClose($C958,K$8,$K$3)</f>
        <v>#NAME?</v>
      </c>
      <c r="L958" s="7" t="e">
        <f ca="1">_xll.xlqhClose($C958,L$8,$K$3)</f>
        <v>#NAME?</v>
      </c>
      <c r="N958" s="9">
        <f t="shared" ca="1" si="147"/>
        <v>1</v>
      </c>
      <c r="O958" s="9">
        <f t="shared" ca="1" si="148"/>
        <v>1</v>
      </c>
      <c r="P958" s="9">
        <f t="shared" ca="1" si="149"/>
        <v>1</v>
      </c>
      <c r="Q958" s="9">
        <f t="shared" ca="1" si="150"/>
        <v>1</v>
      </c>
      <c r="R958" s="9">
        <f t="shared" ca="1" si="151"/>
        <v>0</v>
      </c>
    </row>
    <row r="959" spans="2:18" x14ac:dyDescent="0.25">
      <c r="B959" s="17" t="s">
        <v>758</v>
      </c>
      <c r="C959" s="18" t="s">
        <v>759</v>
      </c>
      <c r="D959" s="7" t="e">
        <f ca="1">_xll.xlqPrice(C959)</f>
        <v>#NAME?</v>
      </c>
      <c r="E959" s="9" t="e">
        <f t="shared" ca="1" si="142"/>
        <v>#NAME?</v>
      </c>
      <c r="F959" s="9">
        <f t="shared" ca="1" si="143"/>
        <v>1</v>
      </c>
      <c r="G959" s="8">
        <f t="shared" ca="1" si="144"/>
        <v>0</v>
      </c>
      <c r="H959" s="8">
        <f t="shared" ca="1" si="145"/>
        <v>0</v>
      </c>
      <c r="I959" s="8">
        <f t="shared" ca="1" si="146"/>
        <v>0</v>
      </c>
      <c r="J959" s="6" t="e">
        <f ca="1">_xll.xlqxhSMA($C959,$L$4,$J$7,$K$3)</f>
        <v>#NAME?</v>
      </c>
      <c r="K959" s="7" t="e">
        <f ca="1">_xll.xlqhClose($C959,K$8,$K$3)</f>
        <v>#NAME?</v>
      </c>
      <c r="L959" s="7" t="e">
        <f ca="1">_xll.xlqhClose($C959,L$8,$K$3)</f>
        <v>#NAME?</v>
      </c>
      <c r="N959" s="9">
        <f t="shared" ca="1" si="147"/>
        <v>1</v>
      </c>
      <c r="O959" s="9">
        <f t="shared" ca="1" si="148"/>
        <v>1</v>
      </c>
      <c r="P959" s="9">
        <f t="shared" ca="1" si="149"/>
        <v>1</v>
      </c>
      <c r="Q959" s="9">
        <f t="shared" ca="1" si="150"/>
        <v>1</v>
      </c>
      <c r="R959" s="9">
        <f t="shared" ca="1" si="151"/>
        <v>0</v>
      </c>
    </row>
    <row r="960" spans="2:18" x14ac:dyDescent="0.25">
      <c r="B960" s="17" t="s">
        <v>1557</v>
      </c>
      <c r="C960" s="18" t="s">
        <v>1558</v>
      </c>
      <c r="D960" s="7" t="e">
        <f ca="1">_xll.xlqPrice(C960)</f>
        <v>#NAME?</v>
      </c>
      <c r="E960" s="9" t="e">
        <f t="shared" ca="1" si="142"/>
        <v>#NAME?</v>
      </c>
      <c r="F960" s="9">
        <f t="shared" ca="1" si="143"/>
        <v>1</v>
      </c>
      <c r="G960" s="8">
        <f t="shared" ca="1" si="144"/>
        <v>0</v>
      </c>
      <c r="H960" s="8">
        <f t="shared" ca="1" si="145"/>
        <v>0</v>
      </c>
      <c r="I960" s="8">
        <f t="shared" ca="1" si="146"/>
        <v>0</v>
      </c>
      <c r="J960" s="6" t="e">
        <f ca="1">_xll.xlqxhSMA($C960,$L$4,$J$7,$K$3)</f>
        <v>#NAME?</v>
      </c>
      <c r="K960" s="7" t="e">
        <f ca="1">_xll.xlqhClose($C960,K$8,$K$3)</f>
        <v>#NAME?</v>
      </c>
      <c r="L960" s="7" t="e">
        <f ca="1">_xll.xlqhClose($C960,L$8,$K$3)</f>
        <v>#NAME?</v>
      </c>
      <c r="N960" s="9">
        <f t="shared" ca="1" si="147"/>
        <v>1</v>
      </c>
      <c r="O960" s="9">
        <f t="shared" ca="1" si="148"/>
        <v>1</v>
      </c>
      <c r="P960" s="9">
        <f t="shared" ca="1" si="149"/>
        <v>1</v>
      </c>
      <c r="Q960" s="9">
        <f t="shared" ca="1" si="150"/>
        <v>1</v>
      </c>
      <c r="R960" s="9">
        <f t="shared" ca="1" si="151"/>
        <v>0</v>
      </c>
    </row>
    <row r="961" spans="2:18" x14ac:dyDescent="0.25">
      <c r="B961" t="s">
        <v>1225</v>
      </c>
      <c r="C961" s="39" t="s">
        <v>1226</v>
      </c>
      <c r="D961" s="7" t="e">
        <f ca="1">_xll.xlqPrice(C961)</f>
        <v>#NAME?</v>
      </c>
      <c r="E961" s="9" t="e">
        <f t="shared" ca="1" si="142"/>
        <v>#NAME?</v>
      </c>
      <c r="F961" s="9">
        <f t="shared" ca="1" si="143"/>
        <v>1</v>
      </c>
      <c r="G961" s="8">
        <f t="shared" ca="1" si="144"/>
        <v>0</v>
      </c>
      <c r="H961" s="8">
        <f t="shared" ca="1" si="145"/>
        <v>0</v>
      </c>
      <c r="I961" s="8">
        <f t="shared" ca="1" si="146"/>
        <v>0</v>
      </c>
      <c r="J961" s="6" t="e">
        <f ca="1">_xll.xlqxhSMA($C961,$L$4,$J$7,$K$3)</f>
        <v>#NAME?</v>
      </c>
      <c r="K961" s="7" t="e">
        <f ca="1">_xll.xlqhClose($C961,K$8,$K$3)</f>
        <v>#NAME?</v>
      </c>
      <c r="L961" s="7" t="e">
        <f ca="1">_xll.xlqhClose($C961,L$8,$K$3)</f>
        <v>#NAME?</v>
      </c>
      <c r="N961" s="9">
        <f t="shared" ca="1" si="147"/>
        <v>1</v>
      </c>
      <c r="O961" s="9">
        <f t="shared" ca="1" si="148"/>
        <v>1</v>
      </c>
      <c r="P961" s="9">
        <f t="shared" ca="1" si="149"/>
        <v>1</v>
      </c>
      <c r="Q961" s="9">
        <f t="shared" ca="1" si="150"/>
        <v>1</v>
      </c>
      <c r="R961" s="9">
        <f t="shared" ca="1" si="151"/>
        <v>0</v>
      </c>
    </row>
    <row r="962" spans="2:18" x14ac:dyDescent="0.25">
      <c r="B962" s="17" t="s">
        <v>266</v>
      </c>
      <c r="C962" s="18" t="s">
        <v>267</v>
      </c>
      <c r="D962" s="7" t="e">
        <f ca="1">_xll.xlqPrice(C962)</f>
        <v>#NAME?</v>
      </c>
      <c r="E962" s="9" t="e">
        <f t="shared" ca="1" si="142"/>
        <v>#NAME?</v>
      </c>
      <c r="F962" s="9">
        <f t="shared" ca="1" si="143"/>
        <v>1</v>
      </c>
      <c r="G962" s="8">
        <f t="shared" ca="1" si="144"/>
        <v>0</v>
      </c>
      <c r="H962" s="8">
        <f t="shared" ca="1" si="145"/>
        <v>0</v>
      </c>
      <c r="I962" s="8">
        <f t="shared" ca="1" si="146"/>
        <v>0</v>
      </c>
      <c r="J962" s="6" t="e">
        <f ca="1">_xll.xlqxhSMA($C962,$L$4,$J$7,$K$3)</f>
        <v>#NAME?</v>
      </c>
      <c r="K962" s="7" t="e">
        <f ca="1">_xll.xlqhClose($C962,K$8,$K$3)</f>
        <v>#NAME?</v>
      </c>
      <c r="L962" s="7" t="e">
        <f ca="1">_xll.xlqhClose($C962,L$8,$K$3)</f>
        <v>#NAME?</v>
      </c>
      <c r="N962" s="9">
        <f t="shared" ca="1" si="147"/>
        <v>1</v>
      </c>
      <c r="O962" s="9">
        <f t="shared" ca="1" si="148"/>
        <v>1</v>
      </c>
      <c r="P962" s="9">
        <f t="shared" ca="1" si="149"/>
        <v>1</v>
      </c>
      <c r="Q962" s="9">
        <f t="shared" ca="1" si="150"/>
        <v>1</v>
      </c>
      <c r="R962" s="9">
        <f t="shared" ca="1" si="151"/>
        <v>0</v>
      </c>
    </row>
    <row r="963" spans="2:18" x14ac:dyDescent="0.25">
      <c r="B963" t="s">
        <v>1347</v>
      </c>
      <c r="C963" s="39" t="s">
        <v>1348</v>
      </c>
      <c r="D963" s="7" t="e">
        <f ca="1">_xll.xlqPrice(C963)</f>
        <v>#NAME?</v>
      </c>
      <c r="E963" s="9" t="e">
        <f t="shared" ca="1" si="142"/>
        <v>#NAME?</v>
      </c>
      <c r="F963" s="9">
        <f t="shared" ca="1" si="143"/>
        <v>1</v>
      </c>
      <c r="G963" s="8">
        <f t="shared" ca="1" si="144"/>
        <v>0</v>
      </c>
      <c r="H963" s="8">
        <f t="shared" ca="1" si="145"/>
        <v>0</v>
      </c>
      <c r="I963" s="8">
        <f t="shared" ca="1" si="146"/>
        <v>0</v>
      </c>
      <c r="J963" s="6" t="e">
        <f ca="1">_xll.xlqxhSMA($C963,$L$4,$J$7,$K$3)</f>
        <v>#NAME?</v>
      </c>
      <c r="K963" s="7" t="e">
        <f ca="1">_xll.xlqhClose($C963,K$8,$K$3)</f>
        <v>#NAME?</v>
      </c>
      <c r="L963" s="7" t="e">
        <f ca="1">_xll.xlqhClose($C963,L$8,$K$3)</f>
        <v>#NAME?</v>
      </c>
      <c r="N963" s="9">
        <f t="shared" ca="1" si="147"/>
        <v>1</v>
      </c>
      <c r="O963" s="9">
        <f t="shared" ca="1" si="148"/>
        <v>1</v>
      </c>
      <c r="P963" s="9">
        <f t="shared" ca="1" si="149"/>
        <v>1</v>
      </c>
      <c r="Q963" s="9">
        <f t="shared" ca="1" si="150"/>
        <v>1</v>
      </c>
      <c r="R963" s="9">
        <f t="shared" ca="1" si="151"/>
        <v>0</v>
      </c>
    </row>
    <row r="964" spans="2:18" x14ac:dyDescent="0.25">
      <c r="B964" t="s">
        <v>1809</v>
      </c>
      <c r="C964" s="39" t="s">
        <v>1810</v>
      </c>
      <c r="D964" s="7" t="e">
        <f ca="1">_xll.xlqPrice(C964)</f>
        <v>#NAME?</v>
      </c>
      <c r="E964" s="9" t="e">
        <f t="shared" ca="1" si="142"/>
        <v>#NAME?</v>
      </c>
      <c r="F964" s="9">
        <f t="shared" ca="1" si="143"/>
        <v>1</v>
      </c>
      <c r="G964" s="8">
        <f t="shared" ca="1" si="144"/>
        <v>0</v>
      </c>
      <c r="H964" s="8">
        <f t="shared" ca="1" si="145"/>
        <v>0</v>
      </c>
      <c r="I964" s="8">
        <f t="shared" ca="1" si="146"/>
        <v>0</v>
      </c>
      <c r="J964" s="6" t="e">
        <f ca="1">_xll.xlqxhSMA($C964,$L$4,$J$7,$K$3)</f>
        <v>#NAME?</v>
      </c>
      <c r="K964" s="7" t="e">
        <f ca="1">_xll.xlqhClose($C964,K$8,$K$3)</f>
        <v>#NAME?</v>
      </c>
      <c r="L964" s="7" t="e">
        <f ca="1">_xll.xlqhClose($C964,L$8,$K$3)</f>
        <v>#NAME?</v>
      </c>
      <c r="N964" s="9">
        <f t="shared" ca="1" si="147"/>
        <v>1</v>
      </c>
      <c r="O964" s="9">
        <f t="shared" ca="1" si="148"/>
        <v>1</v>
      </c>
      <c r="P964" s="9">
        <f t="shared" ca="1" si="149"/>
        <v>1</v>
      </c>
      <c r="Q964" s="9">
        <f t="shared" ca="1" si="150"/>
        <v>1</v>
      </c>
      <c r="R964" s="9">
        <f t="shared" ca="1" si="151"/>
        <v>0</v>
      </c>
    </row>
    <row r="965" spans="2:18" x14ac:dyDescent="0.25">
      <c r="B965" t="s">
        <v>1395</v>
      </c>
      <c r="C965" s="39" t="s">
        <v>1396</v>
      </c>
      <c r="D965" s="7" t="e">
        <f ca="1">_xll.xlqPrice(C965)</f>
        <v>#NAME?</v>
      </c>
      <c r="E965" s="9" t="e">
        <f t="shared" ca="1" si="142"/>
        <v>#NAME?</v>
      </c>
      <c r="F965" s="9">
        <f t="shared" ca="1" si="143"/>
        <v>1</v>
      </c>
      <c r="G965" s="8">
        <f t="shared" ca="1" si="144"/>
        <v>0</v>
      </c>
      <c r="H965" s="8">
        <f t="shared" ca="1" si="145"/>
        <v>0</v>
      </c>
      <c r="I965" s="8">
        <f t="shared" ca="1" si="146"/>
        <v>0</v>
      </c>
      <c r="J965" s="6" t="e">
        <f ca="1">_xll.xlqxhSMA($C965,$L$4,$J$7,$K$3)</f>
        <v>#NAME?</v>
      </c>
      <c r="K965" s="7" t="e">
        <f ca="1">_xll.xlqhClose($C965,K$8,$K$3)</f>
        <v>#NAME?</v>
      </c>
      <c r="L965" s="7" t="e">
        <f ca="1">_xll.xlqhClose($C965,L$8,$K$3)</f>
        <v>#NAME?</v>
      </c>
      <c r="N965" s="9">
        <f t="shared" ca="1" si="147"/>
        <v>1</v>
      </c>
      <c r="O965" s="9">
        <f t="shared" ca="1" si="148"/>
        <v>1</v>
      </c>
      <c r="P965" s="9">
        <f t="shared" ca="1" si="149"/>
        <v>1</v>
      </c>
      <c r="Q965" s="9">
        <f t="shared" ca="1" si="150"/>
        <v>1</v>
      </c>
      <c r="R965" s="9">
        <f t="shared" ca="1" si="151"/>
        <v>0</v>
      </c>
    </row>
    <row r="966" spans="2:18" x14ac:dyDescent="0.25">
      <c r="B966" t="s">
        <v>1561</v>
      </c>
      <c r="C966" s="39" t="s">
        <v>1562</v>
      </c>
      <c r="D966" s="7" t="e">
        <f ca="1">_xll.xlqPrice(C966)</f>
        <v>#NAME?</v>
      </c>
      <c r="E966" s="9" t="e">
        <f t="shared" ca="1" si="142"/>
        <v>#NAME?</v>
      </c>
      <c r="F966" s="9">
        <f t="shared" ca="1" si="143"/>
        <v>1</v>
      </c>
      <c r="G966" s="8">
        <f t="shared" ca="1" si="144"/>
        <v>0</v>
      </c>
      <c r="H966" s="8">
        <f t="shared" ca="1" si="145"/>
        <v>0</v>
      </c>
      <c r="I966" s="8">
        <f t="shared" ca="1" si="146"/>
        <v>0</v>
      </c>
      <c r="J966" s="6" t="e">
        <f ca="1">_xll.xlqxhSMA($C966,$L$4,$J$7,$K$3)</f>
        <v>#NAME?</v>
      </c>
      <c r="K966" s="7" t="e">
        <f ca="1">_xll.xlqhClose($C966,K$8,$K$3)</f>
        <v>#NAME?</v>
      </c>
      <c r="L966" s="7" t="e">
        <f ca="1">_xll.xlqhClose($C966,L$8,$K$3)</f>
        <v>#NAME?</v>
      </c>
      <c r="N966" s="9">
        <f t="shared" ca="1" si="147"/>
        <v>1</v>
      </c>
      <c r="O966" s="9">
        <f t="shared" ca="1" si="148"/>
        <v>1</v>
      </c>
      <c r="P966" s="9">
        <f t="shared" ca="1" si="149"/>
        <v>1</v>
      </c>
      <c r="Q966" s="9">
        <f t="shared" ca="1" si="150"/>
        <v>1</v>
      </c>
      <c r="R966" s="9">
        <f t="shared" ca="1" si="151"/>
        <v>0</v>
      </c>
    </row>
    <row r="967" spans="2:18" x14ac:dyDescent="0.25">
      <c r="B967" s="17" t="s">
        <v>1645</v>
      </c>
      <c r="C967" s="18" t="s">
        <v>1646</v>
      </c>
      <c r="D967" s="7" t="e">
        <f ca="1">_xll.xlqPrice(C967)</f>
        <v>#NAME?</v>
      </c>
      <c r="E967" s="9" t="e">
        <f t="shared" ca="1" si="142"/>
        <v>#NAME?</v>
      </c>
      <c r="F967" s="9">
        <f t="shared" ca="1" si="143"/>
        <v>1</v>
      </c>
      <c r="G967" s="8">
        <f t="shared" ca="1" si="144"/>
        <v>0</v>
      </c>
      <c r="H967" s="8">
        <f t="shared" ca="1" si="145"/>
        <v>0</v>
      </c>
      <c r="I967" s="8">
        <f t="shared" ca="1" si="146"/>
        <v>0</v>
      </c>
      <c r="J967" s="6" t="e">
        <f ca="1">_xll.xlqxhSMA($C967,$L$4,$J$7,$K$3)</f>
        <v>#NAME?</v>
      </c>
      <c r="K967" s="7" t="e">
        <f ca="1">_xll.xlqhClose($C967,K$8,$K$3)</f>
        <v>#NAME?</v>
      </c>
      <c r="L967" s="7" t="e">
        <f ca="1">_xll.xlqhClose($C967,L$8,$K$3)</f>
        <v>#NAME?</v>
      </c>
      <c r="N967" s="9">
        <f t="shared" ca="1" si="147"/>
        <v>1</v>
      </c>
      <c r="O967" s="9">
        <f t="shared" ca="1" si="148"/>
        <v>1</v>
      </c>
      <c r="P967" s="9">
        <f t="shared" ca="1" si="149"/>
        <v>1</v>
      </c>
      <c r="Q967" s="9">
        <f t="shared" ca="1" si="150"/>
        <v>1</v>
      </c>
      <c r="R967" s="9">
        <f t="shared" ca="1" si="151"/>
        <v>0</v>
      </c>
    </row>
    <row r="968" spans="2:18" x14ac:dyDescent="0.25">
      <c r="B968" s="17" t="s">
        <v>2221</v>
      </c>
      <c r="C968" s="18" t="s">
        <v>2222</v>
      </c>
      <c r="D968" s="7" t="e">
        <f ca="1">_xll.xlqPrice(C968)</f>
        <v>#NAME?</v>
      </c>
      <c r="E968" s="9" t="e">
        <f t="shared" ca="1" si="142"/>
        <v>#NAME?</v>
      </c>
      <c r="F968" s="9">
        <f t="shared" ca="1" si="143"/>
        <v>1</v>
      </c>
      <c r="G968" s="8">
        <f t="shared" ca="1" si="144"/>
        <v>0</v>
      </c>
      <c r="H968" s="8">
        <f t="shared" ca="1" si="145"/>
        <v>0</v>
      </c>
      <c r="I968" s="8">
        <f t="shared" ca="1" si="146"/>
        <v>0</v>
      </c>
      <c r="J968" s="6" t="e">
        <f ca="1">_xll.xlqxhSMA($C968,$L$4,$J$7,$K$3)</f>
        <v>#NAME?</v>
      </c>
      <c r="K968" s="7" t="e">
        <f ca="1">_xll.xlqhClose($C968,K$8,$K$3)</f>
        <v>#NAME?</v>
      </c>
      <c r="L968" s="7" t="e">
        <f ca="1">_xll.xlqhClose($C968,L$8,$K$3)</f>
        <v>#NAME?</v>
      </c>
      <c r="N968" s="9">
        <f t="shared" ca="1" si="147"/>
        <v>1</v>
      </c>
      <c r="O968" s="9">
        <f t="shared" ca="1" si="148"/>
        <v>1</v>
      </c>
      <c r="P968" s="9">
        <f t="shared" ca="1" si="149"/>
        <v>1</v>
      </c>
      <c r="Q968" s="9">
        <f t="shared" ca="1" si="150"/>
        <v>1</v>
      </c>
      <c r="R968" s="9">
        <f t="shared" ca="1" si="151"/>
        <v>0</v>
      </c>
    </row>
    <row r="969" spans="2:18" x14ac:dyDescent="0.25">
      <c r="B969" t="s">
        <v>310</v>
      </c>
      <c r="C969" s="39" t="s">
        <v>311</v>
      </c>
      <c r="D969" s="7" t="e">
        <f ca="1">_xll.xlqPrice(C969)</f>
        <v>#NAME?</v>
      </c>
      <c r="E969" s="9" t="e">
        <f t="shared" ca="1" si="142"/>
        <v>#NAME?</v>
      </c>
      <c r="F969" s="9">
        <f t="shared" ca="1" si="143"/>
        <v>1</v>
      </c>
      <c r="G969" s="8">
        <f t="shared" ca="1" si="144"/>
        <v>0</v>
      </c>
      <c r="H969" s="8">
        <f t="shared" ca="1" si="145"/>
        <v>0</v>
      </c>
      <c r="I969" s="8">
        <f t="shared" ca="1" si="146"/>
        <v>0</v>
      </c>
      <c r="J969" s="6" t="e">
        <f ca="1">_xll.xlqxhSMA($C969,$L$4,$J$7,$K$3)</f>
        <v>#NAME?</v>
      </c>
      <c r="K969" s="7" t="e">
        <f ca="1">_xll.xlqhClose($C969,K$8,$K$3)</f>
        <v>#NAME?</v>
      </c>
      <c r="L969" s="7" t="e">
        <f ca="1">_xll.xlqhClose($C969,L$8,$K$3)</f>
        <v>#NAME?</v>
      </c>
      <c r="N969" s="9">
        <f t="shared" ca="1" si="147"/>
        <v>1</v>
      </c>
      <c r="O969" s="9">
        <f t="shared" ca="1" si="148"/>
        <v>1</v>
      </c>
      <c r="P969" s="9">
        <f t="shared" ca="1" si="149"/>
        <v>1</v>
      </c>
      <c r="Q969" s="9">
        <f t="shared" ca="1" si="150"/>
        <v>1</v>
      </c>
      <c r="R969" s="9">
        <f t="shared" ca="1" si="151"/>
        <v>0</v>
      </c>
    </row>
    <row r="970" spans="2:18" x14ac:dyDescent="0.25">
      <c r="B970" s="17" t="s">
        <v>926</v>
      </c>
      <c r="C970" s="18" t="s">
        <v>927</v>
      </c>
      <c r="D970" s="7" t="e">
        <f ca="1">_xll.xlqPrice(C970)</f>
        <v>#NAME?</v>
      </c>
      <c r="E970" s="9" t="e">
        <f t="shared" ca="1" si="142"/>
        <v>#NAME?</v>
      </c>
      <c r="F970" s="9">
        <f t="shared" ca="1" si="143"/>
        <v>1</v>
      </c>
      <c r="G970" s="8">
        <f t="shared" ca="1" si="144"/>
        <v>0</v>
      </c>
      <c r="H970" s="8">
        <f t="shared" ca="1" si="145"/>
        <v>0</v>
      </c>
      <c r="I970" s="8">
        <f t="shared" ca="1" si="146"/>
        <v>0</v>
      </c>
      <c r="J970" s="6" t="e">
        <f ca="1">_xll.xlqxhSMA($C970,$L$4,$J$7,$K$3)</f>
        <v>#NAME?</v>
      </c>
      <c r="K970" s="7" t="e">
        <f ca="1">_xll.xlqhClose($C970,K$8,$K$3)</f>
        <v>#NAME?</v>
      </c>
      <c r="L970" s="7" t="e">
        <f ca="1">_xll.xlqhClose($C970,L$8,$K$3)</f>
        <v>#NAME?</v>
      </c>
      <c r="N970" s="9">
        <f t="shared" ca="1" si="147"/>
        <v>1</v>
      </c>
      <c r="O970" s="9">
        <f t="shared" ca="1" si="148"/>
        <v>1</v>
      </c>
      <c r="P970" s="9">
        <f t="shared" ca="1" si="149"/>
        <v>1</v>
      </c>
      <c r="Q970" s="9">
        <f t="shared" ca="1" si="150"/>
        <v>1</v>
      </c>
      <c r="R970" s="9">
        <f t="shared" ca="1" si="151"/>
        <v>0</v>
      </c>
    </row>
    <row r="971" spans="2:18" x14ac:dyDescent="0.25">
      <c r="B971" s="17" t="s">
        <v>1009</v>
      </c>
      <c r="C971" s="18" t="s">
        <v>1010</v>
      </c>
      <c r="D971" s="7" t="e">
        <f ca="1">_xll.xlqPrice(C971)</f>
        <v>#NAME?</v>
      </c>
      <c r="E971" s="9" t="e">
        <f t="shared" ref="E971:E1034" ca="1" si="152">IF(D971&gt;J971, "Buy","Cash")</f>
        <v>#NAME?</v>
      </c>
      <c r="F971" s="9">
        <f t="shared" ref="F971:F1034" ca="1" si="153">RANK(I971,$I$11:$I$1138,0)</f>
        <v>1</v>
      </c>
      <c r="G971" s="8">
        <f t="shared" ref="G971:G1034" ca="1" si="154">IFERROR(($D971-K971)/K971,0)</f>
        <v>0</v>
      </c>
      <c r="H971" s="8">
        <f t="shared" ref="H971:H1034" ca="1" si="155">IFERROR(($D971-L971)/L971,0)</f>
        <v>0</v>
      </c>
      <c r="I971" s="8">
        <f t="shared" ref="I971:I1034" ca="1" si="156">IFERROR((G971*$G$8)+(H971*$H$8),0)</f>
        <v>0</v>
      </c>
      <c r="J971" s="6" t="e">
        <f ca="1">_xll.xlqxhSMA($C971,$L$4,$J$7,$K$3)</f>
        <v>#NAME?</v>
      </c>
      <c r="K971" s="7" t="e">
        <f ca="1">_xll.xlqhClose($C971,K$8,$K$3)</f>
        <v>#NAME?</v>
      </c>
      <c r="L971" s="7" t="e">
        <f ca="1">_xll.xlqhClose($C971,L$8,$K$3)</f>
        <v>#NAME?</v>
      </c>
      <c r="N971" s="9">
        <f t="shared" ref="N971:N1034" ca="1" si="157">RANK($G971,G$11:G$1138,0)</f>
        <v>1</v>
      </c>
      <c r="O971" s="9">
        <f t="shared" ref="O971:O1034" ca="1" si="158">RANK($H971,H$11:H$1138,0)</f>
        <v>1</v>
      </c>
      <c r="P971" s="9">
        <f t="shared" ref="P971:P1034" ca="1" si="159">RANK($I971,I$11:I$1138,0)</f>
        <v>1</v>
      </c>
      <c r="Q971" s="9">
        <f t="shared" ref="Q971:Q1034" ca="1" si="160">RANK($P971,P$11:P$1138,1)</f>
        <v>1</v>
      </c>
      <c r="R971" s="9">
        <f t="shared" ref="R971:R1034" ca="1" si="161">F971-Q971</f>
        <v>0</v>
      </c>
    </row>
    <row r="972" spans="2:18" x14ac:dyDescent="0.25">
      <c r="B972" s="17" t="s">
        <v>326</v>
      </c>
      <c r="C972" s="18" t="s">
        <v>327</v>
      </c>
      <c r="D972" s="7" t="e">
        <f ca="1">_xll.xlqPrice(C972)</f>
        <v>#NAME?</v>
      </c>
      <c r="E972" s="9" t="e">
        <f t="shared" ca="1" si="152"/>
        <v>#NAME?</v>
      </c>
      <c r="F972" s="9">
        <f t="shared" ca="1" si="153"/>
        <v>1</v>
      </c>
      <c r="G972" s="8">
        <f t="shared" ca="1" si="154"/>
        <v>0</v>
      </c>
      <c r="H972" s="8">
        <f t="shared" ca="1" si="155"/>
        <v>0</v>
      </c>
      <c r="I972" s="8">
        <f t="shared" ca="1" si="156"/>
        <v>0</v>
      </c>
      <c r="J972" s="6" t="e">
        <f ca="1">_xll.xlqxhSMA($C972,$L$4,$J$7,$K$3)</f>
        <v>#NAME?</v>
      </c>
      <c r="K972" s="7" t="e">
        <f ca="1">_xll.xlqhClose($C972,K$8,$K$3)</f>
        <v>#NAME?</v>
      </c>
      <c r="L972" s="7" t="e">
        <f ca="1">_xll.xlqhClose($C972,L$8,$K$3)</f>
        <v>#NAME?</v>
      </c>
      <c r="N972" s="9">
        <f t="shared" ca="1" si="157"/>
        <v>1</v>
      </c>
      <c r="O972" s="9">
        <f t="shared" ca="1" si="158"/>
        <v>1</v>
      </c>
      <c r="P972" s="9">
        <f t="shared" ca="1" si="159"/>
        <v>1</v>
      </c>
      <c r="Q972" s="9">
        <f t="shared" ca="1" si="160"/>
        <v>1</v>
      </c>
      <c r="R972" s="9">
        <f t="shared" ca="1" si="161"/>
        <v>0</v>
      </c>
    </row>
    <row r="973" spans="2:18" x14ac:dyDescent="0.25">
      <c r="B973" s="17" t="s">
        <v>2057</v>
      </c>
      <c r="C973" s="18" t="s">
        <v>2058</v>
      </c>
      <c r="D973" s="7" t="e">
        <f ca="1">_xll.xlqPrice(C973)</f>
        <v>#NAME?</v>
      </c>
      <c r="E973" s="9" t="e">
        <f t="shared" ca="1" si="152"/>
        <v>#NAME?</v>
      </c>
      <c r="F973" s="9">
        <f t="shared" ca="1" si="153"/>
        <v>1</v>
      </c>
      <c r="G973" s="8">
        <f t="shared" ca="1" si="154"/>
        <v>0</v>
      </c>
      <c r="H973" s="8">
        <f t="shared" ca="1" si="155"/>
        <v>0</v>
      </c>
      <c r="I973" s="8">
        <f t="shared" ca="1" si="156"/>
        <v>0</v>
      </c>
      <c r="J973" s="6" t="e">
        <f ca="1">_xll.xlqxhSMA($C973,$L$4,$J$7,$K$3)</f>
        <v>#NAME?</v>
      </c>
      <c r="K973" s="7" t="e">
        <f ca="1">_xll.xlqhClose($C973,K$8,$K$3)</f>
        <v>#NAME?</v>
      </c>
      <c r="L973" s="7" t="e">
        <f ca="1">_xll.xlqhClose($C973,L$8,$K$3)</f>
        <v>#NAME?</v>
      </c>
      <c r="N973" s="9">
        <f t="shared" ca="1" si="157"/>
        <v>1</v>
      </c>
      <c r="O973" s="9">
        <f t="shared" ca="1" si="158"/>
        <v>1</v>
      </c>
      <c r="P973" s="9">
        <f t="shared" ca="1" si="159"/>
        <v>1</v>
      </c>
      <c r="Q973" s="9">
        <f t="shared" ca="1" si="160"/>
        <v>1</v>
      </c>
      <c r="R973" s="9">
        <f t="shared" ca="1" si="161"/>
        <v>0</v>
      </c>
    </row>
    <row r="974" spans="2:18" x14ac:dyDescent="0.25">
      <c r="B974" s="17" t="s">
        <v>1513</v>
      </c>
      <c r="C974" s="18" t="s">
        <v>1514</v>
      </c>
      <c r="D974" s="7" t="e">
        <f ca="1">_xll.xlqPrice(C974)</f>
        <v>#NAME?</v>
      </c>
      <c r="E974" s="9" t="e">
        <f t="shared" ca="1" si="152"/>
        <v>#NAME?</v>
      </c>
      <c r="F974" s="9">
        <f t="shared" ca="1" si="153"/>
        <v>1</v>
      </c>
      <c r="G974" s="8">
        <f t="shared" ca="1" si="154"/>
        <v>0</v>
      </c>
      <c r="H974" s="8">
        <f t="shared" ca="1" si="155"/>
        <v>0</v>
      </c>
      <c r="I974" s="8">
        <f t="shared" ca="1" si="156"/>
        <v>0</v>
      </c>
      <c r="J974" s="6" t="e">
        <f ca="1">_xll.xlqxhSMA($C974,$L$4,$J$7,$K$3)</f>
        <v>#NAME?</v>
      </c>
      <c r="K974" s="7" t="e">
        <f ca="1">_xll.xlqhClose($C974,K$8,$K$3)</f>
        <v>#NAME?</v>
      </c>
      <c r="L974" s="7" t="e">
        <f ca="1">_xll.xlqhClose($C974,L$8,$K$3)</f>
        <v>#NAME?</v>
      </c>
      <c r="N974" s="9">
        <f t="shared" ca="1" si="157"/>
        <v>1</v>
      </c>
      <c r="O974" s="9">
        <f t="shared" ca="1" si="158"/>
        <v>1</v>
      </c>
      <c r="P974" s="9">
        <f t="shared" ca="1" si="159"/>
        <v>1</v>
      </c>
      <c r="Q974" s="9">
        <f t="shared" ca="1" si="160"/>
        <v>1</v>
      </c>
      <c r="R974" s="9">
        <f t="shared" ca="1" si="161"/>
        <v>0</v>
      </c>
    </row>
    <row r="975" spans="2:18" x14ac:dyDescent="0.25">
      <c r="B975" s="17" t="s">
        <v>336</v>
      </c>
      <c r="C975" s="18" t="s">
        <v>337</v>
      </c>
      <c r="D975" s="7" t="e">
        <f ca="1">_xll.xlqPrice(C975)</f>
        <v>#NAME?</v>
      </c>
      <c r="E975" s="9" t="e">
        <f t="shared" ca="1" si="152"/>
        <v>#NAME?</v>
      </c>
      <c r="F975" s="9">
        <f t="shared" ca="1" si="153"/>
        <v>1</v>
      </c>
      <c r="G975" s="8">
        <f t="shared" ca="1" si="154"/>
        <v>0</v>
      </c>
      <c r="H975" s="8">
        <f t="shared" ca="1" si="155"/>
        <v>0</v>
      </c>
      <c r="I975" s="8">
        <f t="shared" ca="1" si="156"/>
        <v>0</v>
      </c>
      <c r="J975" s="6" t="e">
        <f ca="1">_xll.xlqxhSMA($C975,$L$4,$J$7,$K$3)</f>
        <v>#NAME?</v>
      </c>
      <c r="K975" s="7" t="e">
        <f ca="1">_xll.xlqhClose($C975,K$8,$K$3)</f>
        <v>#NAME?</v>
      </c>
      <c r="L975" s="7" t="e">
        <f ca="1">_xll.xlqhClose($C975,L$8,$K$3)</f>
        <v>#NAME?</v>
      </c>
      <c r="N975" s="9">
        <f t="shared" ca="1" si="157"/>
        <v>1</v>
      </c>
      <c r="O975" s="9">
        <f t="shared" ca="1" si="158"/>
        <v>1</v>
      </c>
      <c r="P975" s="9">
        <f t="shared" ca="1" si="159"/>
        <v>1</v>
      </c>
      <c r="Q975" s="9">
        <f t="shared" ca="1" si="160"/>
        <v>1</v>
      </c>
      <c r="R975" s="9">
        <f t="shared" ca="1" si="161"/>
        <v>0</v>
      </c>
    </row>
    <row r="976" spans="2:18" x14ac:dyDescent="0.25">
      <c r="B976" s="17" t="s">
        <v>1383</v>
      </c>
      <c r="C976" s="18" t="s">
        <v>1384</v>
      </c>
      <c r="D976" s="7" t="e">
        <f ca="1">_xll.xlqPrice(C976)</f>
        <v>#NAME?</v>
      </c>
      <c r="E976" s="9" t="e">
        <f t="shared" ca="1" si="152"/>
        <v>#NAME?</v>
      </c>
      <c r="F976" s="9">
        <f t="shared" ca="1" si="153"/>
        <v>1</v>
      </c>
      <c r="G976" s="8">
        <f t="shared" ca="1" si="154"/>
        <v>0</v>
      </c>
      <c r="H976" s="8">
        <f t="shared" ca="1" si="155"/>
        <v>0</v>
      </c>
      <c r="I976" s="8">
        <f t="shared" ca="1" si="156"/>
        <v>0</v>
      </c>
      <c r="J976" s="6" t="e">
        <f ca="1">_xll.xlqxhSMA($C976,$L$4,$J$7,$K$3)</f>
        <v>#NAME?</v>
      </c>
      <c r="K976" s="7" t="e">
        <f ca="1">_xll.xlqhClose($C976,K$8,$K$3)</f>
        <v>#NAME?</v>
      </c>
      <c r="L976" s="7" t="e">
        <f ca="1">_xll.xlqhClose($C976,L$8,$K$3)</f>
        <v>#NAME?</v>
      </c>
      <c r="N976" s="9">
        <f t="shared" ca="1" si="157"/>
        <v>1</v>
      </c>
      <c r="O976" s="9">
        <f t="shared" ca="1" si="158"/>
        <v>1</v>
      </c>
      <c r="P976" s="9">
        <f t="shared" ca="1" si="159"/>
        <v>1</v>
      </c>
      <c r="Q976" s="9">
        <f t="shared" ca="1" si="160"/>
        <v>1</v>
      </c>
      <c r="R976" s="9">
        <f t="shared" ca="1" si="161"/>
        <v>0</v>
      </c>
    </row>
    <row r="977" spans="2:18" x14ac:dyDescent="0.25">
      <c r="B977" s="17" t="s">
        <v>554</v>
      </c>
      <c r="C977" s="18" t="s">
        <v>555</v>
      </c>
      <c r="D977" s="7" t="e">
        <f ca="1">_xll.xlqPrice(C977)</f>
        <v>#NAME?</v>
      </c>
      <c r="E977" s="9" t="e">
        <f t="shared" ca="1" si="152"/>
        <v>#NAME?</v>
      </c>
      <c r="F977" s="9">
        <f t="shared" ca="1" si="153"/>
        <v>1</v>
      </c>
      <c r="G977" s="8">
        <f t="shared" ca="1" si="154"/>
        <v>0</v>
      </c>
      <c r="H977" s="8">
        <f t="shared" ca="1" si="155"/>
        <v>0</v>
      </c>
      <c r="I977" s="8">
        <f t="shared" ca="1" si="156"/>
        <v>0</v>
      </c>
      <c r="J977" s="6" t="e">
        <f ca="1">_xll.xlqxhSMA($C977,$L$4,$J$7,$K$3)</f>
        <v>#NAME?</v>
      </c>
      <c r="K977" s="7" t="e">
        <f ca="1">_xll.xlqhClose($C977,K$8,$K$3)</f>
        <v>#NAME?</v>
      </c>
      <c r="L977" s="7" t="e">
        <f ca="1">_xll.xlqhClose($C977,L$8,$K$3)</f>
        <v>#NAME?</v>
      </c>
      <c r="N977" s="9">
        <f t="shared" ca="1" si="157"/>
        <v>1</v>
      </c>
      <c r="O977" s="9">
        <f t="shared" ca="1" si="158"/>
        <v>1</v>
      </c>
      <c r="P977" s="9">
        <f t="shared" ca="1" si="159"/>
        <v>1</v>
      </c>
      <c r="Q977" s="9">
        <f t="shared" ca="1" si="160"/>
        <v>1</v>
      </c>
      <c r="R977" s="9">
        <f t="shared" ca="1" si="161"/>
        <v>0</v>
      </c>
    </row>
    <row r="978" spans="2:18" x14ac:dyDescent="0.25">
      <c r="B978" t="s">
        <v>1629</v>
      </c>
      <c r="C978" s="39" t="s">
        <v>1630</v>
      </c>
      <c r="D978" s="7" t="e">
        <f ca="1">_xll.xlqPrice(C978)</f>
        <v>#NAME?</v>
      </c>
      <c r="E978" s="9" t="e">
        <f t="shared" ca="1" si="152"/>
        <v>#NAME?</v>
      </c>
      <c r="F978" s="9">
        <f t="shared" ca="1" si="153"/>
        <v>1</v>
      </c>
      <c r="G978" s="8">
        <f t="shared" ca="1" si="154"/>
        <v>0</v>
      </c>
      <c r="H978" s="8">
        <f t="shared" ca="1" si="155"/>
        <v>0</v>
      </c>
      <c r="I978" s="8">
        <f t="shared" ca="1" si="156"/>
        <v>0</v>
      </c>
      <c r="J978" s="6" t="e">
        <f ca="1">_xll.xlqxhSMA($C978,$L$4,$J$7,$K$3)</f>
        <v>#NAME?</v>
      </c>
      <c r="K978" s="7" t="e">
        <f ca="1">_xll.xlqhClose($C978,K$8,$K$3)</f>
        <v>#NAME?</v>
      </c>
      <c r="L978" s="7" t="e">
        <f ca="1">_xll.xlqhClose($C978,L$8,$K$3)</f>
        <v>#NAME?</v>
      </c>
      <c r="N978" s="9">
        <f t="shared" ca="1" si="157"/>
        <v>1</v>
      </c>
      <c r="O978" s="9">
        <f t="shared" ca="1" si="158"/>
        <v>1</v>
      </c>
      <c r="P978" s="9">
        <f t="shared" ca="1" si="159"/>
        <v>1</v>
      </c>
      <c r="Q978" s="9">
        <f t="shared" ca="1" si="160"/>
        <v>1</v>
      </c>
      <c r="R978" s="9">
        <f t="shared" ca="1" si="161"/>
        <v>0</v>
      </c>
    </row>
    <row r="979" spans="2:18" x14ac:dyDescent="0.25">
      <c r="B979" s="17" t="s">
        <v>1163</v>
      </c>
      <c r="C979" s="18" t="s">
        <v>1164</v>
      </c>
      <c r="D979" s="7" t="e">
        <f ca="1">_xll.xlqPrice(C979)</f>
        <v>#NAME?</v>
      </c>
      <c r="E979" s="9" t="e">
        <f t="shared" ca="1" si="152"/>
        <v>#NAME?</v>
      </c>
      <c r="F979" s="9">
        <f t="shared" ca="1" si="153"/>
        <v>1</v>
      </c>
      <c r="G979" s="8">
        <f t="shared" ca="1" si="154"/>
        <v>0</v>
      </c>
      <c r="H979" s="8">
        <f t="shared" ca="1" si="155"/>
        <v>0</v>
      </c>
      <c r="I979" s="8">
        <f t="shared" ca="1" si="156"/>
        <v>0</v>
      </c>
      <c r="J979" s="6" t="e">
        <f ca="1">_xll.xlqxhSMA($C979,$L$4,$J$7,$K$3)</f>
        <v>#NAME?</v>
      </c>
      <c r="K979" s="7" t="e">
        <f ca="1">_xll.xlqhClose($C979,K$8,$K$3)</f>
        <v>#NAME?</v>
      </c>
      <c r="L979" s="7" t="e">
        <f ca="1">_xll.xlqhClose($C979,L$8,$K$3)</f>
        <v>#NAME?</v>
      </c>
      <c r="N979" s="9">
        <f t="shared" ca="1" si="157"/>
        <v>1</v>
      </c>
      <c r="O979" s="9">
        <f t="shared" ca="1" si="158"/>
        <v>1</v>
      </c>
      <c r="P979" s="9">
        <f t="shared" ca="1" si="159"/>
        <v>1</v>
      </c>
      <c r="Q979" s="9">
        <f t="shared" ca="1" si="160"/>
        <v>1</v>
      </c>
      <c r="R979" s="9">
        <f t="shared" ca="1" si="161"/>
        <v>0</v>
      </c>
    </row>
    <row r="980" spans="2:18" x14ac:dyDescent="0.25">
      <c r="B980" s="17" t="s">
        <v>640</v>
      </c>
      <c r="C980" s="18" t="s">
        <v>641</v>
      </c>
      <c r="D980" s="7" t="e">
        <f ca="1">_xll.xlqPrice(C980)</f>
        <v>#NAME?</v>
      </c>
      <c r="E980" s="9" t="e">
        <f t="shared" ca="1" si="152"/>
        <v>#NAME?</v>
      </c>
      <c r="F980" s="9">
        <f t="shared" ca="1" si="153"/>
        <v>1</v>
      </c>
      <c r="G980" s="8">
        <f t="shared" ca="1" si="154"/>
        <v>0</v>
      </c>
      <c r="H980" s="8">
        <f t="shared" ca="1" si="155"/>
        <v>0</v>
      </c>
      <c r="I980" s="8">
        <f t="shared" ca="1" si="156"/>
        <v>0</v>
      </c>
      <c r="J980" s="6" t="e">
        <f ca="1">_xll.xlqxhSMA($C980,$L$4,$J$7,$K$3)</f>
        <v>#NAME?</v>
      </c>
      <c r="K980" s="7" t="e">
        <f ca="1">_xll.xlqhClose($C980,K$8,$K$3)</f>
        <v>#NAME?</v>
      </c>
      <c r="L980" s="7" t="e">
        <f ca="1">_xll.xlqhClose($C980,L$8,$K$3)</f>
        <v>#NAME?</v>
      </c>
      <c r="N980" s="9">
        <f t="shared" ca="1" si="157"/>
        <v>1</v>
      </c>
      <c r="O980" s="9">
        <f t="shared" ca="1" si="158"/>
        <v>1</v>
      </c>
      <c r="P980" s="9">
        <f t="shared" ca="1" si="159"/>
        <v>1</v>
      </c>
      <c r="Q980" s="9">
        <f t="shared" ca="1" si="160"/>
        <v>1</v>
      </c>
      <c r="R980" s="9">
        <f t="shared" ca="1" si="161"/>
        <v>0</v>
      </c>
    </row>
    <row r="981" spans="2:18" x14ac:dyDescent="0.25">
      <c r="B981" s="17" t="s">
        <v>586</v>
      </c>
      <c r="C981" s="18" t="s">
        <v>587</v>
      </c>
      <c r="D981" s="7" t="e">
        <f ca="1">_xll.xlqPrice(C981)</f>
        <v>#NAME?</v>
      </c>
      <c r="E981" s="9" t="e">
        <f t="shared" ca="1" si="152"/>
        <v>#NAME?</v>
      </c>
      <c r="F981" s="9">
        <f t="shared" ca="1" si="153"/>
        <v>1</v>
      </c>
      <c r="G981" s="8">
        <f t="shared" ca="1" si="154"/>
        <v>0</v>
      </c>
      <c r="H981" s="8">
        <f t="shared" ca="1" si="155"/>
        <v>0</v>
      </c>
      <c r="I981" s="8">
        <f t="shared" ca="1" si="156"/>
        <v>0</v>
      </c>
      <c r="J981" s="6" t="e">
        <f ca="1">_xll.xlqxhSMA($C981,$L$4,$J$7,$K$3)</f>
        <v>#NAME?</v>
      </c>
      <c r="K981" s="7" t="e">
        <f ca="1">_xll.xlqhClose($C981,K$8,$K$3)</f>
        <v>#NAME?</v>
      </c>
      <c r="L981" s="7" t="e">
        <f ca="1">_xll.xlqhClose($C981,L$8,$K$3)</f>
        <v>#NAME?</v>
      </c>
      <c r="N981" s="9">
        <f t="shared" ca="1" si="157"/>
        <v>1</v>
      </c>
      <c r="O981" s="9">
        <f t="shared" ca="1" si="158"/>
        <v>1</v>
      </c>
      <c r="P981" s="9">
        <f t="shared" ca="1" si="159"/>
        <v>1</v>
      </c>
      <c r="Q981" s="9">
        <f t="shared" ca="1" si="160"/>
        <v>1</v>
      </c>
      <c r="R981" s="9">
        <f t="shared" ca="1" si="161"/>
        <v>0</v>
      </c>
    </row>
    <row r="982" spans="2:18" x14ac:dyDescent="0.25">
      <c r="B982" s="17" t="s">
        <v>614</v>
      </c>
      <c r="C982" s="18" t="s">
        <v>615</v>
      </c>
      <c r="D982" s="7" t="e">
        <f ca="1">_xll.xlqPrice(C982)</f>
        <v>#NAME?</v>
      </c>
      <c r="E982" s="9" t="e">
        <f t="shared" ca="1" si="152"/>
        <v>#NAME?</v>
      </c>
      <c r="F982" s="9">
        <f t="shared" ca="1" si="153"/>
        <v>1</v>
      </c>
      <c r="G982" s="8">
        <f t="shared" ca="1" si="154"/>
        <v>0</v>
      </c>
      <c r="H982" s="8">
        <f t="shared" ca="1" si="155"/>
        <v>0</v>
      </c>
      <c r="I982" s="8">
        <f t="shared" ca="1" si="156"/>
        <v>0</v>
      </c>
      <c r="J982" s="6" t="e">
        <f ca="1">_xll.xlqxhSMA($C982,$L$4,$J$7,$K$3)</f>
        <v>#NAME?</v>
      </c>
      <c r="K982" s="7" t="e">
        <f ca="1">_xll.xlqhClose($C982,K$8,$K$3)</f>
        <v>#NAME?</v>
      </c>
      <c r="L982" s="7" t="e">
        <f ca="1">_xll.xlqhClose($C982,L$8,$K$3)</f>
        <v>#NAME?</v>
      </c>
      <c r="N982" s="9">
        <f t="shared" ca="1" si="157"/>
        <v>1</v>
      </c>
      <c r="O982" s="9">
        <f t="shared" ca="1" si="158"/>
        <v>1</v>
      </c>
      <c r="P982" s="9">
        <f t="shared" ca="1" si="159"/>
        <v>1</v>
      </c>
      <c r="Q982" s="9">
        <f t="shared" ca="1" si="160"/>
        <v>1</v>
      </c>
      <c r="R982" s="9">
        <f t="shared" ca="1" si="161"/>
        <v>0</v>
      </c>
    </row>
    <row r="983" spans="2:18" x14ac:dyDescent="0.25">
      <c r="B983" s="17" t="s">
        <v>1511</v>
      </c>
      <c r="C983" s="18" t="s">
        <v>1512</v>
      </c>
      <c r="D983" s="7" t="e">
        <f ca="1">_xll.xlqPrice(C983)</f>
        <v>#NAME?</v>
      </c>
      <c r="E983" s="9" t="e">
        <f t="shared" ca="1" si="152"/>
        <v>#NAME?</v>
      </c>
      <c r="F983" s="9">
        <f t="shared" ca="1" si="153"/>
        <v>1</v>
      </c>
      <c r="G983" s="8">
        <f t="shared" ca="1" si="154"/>
        <v>0</v>
      </c>
      <c r="H983" s="8">
        <f t="shared" ca="1" si="155"/>
        <v>0</v>
      </c>
      <c r="I983" s="8">
        <f t="shared" ca="1" si="156"/>
        <v>0</v>
      </c>
      <c r="J983" s="6" t="e">
        <f ca="1">_xll.xlqxhSMA($C983,$L$4,$J$7,$K$3)</f>
        <v>#NAME?</v>
      </c>
      <c r="K983" s="7" t="e">
        <f ca="1">_xll.xlqhClose($C983,K$8,$K$3)</f>
        <v>#NAME?</v>
      </c>
      <c r="L983" s="7" t="e">
        <f ca="1">_xll.xlqhClose($C983,L$8,$K$3)</f>
        <v>#NAME?</v>
      </c>
      <c r="N983" s="9">
        <f t="shared" ca="1" si="157"/>
        <v>1</v>
      </c>
      <c r="O983" s="9">
        <f t="shared" ca="1" si="158"/>
        <v>1</v>
      </c>
      <c r="P983" s="9">
        <f t="shared" ca="1" si="159"/>
        <v>1</v>
      </c>
      <c r="Q983" s="9">
        <f t="shared" ca="1" si="160"/>
        <v>1</v>
      </c>
      <c r="R983" s="9">
        <f t="shared" ca="1" si="161"/>
        <v>0</v>
      </c>
    </row>
    <row r="984" spans="2:18" x14ac:dyDescent="0.25">
      <c r="B984" s="17" t="s">
        <v>152</v>
      </c>
      <c r="C984" s="18" t="s">
        <v>153</v>
      </c>
      <c r="D984" s="7" t="e">
        <f ca="1">_xll.xlqPrice(C984)</f>
        <v>#NAME?</v>
      </c>
      <c r="E984" s="9" t="e">
        <f t="shared" ca="1" si="152"/>
        <v>#NAME?</v>
      </c>
      <c r="F984" s="9">
        <f t="shared" ca="1" si="153"/>
        <v>1</v>
      </c>
      <c r="G984" s="8">
        <f t="shared" ca="1" si="154"/>
        <v>0</v>
      </c>
      <c r="H984" s="8">
        <f t="shared" ca="1" si="155"/>
        <v>0</v>
      </c>
      <c r="I984" s="8">
        <f t="shared" ca="1" si="156"/>
        <v>0</v>
      </c>
      <c r="J984" s="6" t="e">
        <f ca="1">_xll.xlqxhSMA($C984,$L$4,$J$7,$K$3)</f>
        <v>#NAME?</v>
      </c>
      <c r="K984" s="7" t="e">
        <f ca="1">_xll.xlqhClose($C984,K$8,$K$3)</f>
        <v>#NAME?</v>
      </c>
      <c r="L984" s="7" t="e">
        <f ca="1">_xll.xlqhClose($C984,L$8,$K$3)</f>
        <v>#NAME?</v>
      </c>
      <c r="N984" s="9">
        <f t="shared" ca="1" si="157"/>
        <v>1</v>
      </c>
      <c r="O984" s="9">
        <f t="shared" ca="1" si="158"/>
        <v>1</v>
      </c>
      <c r="P984" s="9">
        <f t="shared" ca="1" si="159"/>
        <v>1</v>
      </c>
      <c r="Q984" s="9">
        <f t="shared" ca="1" si="160"/>
        <v>1</v>
      </c>
      <c r="R984" s="9">
        <f t="shared" ca="1" si="161"/>
        <v>0</v>
      </c>
    </row>
    <row r="985" spans="2:18" x14ac:dyDescent="0.25">
      <c r="B985" s="17" t="s">
        <v>348</v>
      </c>
      <c r="C985" s="18" t="s">
        <v>349</v>
      </c>
      <c r="D985" s="7" t="e">
        <f ca="1">_xll.xlqPrice(C985)</f>
        <v>#NAME?</v>
      </c>
      <c r="E985" s="9" t="e">
        <f t="shared" ca="1" si="152"/>
        <v>#NAME?</v>
      </c>
      <c r="F985" s="9">
        <f t="shared" ca="1" si="153"/>
        <v>1</v>
      </c>
      <c r="G985" s="8">
        <f t="shared" ca="1" si="154"/>
        <v>0</v>
      </c>
      <c r="H985" s="8">
        <f t="shared" ca="1" si="155"/>
        <v>0</v>
      </c>
      <c r="I985" s="8">
        <f t="shared" ca="1" si="156"/>
        <v>0</v>
      </c>
      <c r="J985" s="6" t="e">
        <f ca="1">_xll.xlqxhSMA($C985,$L$4,$J$7,$K$3)</f>
        <v>#NAME?</v>
      </c>
      <c r="K985" s="7" t="e">
        <f ca="1">_xll.xlqhClose($C985,K$8,$K$3)</f>
        <v>#NAME?</v>
      </c>
      <c r="L985" s="7" t="e">
        <f ca="1">_xll.xlqhClose($C985,L$8,$K$3)</f>
        <v>#NAME?</v>
      </c>
      <c r="N985" s="9">
        <f t="shared" ca="1" si="157"/>
        <v>1</v>
      </c>
      <c r="O985" s="9">
        <f t="shared" ca="1" si="158"/>
        <v>1</v>
      </c>
      <c r="P985" s="9">
        <f t="shared" ca="1" si="159"/>
        <v>1</v>
      </c>
      <c r="Q985" s="9">
        <f t="shared" ca="1" si="160"/>
        <v>1</v>
      </c>
      <c r="R985" s="9">
        <f t="shared" ca="1" si="161"/>
        <v>0</v>
      </c>
    </row>
    <row r="986" spans="2:18" x14ac:dyDescent="0.25">
      <c r="B986" t="s">
        <v>1055</v>
      </c>
      <c r="C986" s="39" t="s">
        <v>1056</v>
      </c>
      <c r="D986" s="7" t="e">
        <f ca="1">_xll.xlqPrice(C986)</f>
        <v>#NAME?</v>
      </c>
      <c r="E986" s="9" t="e">
        <f t="shared" ca="1" si="152"/>
        <v>#NAME?</v>
      </c>
      <c r="F986" s="9">
        <f t="shared" ca="1" si="153"/>
        <v>1</v>
      </c>
      <c r="G986" s="8">
        <f t="shared" ca="1" si="154"/>
        <v>0</v>
      </c>
      <c r="H986" s="8">
        <f t="shared" ca="1" si="155"/>
        <v>0</v>
      </c>
      <c r="I986" s="8">
        <f t="shared" ca="1" si="156"/>
        <v>0</v>
      </c>
      <c r="J986" s="6" t="e">
        <f ca="1">_xll.xlqxhSMA($C986,$L$4,$J$7,$K$3)</f>
        <v>#NAME?</v>
      </c>
      <c r="K986" s="7" t="e">
        <f ca="1">_xll.xlqhClose($C986,K$8,$K$3)</f>
        <v>#NAME?</v>
      </c>
      <c r="L986" s="7" t="e">
        <f ca="1">_xll.xlqhClose($C986,L$8,$K$3)</f>
        <v>#NAME?</v>
      </c>
      <c r="N986" s="9">
        <f t="shared" ca="1" si="157"/>
        <v>1</v>
      </c>
      <c r="O986" s="9">
        <f t="shared" ca="1" si="158"/>
        <v>1</v>
      </c>
      <c r="P986" s="9">
        <f t="shared" ca="1" si="159"/>
        <v>1</v>
      </c>
      <c r="Q986" s="9">
        <f t="shared" ca="1" si="160"/>
        <v>1</v>
      </c>
      <c r="R986" s="9">
        <f t="shared" ca="1" si="161"/>
        <v>0</v>
      </c>
    </row>
    <row r="987" spans="2:18" x14ac:dyDescent="0.25">
      <c r="B987" t="s">
        <v>1479</v>
      </c>
      <c r="C987" s="39" t="s">
        <v>1480</v>
      </c>
      <c r="D987" s="7" t="e">
        <f ca="1">_xll.xlqPrice(C987)</f>
        <v>#NAME?</v>
      </c>
      <c r="E987" s="9" t="e">
        <f t="shared" ca="1" si="152"/>
        <v>#NAME?</v>
      </c>
      <c r="F987" s="9">
        <f t="shared" ca="1" si="153"/>
        <v>1</v>
      </c>
      <c r="G987" s="8">
        <f t="shared" ca="1" si="154"/>
        <v>0</v>
      </c>
      <c r="H987" s="8">
        <f t="shared" ca="1" si="155"/>
        <v>0</v>
      </c>
      <c r="I987" s="8">
        <f t="shared" ca="1" si="156"/>
        <v>0</v>
      </c>
      <c r="J987" s="6" t="e">
        <f ca="1">_xll.xlqxhSMA($C987,$L$4,$J$7,$K$3)</f>
        <v>#NAME?</v>
      </c>
      <c r="K987" s="7" t="e">
        <f ca="1">_xll.xlqhClose($C987,K$8,$K$3)</f>
        <v>#NAME?</v>
      </c>
      <c r="L987" s="7" t="e">
        <f ca="1">_xll.xlqhClose($C987,L$8,$K$3)</f>
        <v>#NAME?</v>
      </c>
      <c r="N987" s="9">
        <f t="shared" ca="1" si="157"/>
        <v>1</v>
      </c>
      <c r="O987" s="9">
        <f t="shared" ca="1" si="158"/>
        <v>1</v>
      </c>
      <c r="P987" s="9">
        <f t="shared" ca="1" si="159"/>
        <v>1</v>
      </c>
      <c r="Q987" s="9">
        <f t="shared" ca="1" si="160"/>
        <v>1</v>
      </c>
      <c r="R987" s="9">
        <f t="shared" ca="1" si="161"/>
        <v>0</v>
      </c>
    </row>
    <row r="988" spans="2:18" x14ac:dyDescent="0.25">
      <c r="B988" t="s">
        <v>244</v>
      </c>
      <c r="C988" s="39" t="s">
        <v>245</v>
      </c>
      <c r="D988" s="7" t="e">
        <f ca="1">_xll.xlqPrice(C988)</f>
        <v>#NAME?</v>
      </c>
      <c r="E988" s="9" t="e">
        <f t="shared" ca="1" si="152"/>
        <v>#NAME?</v>
      </c>
      <c r="F988" s="9">
        <f t="shared" ca="1" si="153"/>
        <v>1</v>
      </c>
      <c r="G988" s="8">
        <f t="shared" ca="1" si="154"/>
        <v>0</v>
      </c>
      <c r="H988" s="8">
        <f t="shared" ca="1" si="155"/>
        <v>0</v>
      </c>
      <c r="I988" s="8">
        <f t="shared" ca="1" si="156"/>
        <v>0</v>
      </c>
      <c r="J988" s="6" t="e">
        <f ca="1">_xll.xlqxhSMA($C988,$L$4,$J$7,$K$3)</f>
        <v>#NAME?</v>
      </c>
      <c r="K988" s="7" t="e">
        <f ca="1">_xll.xlqhClose($C988,K$8,$K$3)</f>
        <v>#NAME?</v>
      </c>
      <c r="L988" s="7" t="e">
        <f ca="1">_xll.xlqhClose($C988,L$8,$K$3)</f>
        <v>#NAME?</v>
      </c>
      <c r="N988" s="9">
        <f t="shared" ca="1" si="157"/>
        <v>1</v>
      </c>
      <c r="O988" s="9">
        <f t="shared" ca="1" si="158"/>
        <v>1</v>
      </c>
      <c r="P988" s="9">
        <f t="shared" ca="1" si="159"/>
        <v>1</v>
      </c>
      <c r="Q988" s="9">
        <f t="shared" ca="1" si="160"/>
        <v>1</v>
      </c>
      <c r="R988" s="9">
        <f t="shared" ca="1" si="161"/>
        <v>0</v>
      </c>
    </row>
    <row r="989" spans="2:18" x14ac:dyDescent="0.25">
      <c r="B989" s="17" t="s">
        <v>44</v>
      </c>
      <c r="C989" s="18" t="s">
        <v>21</v>
      </c>
      <c r="D989" s="7" t="e">
        <f ca="1">_xll.xlqPrice(C989)</f>
        <v>#NAME?</v>
      </c>
      <c r="E989" s="9" t="e">
        <f t="shared" ca="1" si="152"/>
        <v>#NAME?</v>
      </c>
      <c r="F989" s="9">
        <f t="shared" ca="1" si="153"/>
        <v>1</v>
      </c>
      <c r="G989" s="8">
        <f t="shared" ca="1" si="154"/>
        <v>0</v>
      </c>
      <c r="H989" s="8">
        <f t="shared" ca="1" si="155"/>
        <v>0</v>
      </c>
      <c r="I989" s="8">
        <f t="shared" ca="1" si="156"/>
        <v>0</v>
      </c>
      <c r="J989" s="6" t="e">
        <f ca="1">_xll.xlqxhSMA($C989,$L$4,$J$7,$K$3)</f>
        <v>#NAME?</v>
      </c>
      <c r="K989" s="7" t="e">
        <f ca="1">_xll.xlqhClose($C989,K$8,$K$3)</f>
        <v>#NAME?</v>
      </c>
      <c r="L989" s="7" t="e">
        <f ca="1">_xll.xlqhClose($C989,L$8,$K$3)</f>
        <v>#NAME?</v>
      </c>
      <c r="N989" s="9">
        <f t="shared" ca="1" si="157"/>
        <v>1</v>
      </c>
      <c r="O989" s="9">
        <f t="shared" ca="1" si="158"/>
        <v>1</v>
      </c>
      <c r="P989" s="9">
        <f t="shared" ca="1" si="159"/>
        <v>1</v>
      </c>
      <c r="Q989" s="9">
        <f t="shared" ca="1" si="160"/>
        <v>1</v>
      </c>
      <c r="R989" s="9">
        <f t="shared" ca="1" si="161"/>
        <v>0</v>
      </c>
    </row>
    <row r="990" spans="2:18" x14ac:dyDescent="0.25">
      <c r="B990" s="17" t="s">
        <v>584</v>
      </c>
      <c r="C990" s="18" t="s">
        <v>585</v>
      </c>
      <c r="D990" s="7" t="e">
        <f ca="1">_xll.xlqPrice(C990)</f>
        <v>#NAME?</v>
      </c>
      <c r="E990" s="9" t="e">
        <f t="shared" ca="1" si="152"/>
        <v>#NAME?</v>
      </c>
      <c r="F990" s="9">
        <f t="shared" ca="1" si="153"/>
        <v>1</v>
      </c>
      <c r="G990" s="8">
        <f t="shared" ca="1" si="154"/>
        <v>0</v>
      </c>
      <c r="H990" s="8">
        <f t="shared" ca="1" si="155"/>
        <v>0</v>
      </c>
      <c r="I990" s="8">
        <f t="shared" ca="1" si="156"/>
        <v>0</v>
      </c>
      <c r="J990" s="6" t="e">
        <f ca="1">_xll.xlqxhSMA($C990,$L$4,$J$7,$K$3)</f>
        <v>#NAME?</v>
      </c>
      <c r="K990" s="7" t="e">
        <f ca="1">_xll.xlqhClose($C990,K$8,$K$3)</f>
        <v>#NAME?</v>
      </c>
      <c r="L990" s="7" t="e">
        <f ca="1">_xll.xlqhClose($C990,L$8,$K$3)</f>
        <v>#NAME?</v>
      </c>
      <c r="N990" s="9">
        <f t="shared" ca="1" si="157"/>
        <v>1</v>
      </c>
      <c r="O990" s="9">
        <f t="shared" ca="1" si="158"/>
        <v>1</v>
      </c>
      <c r="P990" s="9">
        <f t="shared" ca="1" si="159"/>
        <v>1</v>
      </c>
      <c r="Q990" s="9">
        <f t="shared" ca="1" si="160"/>
        <v>1</v>
      </c>
      <c r="R990" s="9">
        <f t="shared" ca="1" si="161"/>
        <v>0</v>
      </c>
    </row>
    <row r="991" spans="2:18" x14ac:dyDescent="0.25">
      <c r="B991" t="s">
        <v>890</v>
      </c>
      <c r="C991" s="39" t="s">
        <v>891</v>
      </c>
      <c r="D991" s="7" t="e">
        <f ca="1">_xll.xlqPrice(C991)</f>
        <v>#NAME?</v>
      </c>
      <c r="E991" s="9" t="e">
        <f t="shared" ca="1" si="152"/>
        <v>#NAME?</v>
      </c>
      <c r="F991" s="9">
        <f t="shared" ca="1" si="153"/>
        <v>1</v>
      </c>
      <c r="G991" s="8">
        <f t="shared" ca="1" si="154"/>
        <v>0</v>
      </c>
      <c r="H991" s="8">
        <f t="shared" ca="1" si="155"/>
        <v>0</v>
      </c>
      <c r="I991" s="8">
        <f t="shared" ca="1" si="156"/>
        <v>0</v>
      </c>
      <c r="J991" s="6" t="e">
        <f ca="1">_xll.xlqxhSMA($C991,$L$4,$J$7,$K$3)</f>
        <v>#NAME?</v>
      </c>
      <c r="K991" s="7" t="e">
        <f ca="1">_xll.xlqhClose($C991,K$8,$K$3)</f>
        <v>#NAME?</v>
      </c>
      <c r="L991" s="7" t="e">
        <f ca="1">_xll.xlqhClose($C991,L$8,$K$3)</f>
        <v>#NAME?</v>
      </c>
      <c r="N991" s="9">
        <f t="shared" ca="1" si="157"/>
        <v>1</v>
      </c>
      <c r="O991" s="9">
        <f t="shared" ca="1" si="158"/>
        <v>1</v>
      </c>
      <c r="P991" s="9">
        <f t="shared" ca="1" si="159"/>
        <v>1</v>
      </c>
      <c r="Q991" s="9">
        <f t="shared" ca="1" si="160"/>
        <v>1</v>
      </c>
      <c r="R991" s="9">
        <f t="shared" ca="1" si="161"/>
        <v>0</v>
      </c>
    </row>
    <row r="992" spans="2:18" x14ac:dyDescent="0.25">
      <c r="B992" t="s">
        <v>1909</v>
      </c>
      <c r="C992" s="39" t="s">
        <v>1910</v>
      </c>
      <c r="D992" s="7" t="e">
        <f ca="1">_xll.xlqPrice(C992)</f>
        <v>#NAME?</v>
      </c>
      <c r="E992" s="9" t="e">
        <f t="shared" ca="1" si="152"/>
        <v>#NAME?</v>
      </c>
      <c r="F992" s="9">
        <f t="shared" ca="1" si="153"/>
        <v>1</v>
      </c>
      <c r="G992" s="8">
        <f t="shared" ca="1" si="154"/>
        <v>0</v>
      </c>
      <c r="H992" s="8">
        <f t="shared" ca="1" si="155"/>
        <v>0</v>
      </c>
      <c r="I992" s="8">
        <f t="shared" ca="1" si="156"/>
        <v>0</v>
      </c>
      <c r="J992" s="6" t="e">
        <f ca="1">_xll.xlqxhSMA($C992,$L$4,$J$7,$K$3)</f>
        <v>#NAME?</v>
      </c>
      <c r="K992" s="7" t="e">
        <f ca="1">_xll.xlqhClose($C992,K$8,$K$3)</f>
        <v>#NAME?</v>
      </c>
      <c r="L992" s="7" t="e">
        <f ca="1">_xll.xlqhClose($C992,L$8,$K$3)</f>
        <v>#NAME?</v>
      </c>
      <c r="N992" s="9">
        <f t="shared" ca="1" si="157"/>
        <v>1</v>
      </c>
      <c r="O992" s="9">
        <f t="shared" ca="1" si="158"/>
        <v>1</v>
      </c>
      <c r="P992" s="9">
        <f t="shared" ca="1" si="159"/>
        <v>1</v>
      </c>
      <c r="Q992" s="9">
        <f t="shared" ca="1" si="160"/>
        <v>1</v>
      </c>
      <c r="R992" s="9">
        <f t="shared" ca="1" si="161"/>
        <v>0</v>
      </c>
    </row>
    <row r="993" spans="2:18" x14ac:dyDescent="0.25">
      <c r="B993" s="17" t="s">
        <v>2177</v>
      </c>
      <c r="C993" s="18" t="s">
        <v>2178</v>
      </c>
      <c r="D993" s="7" t="e">
        <f ca="1">_xll.xlqPrice(C993)</f>
        <v>#NAME?</v>
      </c>
      <c r="E993" s="9" t="e">
        <f t="shared" ca="1" si="152"/>
        <v>#NAME?</v>
      </c>
      <c r="F993" s="9">
        <f t="shared" ca="1" si="153"/>
        <v>1</v>
      </c>
      <c r="G993" s="8">
        <f t="shared" ca="1" si="154"/>
        <v>0</v>
      </c>
      <c r="H993" s="8">
        <f t="shared" ca="1" si="155"/>
        <v>0</v>
      </c>
      <c r="I993" s="8">
        <f t="shared" ca="1" si="156"/>
        <v>0</v>
      </c>
      <c r="J993" s="6" t="e">
        <f ca="1">_xll.xlqxhSMA($C993,$L$4,$J$7,$K$3)</f>
        <v>#NAME?</v>
      </c>
      <c r="K993" s="7" t="e">
        <f ca="1">_xll.xlqhClose($C993,K$8,$K$3)</f>
        <v>#NAME?</v>
      </c>
      <c r="L993" s="7" t="e">
        <f ca="1">_xll.xlqhClose($C993,L$8,$K$3)</f>
        <v>#NAME?</v>
      </c>
      <c r="N993" s="9">
        <f t="shared" ca="1" si="157"/>
        <v>1</v>
      </c>
      <c r="O993" s="9">
        <f t="shared" ca="1" si="158"/>
        <v>1</v>
      </c>
      <c r="P993" s="9">
        <f t="shared" ca="1" si="159"/>
        <v>1</v>
      </c>
      <c r="Q993" s="9">
        <f t="shared" ca="1" si="160"/>
        <v>1</v>
      </c>
      <c r="R993" s="9">
        <f t="shared" ca="1" si="161"/>
        <v>0</v>
      </c>
    </row>
    <row r="994" spans="2:18" x14ac:dyDescent="0.25">
      <c r="B994" s="17" t="s">
        <v>1719</v>
      </c>
      <c r="C994" s="18" t="s">
        <v>1720</v>
      </c>
      <c r="D994" s="7" t="e">
        <f ca="1">_xll.xlqPrice(C994)</f>
        <v>#NAME?</v>
      </c>
      <c r="E994" s="9" t="e">
        <f t="shared" ca="1" si="152"/>
        <v>#NAME?</v>
      </c>
      <c r="F994" s="9">
        <f t="shared" ca="1" si="153"/>
        <v>1</v>
      </c>
      <c r="G994" s="8">
        <f t="shared" ca="1" si="154"/>
        <v>0</v>
      </c>
      <c r="H994" s="8">
        <f t="shared" ca="1" si="155"/>
        <v>0</v>
      </c>
      <c r="I994" s="8">
        <f t="shared" ca="1" si="156"/>
        <v>0</v>
      </c>
      <c r="J994" s="6" t="e">
        <f ca="1">_xll.xlqxhSMA($C994,$L$4,$J$7,$K$3)</f>
        <v>#NAME?</v>
      </c>
      <c r="K994" s="7" t="e">
        <f ca="1">_xll.xlqhClose($C994,K$8,$K$3)</f>
        <v>#NAME?</v>
      </c>
      <c r="L994" s="7" t="e">
        <f ca="1">_xll.xlqhClose($C994,L$8,$K$3)</f>
        <v>#NAME?</v>
      </c>
      <c r="N994" s="9">
        <f t="shared" ca="1" si="157"/>
        <v>1</v>
      </c>
      <c r="O994" s="9">
        <f t="shared" ca="1" si="158"/>
        <v>1</v>
      </c>
      <c r="P994" s="9">
        <f t="shared" ca="1" si="159"/>
        <v>1</v>
      </c>
      <c r="Q994" s="9">
        <f t="shared" ca="1" si="160"/>
        <v>1</v>
      </c>
      <c r="R994" s="9">
        <f t="shared" ca="1" si="161"/>
        <v>0</v>
      </c>
    </row>
    <row r="995" spans="2:18" x14ac:dyDescent="0.25">
      <c r="B995" s="17" t="s">
        <v>2293</v>
      </c>
      <c r="C995" s="18" t="s">
        <v>2294</v>
      </c>
      <c r="D995" s="7" t="e">
        <f ca="1">_xll.xlqPrice(C995)</f>
        <v>#NAME?</v>
      </c>
      <c r="E995" s="9" t="e">
        <f t="shared" ca="1" si="152"/>
        <v>#NAME?</v>
      </c>
      <c r="F995" s="9">
        <f t="shared" ca="1" si="153"/>
        <v>1</v>
      </c>
      <c r="G995" s="8">
        <f t="shared" ca="1" si="154"/>
        <v>0</v>
      </c>
      <c r="H995" s="8">
        <f t="shared" ca="1" si="155"/>
        <v>0</v>
      </c>
      <c r="I995" s="8">
        <f t="shared" ca="1" si="156"/>
        <v>0</v>
      </c>
      <c r="J995" s="6" t="e">
        <f ca="1">_xll.xlqxhSMA($C995,$L$4,$J$7,$K$3)</f>
        <v>#NAME?</v>
      </c>
      <c r="K995" s="7" t="e">
        <f ca="1">_xll.xlqhClose($C995,K$8,$K$3)</f>
        <v>#NAME?</v>
      </c>
      <c r="L995" s="7" t="e">
        <f ca="1">_xll.xlqhClose($C995,L$8,$K$3)</f>
        <v>#NAME?</v>
      </c>
      <c r="N995" s="9">
        <f t="shared" ca="1" si="157"/>
        <v>1</v>
      </c>
      <c r="O995" s="9">
        <f t="shared" ca="1" si="158"/>
        <v>1</v>
      </c>
      <c r="P995" s="9">
        <f t="shared" ca="1" si="159"/>
        <v>1</v>
      </c>
      <c r="Q995" s="9">
        <f t="shared" ca="1" si="160"/>
        <v>1</v>
      </c>
      <c r="R995" s="9">
        <f t="shared" ca="1" si="161"/>
        <v>0</v>
      </c>
    </row>
    <row r="996" spans="2:18" x14ac:dyDescent="0.25">
      <c r="B996" s="17" t="s">
        <v>718</v>
      </c>
      <c r="C996" s="18" t="s">
        <v>719</v>
      </c>
      <c r="D996" s="7" t="e">
        <f ca="1">_xll.xlqPrice(C996)</f>
        <v>#NAME?</v>
      </c>
      <c r="E996" s="9" t="e">
        <f t="shared" ca="1" si="152"/>
        <v>#NAME?</v>
      </c>
      <c r="F996" s="9">
        <f t="shared" ca="1" si="153"/>
        <v>1</v>
      </c>
      <c r="G996" s="8">
        <f t="shared" ca="1" si="154"/>
        <v>0</v>
      </c>
      <c r="H996" s="8">
        <f t="shared" ca="1" si="155"/>
        <v>0</v>
      </c>
      <c r="I996" s="8">
        <f t="shared" ca="1" si="156"/>
        <v>0</v>
      </c>
      <c r="J996" s="6" t="e">
        <f ca="1">_xll.xlqxhSMA($C996,$L$4,$J$7,$K$3)</f>
        <v>#NAME?</v>
      </c>
      <c r="K996" s="7" t="e">
        <f ca="1">_xll.xlqhClose($C996,K$8,$K$3)</f>
        <v>#NAME?</v>
      </c>
      <c r="L996" s="7" t="e">
        <f ca="1">_xll.xlqhClose($C996,L$8,$K$3)</f>
        <v>#NAME?</v>
      </c>
      <c r="N996" s="9">
        <f t="shared" ca="1" si="157"/>
        <v>1</v>
      </c>
      <c r="O996" s="9">
        <f t="shared" ca="1" si="158"/>
        <v>1</v>
      </c>
      <c r="P996" s="9">
        <f t="shared" ca="1" si="159"/>
        <v>1</v>
      </c>
      <c r="Q996" s="9">
        <f t="shared" ca="1" si="160"/>
        <v>1</v>
      </c>
      <c r="R996" s="9">
        <f t="shared" ca="1" si="161"/>
        <v>0</v>
      </c>
    </row>
    <row r="997" spans="2:18" x14ac:dyDescent="0.25">
      <c r="B997" s="17" t="s">
        <v>1677</v>
      </c>
      <c r="C997" s="18" t="s">
        <v>1678</v>
      </c>
      <c r="D997" s="7" t="e">
        <f ca="1">_xll.xlqPrice(C997)</f>
        <v>#NAME?</v>
      </c>
      <c r="E997" s="9" t="e">
        <f t="shared" ca="1" si="152"/>
        <v>#NAME?</v>
      </c>
      <c r="F997" s="9">
        <f t="shared" ca="1" si="153"/>
        <v>1</v>
      </c>
      <c r="G997" s="8">
        <f t="shared" ca="1" si="154"/>
        <v>0</v>
      </c>
      <c r="H997" s="8">
        <f t="shared" ca="1" si="155"/>
        <v>0</v>
      </c>
      <c r="I997" s="8">
        <f t="shared" ca="1" si="156"/>
        <v>0</v>
      </c>
      <c r="J997" s="6" t="e">
        <f ca="1">_xll.xlqxhSMA($C997,$L$4,$J$7,$K$3)</f>
        <v>#NAME?</v>
      </c>
      <c r="K997" s="7" t="e">
        <f ca="1">_xll.xlqhClose($C997,K$8,$K$3)</f>
        <v>#NAME?</v>
      </c>
      <c r="L997" s="7" t="e">
        <f ca="1">_xll.xlqhClose($C997,L$8,$K$3)</f>
        <v>#NAME?</v>
      </c>
      <c r="N997" s="9">
        <f t="shared" ca="1" si="157"/>
        <v>1</v>
      </c>
      <c r="O997" s="9">
        <f t="shared" ca="1" si="158"/>
        <v>1</v>
      </c>
      <c r="P997" s="9">
        <f t="shared" ca="1" si="159"/>
        <v>1</v>
      </c>
      <c r="Q997" s="9">
        <f t="shared" ca="1" si="160"/>
        <v>1</v>
      </c>
      <c r="R997" s="9">
        <f t="shared" ca="1" si="161"/>
        <v>0</v>
      </c>
    </row>
    <row r="998" spans="2:18" x14ac:dyDescent="0.25">
      <c r="B998" s="17" t="s">
        <v>947</v>
      </c>
      <c r="C998" s="18" t="s">
        <v>948</v>
      </c>
      <c r="D998" s="7" t="e">
        <f ca="1">_xll.xlqPrice(C998)</f>
        <v>#NAME?</v>
      </c>
      <c r="E998" s="9" t="e">
        <f t="shared" ca="1" si="152"/>
        <v>#NAME?</v>
      </c>
      <c r="F998" s="9">
        <f t="shared" ca="1" si="153"/>
        <v>1</v>
      </c>
      <c r="G998" s="8">
        <f t="shared" ca="1" si="154"/>
        <v>0</v>
      </c>
      <c r="H998" s="8">
        <f t="shared" ca="1" si="155"/>
        <v>0</v>
      </c>
      <c r="I998" s="8">
        <f t="shared" ca="1" si="156"/>
        <v>0</v>
      </c>
      <c r="J998" s="6" t="e">
        <f ca="1">_xll.xlqxhSMA($C998,$L$4,$J$7,$K$3)</f>
        <v>#NAME?</v>
      </c>
      <c r="K998" s="7" t="e">
        <f ca="1">_xll.xlqhClose($C998,K$8,$K$3)</f>
        <v>#NAME?</v>
      </c>
      <c r="L998" s="7" t="e">
        <f ca="1">_xll.xlqhClose($C998,L$8,$K$3)</f>
        <v>#NAME?</v>
      </c>
      <c r="N998" s="9">
        <f t="shared" ca="1" si="157"/>
        <v>1</v>
      </c>
      <c r="O998" s="9">
        <f t="shared" ca="1" si="158"/>
        <v>1</v>
      </c>
      <c r="P998" s="9">
        <f t="shared" ca="1" si="159"/>
        <v>1</v>
      </c>
      <c r="Q998" s="9">
        <f t="shared" ca="1" si="160"/>
        <v>1</v>
      </c>
      <c r="R998" s="9">
        <f t="shared" ca="1" si="161"/>
        <v>0</v>
      </c>
    </row>
    <row r="999" spans="2:18" x14ac:dyDescent="0.25">
      <c r="B999" s="17" t="s">
        <v>1419</v>
      </c>
      <c r="C999" s="18" t="s">
        <v>1420</v>
      </c>
      <c r="D999" s="7" t="e">
        <f ca="1">_xll.xlqPrice(C999)</f>
        <v>#NAME?</v>
      </c>
      <c r="E999" s="9" t="e">
        <f t="shared" ca="1" si="152"/>
        <v>#NAME?</v>
      </c>
      <c r="F999" s="9">
        <f t="shared" ca="1" si="153"/>
        <v>1</v>
      </c>
      <c r="G999" s="8">
        <f t="shared" ca="1" si="154"/>
        <v>0</v>
      </c>
      <c r="H999" s="8">
        <f t="shared" ca="1" si="155"/>
        <v>0</v>
      </c>
      <c r="I999" s="8">
        <f t="shared" ca="1" si="156"/>
        <v>0</v>
      </c>
      <c r="J999" s="6" t="e">
        <f ca="1">_xll.xlqxhSMA($C999,$L$4,$J$7,$K$3)</f>
        <v>#NAME?</v>
      </c>
      <c r="K999" s="7" t="e">
        <f ca="1">_xll.xlqhClose($C999,K$8,$K$3)</f>
        <v>#NAME?</v>
      </c>
      <c r="L999" s="7" t="e">
        <f ca="1">_xll.xlqhClose($C999,L$8,$K$3)</f>
        <v>#NAME?</v>
      </c>
      <c r="N999" s="9">
        <f t="shared" ca="1" si="157"/>
        <v>1</v>
      </c>
      <c r="O999" s="9">
        <f t="shared" ca="1" si="158"/>
        <v>1</v>
      </c>
      <c r="P999" s="9">
        <f t="shared" ca="1" si="159"/>
        <v>1</v>
      </c>
      <c r="Q999" s="9">
        <f t="shared" ca="1" si="160"/>
        <v>1</v>
      </c>
      <c r="R999" s="9">
        <f t="shared" ca="1" si="161"/>
        <v>0</v>
      </c>
    </row>
    <row r="1000" spans="2:18" x14ac:dyDescent="0.25">
      <c r="B1000" s="17" t="s">
        <v>1751</v>
      </c>
      <c r="C1000" s="18" t="s">
        <v>1752</v>
      </c>
      <c r="D1000" s="7" t="e">
        <f ca="1">_xll.xlqPrice(C1000)</f>
        <v>#NAME?</v>
      </c>
      <c r="E1000" s="9" t="e">
        <f t="shared" ca="1" si="152"/>
        <v>#NAME?</v>
      </c>
      <c r="F1000" s="9">
        <f t="shared" ca="1" si="153"/>
        <v>1</v>
      </c>
      <c r="G1000" s="8">
        <f t="shared" ca="1" si="154"/>
        <v>0</v>
      </c>
      <c r="H1000" s="8">
        <f t="shared" ca="1" si="155"/>
        <v>0</v>
      </c>
      <c r="I1000" s="8">
        <f t="shared" ca="1" si="156"/>
        <v>0</v>
      </c>
      <c r="J1000" s="6" t="e">
        <f ca="1">_xll.xlqxhSMA($C1000,$L$4,$J$7,$K$3)</f>
        <v>#NAME?</v>
      </c>
      <c r="K1000" s="7" t="e">
        <f ca="1">_xll.xlqhClose($C1000,K$8,$K$3)</f>
        <v>#NAME?</v>
      </c>
      <c r="L1000" s="7" t="e">
        <f ca="1">_xll.xlqhClose($C1000,L$8,$K$3)</f>
        <v>#NAME?</v>
      </c>
      <c r="N1000" s="9">
        <f t="shared" ca="1" si="157"/>
        <v>1</v>
      </c>
      <c r="O1000" s="9">
        <f t="shared" ca="1" si="158"/>
        <v>1</v>
      </c>
      <c r="P1000" s="9">
        <f t="shared" ca="1" si="159"/>
        <v>1</v>
      </c>
      <c r="Q1000" s="9">
        <f t="shared" ca="1" si="160"/>
        <v>1</v>
      </c>
      <c r="R1000" s="9">
        <f t="shared" ca="1" si="161"/>
        <v>0</v>
      </c>
    </row>
    <row r="1001" spans="2:18" x14ac:dyDescent="0.25">
      <c r="B1001" s="17" t="s">
        <v>1529</v>
      </c>
      <c r="C1001" s="18" t="s">
        <v>1530</v>
      </c>
      <c r="D1001" s="7" t="e">
        <f ca="1">_xll.xlqPrice(C1001)</f>
        <v>#NAME?</v>
      </c>
      <c r="E1001" s="9" t="e">
        <f t="shared" ca="1" si="152"/>
        <v>#NAME?</v>
      </c>
      <c r="F1001" s="9">
        <f t="shared" ca="1" si="153"/>
        <v>1</v>
      </c>
      <c r="G1001" s="8">
        <f t="shared" ca="1" si="154"/>
        <v>0</v>
      </c>
      <c r="H1001" s="8">
        <f t="shared" ca="1" si="155"/>
        <v>0</v>
      </c>
      <c r="I1001" s="8">
        <f t="shared" ca="1" si="156"/>
        <v>0</v>
      </c>
      <c r="J1001" s="6" t="e">
        <f ca="1">_xll.xlqxhSMA($C1001,$L$4,$J$7,$K$3)</f>
        <v>#NAME?</v>
      </c>
      <c r="K1001" s="7" t="e">
        <f ca="1">_xll.xlqhClose($C1001,K$8,$K$3)</f>
        <v>#NAME?</v>
      </c>
      <c r="L1001" s="7" t="e">
        <f ca="1">_xll.xlqhClose($C1001,L$8,$K$3)</f>
        <v>#NAME?</v>
      </c>
      <c r="N1001" s="9">
        <f t="shared" ca="1" si="157"/>
        <v>1</v>
      </c>
      <c r="O1001" s="9">
        <f t="shared" ca="1" si="158"/>
        <v>1</v>
      </c>
      <c r="P1001" s="9">
        <f t="shared" ca="1" si="159"/>
        <v>1</v>
      </c>
      <c r="Q1001" s="9">
        <f t="shared" ca="1" si="160"/>
        <v>1</v>
      </c>
      <c r="R1001" s="9">
        <f t="shared" ca="1" si="161"/>
        <v>0</v>
      </c>
    </row>
    <row r="1002" spans="2:18" x14ac:dyDescent="0.25">
      <c r="B1002" s="17" t="s">
        <v>878</v>
      </c>
      <c r="C1002" s="18" t="s">
        <v>879</v>
      </c>
      <c r="D1002" s="7" t="e">
        <f ca="1">_xll.xlqPrice(C1002)</f>
        <v>#NAME?</v>
      </c>
      <c r="E1002" s="9" t="e">
        <f t="shared" ca="1" si="152"/>
        <v>#NAME?</v>
      </c>
      <c r="F1002" s="9">
        <f t="shared" ca="1" si="153"/>
        <v>1</v>
      </c>
      <c r="G1002" s="8">
        <f t="shared" ca="1" si="154"/>
        <v>0</v>
      </c>
      <c r="H1002" s="8">
        <f t="shared" ca="1" si="155"/>
        <v>0</v>
      </c>
      <c r="I1002" s="8">
        <f t="shared" ca="1" si="156"/>
        <v>0</v>
      </c>
      <c r="J1002" s="6" t="e">
        <f ca="1">_xll.xlqxhSMA($C1002,$L$4,$J$7,$K$3)</f>
        <v>#NAME?</v>
      </c>
      <c r="K1002" s="7" t="e">
        <f ca="1">_xll.xlqhClose($C1002,K$8,$K$3)</f>
        <v>#NAME?</v>
      </c>
      <c r="L1002" s="7" t="e">
        <f ca="1">_xll.xlqhClose($C1002,L$8,$K$3)</f>
        <v>#NAME?</v>
      </c>
      <c r="N1002" s="9">
        <f t="shared" ca="1" si="157"/>
        <v>1</v>
      </c>
      <c r="O1002" s="9">
        <f t="shared" ca="1" si="158"/>
        <v>1</v>
      </c>
      <c r="P1002" s="9">
        <f t="shared" ca="1" si="159"/>
        <v>1</v>
      </c>
      <c r="Q1002" s="9">
        <f t="shared" ca="1" si="160"/>
        <v>1</v>
      </c>
      <c r="R1002" s="9">
        <f t="shared" ca="1" si="161"/>
        <v>0</v>
      </c>
    </row>
    <row r="1003" spans="2:18" x14ac:dyDescent="0.25">
      <c r="B1003" s="17" t="s">
        <v>941</v>
      </c>
      <c r="C1003" s="18" t="s">
        <v>942</v>
      </c>
      <c r="D1003" s="7" t="e">
        <f ca="1">_xll.xlqPrice(C1003)</f>
        <v>#NAME?</v>
      </c>
      <c r="E1003" s="9" t="e">
        <f t="shared" ca="1" si="152"/>
        <v>#NAME?</v>
      </c>
      <c r="F1003" s="9">
        <f t="shared" ca="1" si="153"/>
        <v>1</v>
      </c>
      <c r="G1003" s="8">
        <f t="shared" ca="1" si="154"/>
        <v>0</v>
      </c>
      <c r="H1003" s="8">
        <f t="shared" ca="1" si="155"/>
        <v>0</v>
      </c>
      <c r="I1003" s="8">
        <f t="shared" ca="1" si="156"/>
        <v>0</v>
      </c>
      <c r="J1003" s="6" t="e">
        <f ca="1">_xll.xlqxhSMA($C1003,$L$4,$J$7,$K$3)</f>
        <v>#NAME?</v>
      </c>
      <c r="K1003" s="7" t="e">
        <f ca="1">_xll.xlqhClose($C1003,K$8,$K$3)</f>
        <v>#NAME?</v>
      </c>
      <c r="L1003" s="7" t="e">
        <f ca="1">_xll.xlqhClose($C1003,L$8,$K$3)</f>
        <v>#NAME?</v>
      </c>
      <c r="N1003" s="9">
        <f t="shared" ca="1" si="157"/>
        <v>1</v>
      </c>
      <c r="O1003" s="9">
        <f t="shared" ca="1" si="158"/>
        <v>1</v>
      </c>
      <c r="P1003" s="9">
        <f t="shared" ca="1" si="159"/>
        <v>1</v>
      </c>
      <c r="Q1003" s="9">
        <f t="shared" ca="1" si="160"/>
        <v>1</v>
      </c>
      <c r="R1003" s="9">
        <f t="shared" ca="1" si="161"/>
        <v>0</v>
      </c>
    </row>
    <row r="1004" spans="2:18" x14ac:dyDescent="0.25">
      <c r="B1004" s="17" t="s">
        <v>1333</v>
      </c>
      <c r="C1004" s="18" t="s">
        <v>1334</v>
      </c>
      <c r="D1004" s="7" t="e">
        <f ca="1">_xll.xlqPrice(C1004)</f>
        <v>#NAME?</v>
      </c>
      <c r="E1004" s="9" t="e">
        <f t="shared" ca="1" si="152"/>
        <v>#NAME?</v>
      </c>
      <c r="F1004" s="9">
        <f t="shared" ca="1" si="153"/>
        <v>1</v>
      </c>
      <c r="G1004" s="8">
        <f t="shared" ca="1" si="154"/>
        <v>0</v>
      </c>
      <c r="H1004" s="8">
        <f t="shared" ca="1" si="155"/>
        <v>0</v>
      </c>
      <c r="I1004" s="8">
        <f t="shared" ca="1" si="156"/>
        <v>0</v>
      </c>
      <c r="J1004" s="6" t="e">
        <f ca="1">_xll.xlqxhSMA($C1004,$L$4,$J$7,$K$3)</f>
        <v>#NAME?</v>
      </c>
      <c r="K1004" s="7" t="e">
        <f ca="1">_xll.xlqhClose($C1004,K$8,$K$3)</f>
        <v>#NAME?</v>
      </c>
      <c r="L1004" s="7" t="e">
        <f ca="1">_xll.xlqhClose($C1004,L$8,$K$3)</f>
        <v>#NAME?</v>
      </c>
      <c r="N1004" s="9">
        <f t="shared" ca="1" si="157"/>
        <v>1</v>
      </c>
      <c r="O1004" s="9">
        <f t="shared" ca="1" si="158"/>
        <v>1</v>
      </c>
      <c r="P1004" s="9">
        <f t="shared" ca="1" si="159"/>
        <v>1</v>
      </c>
      <c r="Q1004" s="9">
        <f t="shared" ca="1" si="160"/>
        <v>1</v>
      </c>
      <c r="R1004" s="9">
        <f t="shared" ca="1" si="161"/>
        <v>0</v>
      </c>
    </row>
    <row r="1005" spans="2:18" x14ac:dyDescent="0.25">
      <c r="B1005" s="17" t="s">
        <v>354</v>
      </c>
      <c r="C1005" s="18" t="s">
        <v>355</v>
      </c>
      <c r="D1005" s="7" t="e">
        <f ca="1">_xll.xlqPrice(C1005)</f>
        <v>#NAME?</v>
      </c>
      <c r="E1005" s="9" t="e">
        <f t="shared" ca="1" si="152"/>
        <v>#NAME?</v>
      </c>
      <c r="F1005" s="9">
        <f t="shared" ca="1" si="153"/>
        <v>1</v>
      </c>
      <c r="G1005" s="8">
        <f t="shared" ca="1" si="154"/>
        <v>0</v>
      </c>
      <c r="H1005" s="8">
        <f t="shared" ca="1" si="155"/>
        <v>0</v>
      </c>
      <c r="I1005" s="8">
        <f t="shared" ca="1" si="156"/>
        <v>0</v>
      </c>
      <c r="J1005" s="6" t="e">
        <f ca="1">_xll.xlqxhSMA($C1005,$L$4,$J$7,$K$3)</f>
        <v>#NAME?</v>
      </c>
      <c r="K1005" s="7" t="e">
        <f ca="1">_xll.xlqhClose($C1005,K$8,$K$3)</f>
        <v>#NAME?</v>
      </c>
      <c r="L1005" s="7" t="e">
        <f ca="1">_xll.xlqhClose($C1005,L$8,$K$3)</f>
        <v>#NAME?</v>
      </c>
      <c r="N1005" s="9">
        <f t="shared" ca="1" si="157"/>
        <v>1</v>
      </c>
      <c r="O1005" s="9">
        <f t="shared" ca="1" si="158"/>
        <v>1</v>
      </c>
      <c r="P1005" s="9">
        <f t="shared" ca="1" si="159"/>
        <v>1</v>
      </c>
      <c r="Q1005" s="9">
        <f t="shared" ca="1" si="160"/>
        <v>1</v>
      </c>
      <c r="R1005" s="9">
        <f t="shared" ca="1" si="161"/>
        <v>0</v>
      </c>
    </row>
    <row r="1006" spans="2:18" x14ac:dyDescent="0.25">
      <c r="B1006" s="17" t="s">
        <v>778</v>
      </c>
      <c r="C1006" s="18" t="s">
        <v>779</v>
      </c>
      <c r="D1006" s="7" t="e">
        <f ca="1">_xll.xlqPrice(C1006)</f>
        <v>#NAME?</v>
      </c>
      <c r="E1006" s="9" t="e">
        <f t="shared" ca="1" si="152"/>
        <v>#NAME?</v>
      </c>
      <c r="F1006" s="9">
        <f t="shared" ca="1" si="153"/>
        <v>1</v>
      </c>
      <c r="G1006" s="8">
        <f t="shared" ca="1" si="154"/>
        <v>0</v>
      </c>
      <c r="H1006" s="8">
        <f t="shared" ca="1" si="155"/>
        <v>0</v>
      </c>
      <c r="I1006" s="8">
        <f t="shared" ca="1" si="156"/>
        <v>0</v>
      </c>
      <c r="J1006" s="6" t="e">
        <f ca="1">_xll.xlqxhSMA($C1006,$L$4,$J$7,$K$3)</f>
        <v>#NAME?</v>
      </c>
      <c r="K1006" s="7" t="e">
        <f ca="1">_xll.xlqhClose($C1006,K$8,$K$3)</f>
        <v>#NAME?</v>
      </c>
      <c r="L1006" s="7" t="e">
        <f ca="1">_xll.xlqhClose($C1006,L$8,$K$3)</f>
        <v>#NAME?</v>
      </c>
      <c r="N1006" s="9">
        <f t="shared" ca="1" si="157"/>
        <v>1</v>
      </c>
      <c r="O1006" s="9">
        <f t="shared" ca="1" si="158"/>
        <v>1</v>
      </c>
      <c r="P1006" s="9">
        <f t="shared" ca="1" si="159"/>
        <v>1</v>
      </c>
      <c r="Q1006" s="9">
        <f t="shared" ca="1" si="160"/>
        <v>1</v>
      </c>
      <c r="R1006" s="9">
        <f t="shared" ca="1" si="161"/>
        <v>0</v>
      </c>
    </row>
    <row r="1007" spans="2:18" x14ac:dyDescent="0.25">
      <c r="B1007" s="17" t="s">
        <v>712</v>
      </c>
      <c r="C1007" s="18" t="s">
        <v>713</v>
      </c>
      <c r="D1007" s="7" t="e">
        <f ca="1">_xll.xlqPrice(C1007)</f>
        <v>#NAME?</v>
      </c>
      <c r="E1007" s="9" t="e">
        <f t="shared" ca="1" si="152"/>
        <v>#NAME?</v>
      </c>
      <c r="F1007" s="9">
        <f t="shared" ca="1" si="153"/>
        <v>1</v>
      </c>
      <c r="G1007" s="8">
        <f t="shared" ca="1" si="154"/>
        <v>0</v>
      </c>
      <c r="H1007" s="8">
        <f t="shared" ca="1" si="155"/>
        <v>0</v>
      </c>
      <c r="I1007" s="8">
        <f t="shared" ca="1" si="156"/>
        <v>0</v>
      </c>
      <c r="J1007" s="6" t="e">
        <f ca="1">_xll.xlqxhSMA($C1007,$L$4,$J$7,$K$3)</f>
        <v>#NAME?</v>
      </c>
      <c r="K1007" s="7" t="e">
        <f ca="1">_xll.xlqhClose($C1007,K$8,$K$3)</f>
        <v>#NAME?</v>
      </c>
      <c r="L1007" s="7" t="e">
        <f ca="1">_xll.xlqhClose($C1007,L$8,$K$3)</f>
        <v>#NAME?</v>
      </c>
      <c r="N1007" s="9">
        <f t="shared" ca="1" si="157"/>
        <v>1</v>
      </c>
      <c r="O1007" s="9">
        <f t="shared" ca="1" si="158"/>
        <v>1</v>
      </c>
      <c r="P1007" s="9">
        <f t="shared" ca="1" si="159"/>
        <v>1</v>
      </c>
      <c r="Q1007" s="9">
        <f t="shared" ca="1" si="160"/>
        <v>1</v>
      </c>
      <c r="R1007" s="9">
        <f t="shared" ca="1" si="161"/>
        <v>0</v>
      </c>
    </row>
    <row r="1008" spans="2:18" x14ac:dyDescent="0.25">
      <c r="B1008" s="17" t="s">
        <v>1213</v>
      </c>
      <c r="C1008" s="18" t="s">
        <v>1214</v>
      </c>
      <c r="D1008" s="7" t="e">
        <f ca="1">_xll.xlqPrice(C1008)</f>
        <v>#NAME?</v>
      </c>
      <c r="E1008" s="9" t="e">
        <f t="shared" ca="1" si="152"/>
        <v>#NAME?</v>
      </c>
      <c r="F1008" s="9">
        <f t="shared" ca="1" si="153"/>
        <v>1</v>
      </c>
      <c r="G1008" s="8">
        <f t="shared" ca="1" si="154"/>
        <v>0</v>
      </c>
      <c r="H1008" s="8">
        <f t="shared" ca="1" si="155"/>
        <v>0</v>
      </c>
      <c r="I1008" s="8">
        <f t="shared" ca="1" si="156"/>
        <v>0</v>
      </c>
      <c r="J1008" s="6" t="e">
        <f ca="1">_xll.xlqxhSMA($C1008,$L$4,$J$7,$K$3)</f>
        <v>#NAME?</v>
      </c>
      <c r="K1008" s="7" t="e">
        <f ca="1">_xll.xlqhClose($C1008,K$8,$K$3)</f>
        <v>#NAME?</v>
      </c>
      <c r="L1008" s="7" t="e">
        <f ca="1">_xll.xlqhClose($C1008,L$8,$K$3)</f>
        <v>#NAME?</v>
      </c>
      <c r="N1008" s="9">
        <f t="shared" ca="1" si="157"/>
        <v>1</v>
      </c>
      <c r="O1008" s="9">
        <f t="shared" ca="1" si="158"/>
        <v>1</v>
      </c>
      <c r="P1008" s="9">
        <f t="shared" ca="1" si="159"/>
        <v>1</v>
      </c>
      <c r="Q1008" s="9">
        <f t="shared" ca="1" si="160"/>
        <v>1</v>
      </c>
      <c r="R1008" s="9">
        <f t="shared" ca="1" si="161"/>
        <v>0</v>
      </c>
    </row>
    <row r="1009" spans="2:18" x14ac:dyDescent="0.25">
      <c r="B1009" s="17" t="s">
        <v>2023</v>
      </c>
      <c r="C1009" s="18" t="s">
        <v>2024</v>
      </c>
      <c r="D1009" s="7" t="e">
        <f ca="1">_xll.xlqPrice(C1009)</f>
        <v>#NAME?</v>
      </c>
      <c r="E1009" s="9" t="e">
        <f t="shared" ca="1" si="152"/>
        <v>#NAME?</v>
      </c>
      <c r="F1009" s="9">
        <f t="shared" ca="1" si="153"/>
        <v>1</v>
      </c>
      <c r="G1009" s="8">
        <f t="shared" ca="1" si="154"/>
        <v>0</v>
      </c>
      <c r="H1009" s="8">
        <f t="shared" ca="1" si="155"/>
        <v>0</v>
      </c>
      <c r="I1009" s="8">
        <f t="shared" ca="1" si="156"/>
        <v>0</v>
      </c>
      <c r="J1009" s="6" t="e">
        <f ca="1">_xll.xlqxhSMA($C1009,$L$4,$J$7,$K$3)</f>
        <v>#NAME?</v>
      </c>
      <c r="K1009" s="7" t="e">
        <f ca="1">_xll.xlqhClose($C1009,K$8,$K$3)</f>
        <v>#NAME?</v>
      </c>
      <c r="L1009" s="7" t="e">
        <f ca="1">_xll.xlqhClose($C1009,L$8,$K$3)</f>
        <v>#NAME?</v>
      </c>
      <c r="N1009" s="9">
        <f t="shared" ca="1" si="157"/>
        <v>1</v>
      </c>
      <c r="O1009" s="9">
        <f t="shared" ca="1" si="158"/>
        <v>1</v>
      </c>
      <c r="P1009" s="9">
        <f t="shared" ca="1" si="159"/>
        <v>1</v>
      </c>
      <c r="Q1009" s="9">
        <f t="shared" ca="1" si="160"/>
        <v>1</v>
      </c>
      <c r="R1009" s="9">
        <f t="shared" ca="1" si="161"/>
        <v>0</v>
      </c>
    </row>
    <row r="1010" spans="2:18" x14ac:dyDescent="0.25">
      <c r="B1010" s="17" t="s">
        <v>772</v>
      </c>
      <c r="C1010" s="18" t="s">
        <v>773</v>
      </c>
      <c r="D1010" s="7" t="e">
        <f ca="1">_xll.xlqPrice(C1010)</f>
        <v>#NAME?</v>
      </c>
      <c r="E1010" s="9" t="e">
        <f t="shared" ca="1" si="152"/>
        <v>#NAME?</v>
      </c>
      <c r="F1010" s="9">
        <f t="shared" ca="1" si="153"/>
        <v>1</v>
      </c>
      <c r="G1010" s="8">
        <f t="shared" ca="1" si="154"/>
        <v>0</v>
      </c>
      <c r="H1010" s="8">
        <f t="shared" ca="1" si="155"/>
        <v>0</v>
      </c>
      <c r="I1010" s="8">
        <f t="shared" ca="1" si="156"/>
        <v>0</v>
      </c>
      <c r="J1010" s="6" t="e">
        <f ca="1">_xll.xlqxhSMA($C1010,$L$4,$J$7,$K$3)</f>
        <v>#NAME?</v>
      </c>
      <c r="K1010" s="7" t="e">
        <f ca="1">_xll.xlqhClose($C1010,K$8,$K$3)</f>
        <v>#NAME?</v>
      </c>
      <c r="L1010" s="7" t="e">
        <f ca="1">_xll.xlqhClose($C1010,L$8,$K$3)</f>
        <v>#NAME?</v>
      </c>
      <c r="N1010" s="9">
        <f t="shared" ca="1" si="157"/>
        <v>1</v>
      </c>
      <c r="O1010" s="9">
        <f t="shared" ca="1" si="158"/>
        <v>1</v>
      </c>
      <c r="P1010" s="9">
        <f t="shared" ca="1" si="159"/>
        <v>1</v>
      </c>
      <c r="Q1010" s="9">
        <f t="shared" ca="1" si="160"/>
        <v>1</v>
      </c>
      <c r="R1010" s="9">
        <f t="shared" ca="1" si="161"/>
        <v>0</v>
      </c>
    </row>
    <row r="1011" spans="2:18" x14ac:dyDescent="0.25">
      <c r="B1011" s="17" t="s">
        <v>2039</v>
      </c>
      <c r="C1011" s="18" t="s">
        <v>2040</v>
      </c>
      <c r="D1011" s="7" t="e">
        <f ca="1">_xll.xlqPrice(C1011)</f>
        <v>#NAME?</v>
      </c>
      <c r="E1011" s="9" t="e">
        <f t="shared" ca="1" si="152"/>
        <v>#NAME?</v>
      </c>
      <c r="F1011" s="9">
        <f t="shared" ca="1" si="153"/>
        <v>1</v>
      </c>
      <c r="G1011" s="8">
        <f t="shared" ca="1" si="154"/>
        <v>0</v>
      </c>
      <c r="H1011" s="8">
        <f t="shared" ca="1" si="155"/>
        <v>0</v>
      </c>
      <c r="I1011" s="8">
        <f t="shared" ca="1" si="156"/>
        <v>0</v>
      </c>
      <c r="J1011" s="6" t="e">
        <f ca="1">_xll.xlqxhSMA($C1011,$L$4,$J$7,$K$3)</f>
        <v>#NAME?</v>
      </c>
      <c r="K1011" s="7" t="e">
        <f ca="1">_xll.xlqhClose($C1011,K$8,$K$3)</f>
        <v>#NAME?</v>
      </c>
      <c r="L1011" s="7" t="e">
        <f ca="1">_xll.xlqhClose($C1011,L$8,$K$3)</f>
        <v>#NAME?</v>
      </c>
      <c r="N1011" s="9">
        <f t="shared" ca="1" si="157"/>
        <v>1</v>
      </c>
      <c r="O1011" s="9">
        <f t="shared" ca="1" si="158"/>
        <v>1</v>
      </c>
      <c r="P1011" s="9">
        <f t="shared" ca="1" si="159"/>
        <v>1</v>
      </c>
      <c r="Q1011" s="9">
        <f t="shared" ca="1" si="160"/>
        <v>1</v>
      </c>
      <c r="R1011" s="9">
        <f t="shared" ca="1" si="161"/>
        <v>0</v>
      </c>
    </row>
    <row r="1012" spans="2:18" x14ac:dyDescent="0.25">
      <c r="B1012" s="17" t="s">
        <v>2251</v>
      </c>
      <c r="C1012" s="18" t="s">
        <v>2252</v>
      </c>
      <c r="D1012" s="7" t="e">
        <f ca="1">_xll.xlqPrice(C1012)</f>
        <v>#NAME?</v>
      </c>
      <c r="E1012" s="9" t="e">
        <f t="shared" ca="1" si="152"/>
        <v>#NAME?</v>
      </c>
      <c r="F1012" s="9">
        <f t="shared" ca="1" si="153"/>
        <v>1</v>
      </c>
      <c r="G1012" s="8">
        <f t="shared" ca="1" si="154"/>
        <v>0</v>
      </c>
      <c r="H1012" s="8">
        <f t="shared" ca="1" si="155"/>
        <v>0</v>
      </c>
      <c r="I1012" s="8">
        <f t="shared" ca="1" si="156"/>
        <v>0</v>
      </c>
      <c r="J1012" s="6" t="e">
        <f ca="1">_xll.xlqxhSMA($C1012,$L$4,$J$7,$K$3)</f>
        <v>#NAME?</v>
      </c>
      <c r="K1012" s="7" t="e">
        <f ca="1">_xll.xlqhClose($C1012,K$8,$K$3)</f>
        <v>#NAME?</v>
      </c>
      <c r="L1012" s="7" t="e">
        <f ca="1">_xll.xlqhClose($C1012,L$8,$K$3)</f>
        <v>#NAME?</v>
      </c>
      <c r="N1012" s="9">
        <f t="shared" ca="1" si="157"/>
        <v>1</v>
      </c>
      <c r="O1012" s="9">
        <f t="shared" ca="1" si="158"/>
        <v>1</v>
      </c>
      <c r="P1012" s="9">
        <f t="shared" ca="1" si="159"/>
        <v>1</v>
      </c>
      <c r="Q1012" s="9">
        <f t="shared" ca="1" si="160"/>
        <v>1</v>
      </c>
      <c r="R1012" s="9">
        <f t="shared" ca="1" si="161"/>
        <v>0</v>
      </c>
    </row>
    <row r="1013" spans="2:18" x14ac:dyDescent="0.25">
      <c r="B1013" s="17" t="s">
        <v>2085</v>
      </c>
      <c r="C1013" s="18" t="s">
        <v>2086</v>
      </c>
      <c r="D1013" s="7" t="e">
        <f ca="1">_xll.xlqPrice(C1013)</f>
        <v>#NAME?</v>
      </c>
      <c r="E1013" s="9" t="e">
        <f t="shared" ca="1" si="152"/>
        <v>#NAME?</v>
      </c>
      <c r="F1013" s="9">
        <f t="shared" ca="1" si="153"/>
        <v>1</v>
      </c>
      <c r="G1013" s="8">
        <f t="shared" ca="1" si="154"/>
        <v>0</v>
      </c>
      <c r="H1013" s="8">
        <f t="shared" ca="1" si="155"/>
        <v>0</v>
      </c>
      <c r="I1013" s="8">
        <f t="shared" ca="1" si="156"/>
        <v>0</v>
      </c>
      <c r="J1013" s="6" t="e">
        <f ca="1">_xll.xlqxhSMA($C1013,$L$4,$J$7,$K$3)</f>
        <v>#NAME?</v>
      </c>
      <c r="K1013" s="7" t="e">
        <f ca="1">_xll.xlqhClose($C1013,K$8,$K$3)</f>
        <v>#NAME?</v>
      </c>
      <c r="L1013" s="7" t="e">
        <f ca="1">_xll.xlqhClose($C1013,L$8,$K$3)</f>
        <v>#NAME?</v>
      </c>
      <c r="N1013" s="9">
        <f t="shared" ca="1" si="157"/>
        <v>1</v>
      </c>
      <c r="O1013" s="9">
        <f t="shared" ca="1" si="158"/>
        <v>1</v>
      </c>
      <c r="P1013" s="9">
        <f t="shared" ca="1" si="159"/>
        <v>1</v>
      </c>
      <c r="Q1013" s="9">
        <f t="shared" ca="1" si="160"/>
        <v>1</v>
      </c>
      <c r="R1013" s="9">
        <f t="shared" ca="1" si="161"/>
        <v>0</v>
      </c>
    </row>
    <row r="1014" spans="2:18" x14ac:dyDescent="0.25">
      <c r="B1014" s="17" t="s">
        <v>546</v>
      </c>
      <c r="C1014" s="18" t="s">
        <v>547</v>
      </c>
      <c r="D1014" s="7" t="e">
        <f ca="1">_xll.xlqPrice(C1014)</f>
        <v>#NAME?</v>
      </c>
      <c r="E1014" s="9" t="e">
        <f t="shared" ca="1" si="152"/>
        <v>#NAME?</v>
      </c>
      <c r="F1014" s="9">
        <f t="shared" ca="1" si="153"/>
        <v>1</v>
      </c>
      <c r="G1014" s="8">
        <f t="shared" ca="1" si="154"/>
        <v>0</v>
      </c>
      <c r="H1014" s="8">
        <f t="shared" ca="1" si="155"/>
        <v>0</v>
      </c>
      <c r="I1014" s="8">
        <f t="shared" ca="1" si="156"/>
        <v>0</v>
      </c>
      <c r="J1014" s="6" t="e">
        <f ca="1">_xll.xlqxhSMA($C1014,$L$4,$J$7,$K$3)</f>
        <v>#NAME?</v>
      </c>
      <c r="K1014" s="7" t="e">
        <f ca="1">_xll.xlqhClose($C1014,K$8,$K$3)</f>
        <v>#NAME?</v>
      </c>
      <c r="L1014" s="7" t="e">
        <f ca="1">_xll.xlqhClose($C1014,L$8,$K$3)</f>
        <v>#NAME?</v>
      </c>
      <c r="N1014" s="9">
        <f t="shared" ca="1" si="157"/>
        <v>1</v>
      </c>
      <c r="O1014" s="9">
        <f t="shared" ca="1" si="158"/>
        <v>1</v>
      </c>
      <c r="P1014" s="9">
        <f t="shared" ca="1" si="159"/>
        <v>1</v>
      </c>
      <c r="Q1014" s="9">
        <f t="shared" ca="1" si="160"/>
        <v>1</v>
      </c>
      <c r="R1014" s="9">
        <f t="shared" ca="1" si="161"/>
        <v>0</v>
      </c>
    </row>
    <row r="1015" spans="2:18" x14ac:dyDescent="0.25">
      <c r="B1015" s="17" t="s">
        <v>702</v>
      </c>
      <c r="C1015" s="18" t="s">
        <v>703</v>
      </c>
      <c r="D1015" s="7" t="e">
        <f ca="1">_xll.xlqPrice(C1015)</f>
        <v>#NAME?</v>
      </c>
      <c r="E1015" s="9" t="e">
        <f t="shared" ca="1" si="152"/>
        <v>#NAME?</v>
      </c>
      <c r="F1015" s="9">
        <f t="shared" ca="1" si="153"/>
        <v>1</v>
      </c>
      <c r="G1015" s="8">
        <f t="shared" ca="1" si="154"/>
        <v>0</v>
      </c>
      <c r="H1015" s="8">
        <f t="shared" ca="1" si="155"/>
        <v>0</v>
      </c>
      <c r="I1015" s="8">
        <f t="shared" ca="1" si="156"/>
        <v>0</v>
      </c>
      <c r="J1015" s="6" t="e">
        <f ca="1">_xll.xlqxhSMA($C1015,$L$4,$J$7,$K$3)</f>
        <v>#NAME?</v>
      </c>
      <c r="K1015" s="7" t="e">
        <f ca="1">_xll.xlqhClose($C1015,K$8,$K$3)</f>
        <v>#NAME?</v>
      </c>
      <c r="L1015" s="7" t="e">
        <f ca="1">_xll.xlqhClose($C1015,L$8,$K$3)</f>
        <v>#NAME?</v>
      </c>
      <c r="N1015" s="9">
        <f t="shared" ca="1" si="157"/>
        <v>1</v>
      </c>
      <c r="O1015" s="9">
        <f t="shared" ca="1" si="158"/>
        <v>1</v>
      </c>
      <c r="P1015" s="9">
        <f t="shared" ca="1" si="159"/>
        <v>1</v>
      </c>
      <c r="Q1015" s="9">
        <f t="shared" ca="1" si="160"/>
        <v>1</v>
      </c>
      <c r="R1015" s="9">
        <f t="shared" ca="1" si="161"/>
        <v>0</v>
      </c>
    </row>
    <row r="1016" spans="2:18" x14ac:dyDescent="0.25">
      <c r="B1016" s="17" t="s">
        <v>532</v>
      </c>
      <c r="C1016" s="18" t="s">
        <v>533</v>
      </c>
      <c r="D1016" s="7" t="e">
        <f ca="1">_xll.xlqPrice(C1016)</f>
        <v>#NAME?</v>
      </c>
      <c r="E1016" s="9" t="e">
        <f t="shared" ca="1" si="152"/>
        <v>#NAME?</v>
      </c>
      <c r="F1016" s="9">
        <f t="shared" ca="1" si="153"/>
        <v>1</v>
      </c>
      <c r="G1016" s="8">
        <f t="shared" ca="1" si="154"/>
        <v>0</v>
      </c>
      <c r="H1016" s="8">
        <f t="shared" ca="1" si="155"/>
        <v>0</v>
      </c>
      <c r="I1016" s="8">
        <f t="shared" ca="1" si="156"/>
        <v>0</v>
      </c>
      <c r="J1016" s="6" t="e">
        <f ca="1">_xll.xlqxhSMA($C1016,$L$4,$J$7,$K$3)</f>
        <v>#NAME?</v>
      </c>
      <c r="K1016" s="7" t="e">
        <f ca="1">_xll.xlqhClose($C1016,K$8,$K$3)</f>
        <v>#NAME?</v>
      </c>
      <c r="L1016" s="7" t="e">
        <f ca="1">_xll.xlqhClose($C1016,L$8,$K$3)</f>
        <v>#NAME?</v>
      </c>
      <c r="N1016" s="9">
        <f t="shared" ca="1" si="157"/>
        <v>1</v>
      </c>
      <c r="O1016" s="9">
        <f t="shared" ca="1" si="158"/>
        <v>1</v>
      </c>
      <c r="P1016" s="9">
        <f t="shared" ca="1" si="159"/>
        <v>1</v>
      </c>
      <c r="Q1016" s="9">
        <f t="shared" ca="1" si="160"/>
        <v>1</v>
      </c>
      <c r="R1016" s="9">
        <f t="shared" ca="1" si="161"/>
        <v>0</v>
      </c>
    </row>
    <row r="1017" spans="2:18" x14ac:dyDescent="0.25">
      <c r="B1017" t="s">
        <v>1891</v>
      </c>
      <c r="C1017" s="39" t="s">
        <v>1892</v>
      </c>
      <c r="D1017" s="7" t="e">
        <f ca="1">_xll.xlqPrice(C1017)</f>
        <v>#NAME?</v>
      </c>
      <c r="E1017" s="9" t="e">
        <f t="shared" ca="1" si="152"/>
        <v>#NAME?</v>
      </c>
      <c r="F1017" s="9">
        <f t="shared" ca="1" si="153"/>
        <v>1</v>
      </c>
      <c r="G1017" s="8">
        <f t="shared" ca="1" si="154"/>
        <v>0</v>
      </c>
      <c r="H1017" s="8">
        <f t="shared" ca="1" si="155"/>
        <v>0</v>
      </c>
      <c r="I1017" s="8">
        <f t="shared" ca="1" si="156"/>
        <v>0</v>
      </c>
      <c r="J1017" s="6" t="e">
        <f ca="1">_xll.xlqxhSMA($C1017,$L$4,$J$7,$K$3)</f>
        <v>#NAME?</v>
      </c>
      <c r="K1017" s="7" t="e">
        <f ca="1">_xll.xlqhClose($C1017,K$8,$K$3)</f>
        <v>#NAME?</v>
      </c>
      <c r="L1017" s="7" t="e">
        <f ca="1">_xll.xlqhClose($C1017,L$8,$K$3)</f>
        <v>#NAME?</v>
      </c>
      <c r="N1017" s="9">
        <f t="shared" ca="1" si="157"/>
        <v>1</v>
      </c>
      <c r="O1017" s="9">
        <f t="shared" ca="1" si="158"/>
        <v>1</v>
      </c>
      <c r="P1017" s="9">
        <f t="shared" ca="1" si="159"/>
        <v>1</v>
      </c>
      <c r="Q1017" s="9">
        <f t="shared" ca="1" si="160"/>
        <v>1</v>
      </c>
      <c r="R1017" s="9">
        <f t="shared" ca="1" si="161"/>
        <v>0</v>
      </c>
    </row>
    <row r="1018" spans="2:18" x14ac:dyDescent="0.25">
      <c r="B1018" s="17" t="s">
        <v>608</v>
      </c>
      <c r="C1018" s="18" t="s">
        <v>609</v>
      </c>
      <c r="D1018" s="7" t="e">
        <f ca="1">_xll.xlqPrice(C1018)</f>
        <v>#NAME?</v>
      </c>
      <c r="E1018" s="9" t="e">
        <f t="shared" ca="1" si="152"/>
        <v>#NAME?</v>
      </c>
      <c r="F1018" s="9">
        <f t="shared" ca="1" si="153"/>
        <v>1</v>
      </c>
      <c r="G1018" s="8">
        <f t="shared" ca="1" si="154"/>
        <v>0</v>
      </c>
      <c r="H1018" s="8">
        <f t="shared" ca="1" si="155"/>
        <v>0</v>
      </c>
      <c r="I1018" s="8">
        <f t="shared" ca="1" si="156"/>
        <v>0</v>
      </c>
      <c r="J1018" s="6" t="e">
        <f ca="1">_xll.xlqxhSMA($C1018,$L$4,$J$7,$K$3)</f>
        <v>#NAME?</v>
      </c>
      <c r="K1018" s="7" t="e">
        <f ca="1">_xll.xlqhClose($C1018,K$8,$K$3)</f>
        <v>#NAME?</v>
      </c>
      <c r="L1018" s="7" t="e">
        <f ca="1">_xll.xlqhClose($C1018,L$8,$K$3)</f>
        <v>#NAME?</v>
      </c>
      <c r="N1018" s="9">
        <f t="shared" ca="1" si="157"/>
        <v>1</v>
      </c>
      <c r="O1018" s="9">
        <f t="shared" ca="1" si="158"/>
        <v>1</v>
      </c>
      <c r="P1018" s="9">
        <f t="shared" ca="1" si="159"/>
        <v>1</v>
      </c>
      <c r="Q1018" s="9">
        <f t="shared" ca="1" si="160"/>
        <v>1</v>
      </c>
      <c r="R1018" s="9">
        <f t="shared" ca="1" si="161"/>
        <v>0</v>
      </c>
    </row>
    <row r="1019" spans="2:18" x14ac:dyDescent="0.25">
      <c r="B1019" t="s">
        <v>953</v>
      </c>
      <c r="C1019" s="39" t="s">
        <v>954</v>
      </c>
      <c r="D1019" s="7" t="e">
        <f ca="1">_xll.xlqPrice(C1019)</f>
        <v>#NAME?</v>
      </c>
      <c r="E1019" s="9" t="e">
        <f t="shared" ca="1" si="152"/>
        <v>#NAME?</v>
      </c>
      <c r="F1019" s="9">
        <f t="shared" ca="1" si="153"/>
        <v>1</v>
      </c>
      <c r="G1019" s="8">
        <f t="shared" ca="1" si="154"/>
        <v>0</v>
      </c>
      <c r="H1019" s="8">
        <f t="shared" ca="1" si="155"/>
        <v>0</v>
      </c>
      <c r="I1019" s="8">
        <f t="shared" ca="1" si="156"/>
        <v>0</v>
      </c>
      <c r="J1019" s="6" t="e">
        <f ca="1">_xll.xlqxhSMA($C1019,$L$4,$J$7,$K$3)</f>
        <v>#NAME?</v>
      </c>
      <c r="K1019" s="7" t="e">
        <f ca="1">_xll.xlqhClose($C1019,K$8,$K$3)</f>
        <v>#NAME?</v>
      </c>
      <c r="L1019" s="7" t="e">
        <f ca="1">_xll.xlqhClose($C1019,L$8,$K$3)</f>
        <v>#NAME?</v>
      </c>
      <c r="N1019" s="9">
        <f t="shared" ca="1" si="157"/>
        <v>1</v>
      </c>
      <c r="O1019" s="9">
        <f t="shared" ca="1" si="158"/>
        <v>1</v>
      </c>
      <c r="P1019" s="9">
        <f t="shared" ca="1" si="159"/>
        <v>1</v>
      </c>
      <c r="Q1019" s="9">
        <f t="shared" ca="1" si="160"/>
        <v>1</v>
      </c>
      <c r="R1019" s="9">
        <f t="shared" ca="1" si="161"/>
        <v>0</v>
      </c>
    </row>
    <row r="1020" spans="2:18" x14ac:dyDescent="0.25">
      <c r="B1020" s="17" t="s">
        <v>924</v>
      </c>
      <c r="C1020" s="18" t="s">
        <v>925</v>
      </c>
      <c r="D1020" s="7" t="e">
        <f ca="1">_xll.xlqPrice(C1020)</f>
        <v>#NAME?</v>
      </c>
      <c r="E1020" s="9" t="e">
        <f t="shared" ca="1" si="152"/>
        <v>#NAME?</v>
      </c>
      <c r="F1020" s="9">
        <f t="shared" ca="1" si="153"/>
        <v>1</v>
      </c>
      <c r="G1020" s="8">
        <f t="shared" ca="1" si="154"/>
        <v>0</v>
      </c>
      <c r="H1020" s="8">
        <f t="shared" ca="1" si="155"/>
        <v>0</v>
      </c>
      <c r="I1020" s="8">
        <f t="shared" ca="1" si="156"/>
        <v>0</v>
      </c>
      <c r="J1020" s="6" t="e">
        <f ca="1">_xll.xlqxhSMA($C1020,$L$4,$J$7,$K$3)</f>
        <v>#NAME?</v>
      </c>
      <c r="K1020" s="7" t="e">
        <f ca="1">_xll.xlqhClose($C1020,K$8,$K$3)</f>
        <v>#NAME?</v>
      </c>
      <c r="L1020" s="7" t="e">
        <f ca="1">_xll.xlqhClose($C1020,L$8,$K$3)</f>
        <v>#NAME?</v>
      </c>
      <c r="N1020" s="9">
        <f t="shared" ca="1" si="157"/>
        <v>1</v>
      </c>
      <c r="O1020" s="9">
        <f t="shared" ca="1" si="158"/>
        <v>1</v>
      </c>
      <c r="P1020" s="9">
        <f t="shared" ca="1" si="159"/>
        <v>1</v>
      </c>
      <c r="Q1020" s="9">
        <f t="shared" ca="1" si="160"/>
        <v>1</v>
      </c>
      <c r="R1020" s="9">
        <f t="shared" ca="1" si="161"/>
        <v>0</v>
      </c>
    </row>
    <row r="1021" spans="2:18" x14ac:dyDescent="0.25">
      <c r="B1021" s="17" t="s">
        <v>518</v>
      </c>
      <c r="C1021" s="18" t="s">
        <v>519</v>
      </c>
      <c r="D1021" s="7" t="e">
        <f ca="1">_xll.xlqPrice(C1021)</f>
        <v>#NAME?</v>
      </c>
      <c r="E1021" s="9" t="e">
        <f t="shared" ca="1" si="152"/>
        <v>#NAME?</v>
      </c>
      <c r="F1021" s="9">
        <f t="shared" ca="1" si="153"/>
        <v>1</v>
      </c>
      <c r="G1021" s="8">
        <f t="shared" ca="1" si="154"/>
        <v>0</v>
      </c>
      <c r="H1021" s="8">
        <f t="shared" ca="1" si="155"/>
        <v>0</v>
      </c>
      <c r="I1021" s="8">
        <f t="shared" ca="1" si="156"/>
        <v>0</v>
      </c>
      <c r="J1021" s="6" t="e">
        <f ca="1">_xll.xlqxhSMA($C1021,$L$4,$J$7,$K$3)</f>
        <v>#NAME?</v>
      </c>
      <c r="K1021" s="7" t="e">
        <f ca="1">_xll.xlqhClose($C1021,K$8,$K$3)</f>
        <v>#NAME?</v>
      </c>
      <c r="L1021" s="7" t="e">
        <f ca="1">_xll.xlqhClose($C1021,L$8,$K$3)</f>
        <v>#NAME?</v>
      </c>
      <c r="N1021" s="9">
        <f t="shared" ca="1" si="157"/>
        <v>1</v>
      </c>
      <c r="O1021" s="9">
        <f t="shared" ca="1" si="158"/>
        <v>1</v>
      </c>
      <c r="P1021" s="9">
        <f t="shared" ca="1" si="159"/>
        <v>1</v>
      </c>
      <c r="Q1021" s="9">
        <f t="shared" ca="1" si="160"/>
        <v>1</v>
      </c>
      <c r="R1021" s="9">
        <f t="shared" ca="1" si="161"/>
        <v>0</v>
      </c>
    </row>
    <row r="1022" spans="2:18" x14ac:dyDescent="0.25">
      <c r="B1022" s="17" t="s">
        <v>632</v>
      </c>
      <c r="C1022" s="18" t="s">
        <v>633</v>
      </c>
      <c r="D1022" s="7" t="e">
        <f ca="1">_xll.xlqPrice(C1022)</f>
        <v>#NAME?</v>
      </c>
      <c r="E1022" s="9" t="e">
        <f t="shared" ca="1" si="152"/>
        <v>#NAME?</v>
      </c>
      <c r="F1022" s="9">
        <f t="shared" ca="1" si="153"/>
        <v>1</v>
      </c>
      <c r="G1022" s="8">
        <f t="shared" ca="1" si="154"/>
        <v>0</v>
      </c>
      <c r="H1022" s="8">
        <f t="shared" ca="1" si="155"/>
        <v>0</v>
      </c>
      <c r="I1022" s="8">
        <f t="shared" ca="1" si="156"/>
        <v>0</v>
      </c>
      <c r="J1022" s="6" t="e">
        <f ca="1">_xll.xlqxhSMA($C1022,$L$4,$J$7,$K$3)</f>
        <v>#NAME?</v>
      </c>
      <c r="K1022" s="7" t="e">
        <f ca="1">_xll.xlqhClose($C1022,K$8,$K$3)</f>
        <v>#NAME?</v>
      </c>
      <c r="L1022" s="7" t="e">
        <f ca="1">_xll.xlqhClose($C1022,L$8,$K$3)</f>
        <v>#NAME?</v>
      </c>
      <c r="N1022" s="9">
        <f t="shared" ca="1" si="157"/>
        <v>1</v>
      </c>
      <c r="O1022" s="9">
        <f t="shared" ca="1" si="158"/>
        <v>1</v>
      </c>
      <c r="P1022" s="9">
        <f t="shared" ca="1" si="159"/>
        <v>1</v>
      </c>
      <c r="Q1022" s="9">
        <f t="shared" ca="1" si="160"/>
        <v>1</v>
      </c>
      <c r="R1022" s="9">
        <f t="shared" ca="1" si="161"/>
        <v>0</v>
      </c>
    </row>
    <row r="1023" spans="2:18" x14ac:dyDescent="0.25">
      <c r="B1023" t="s">
        <v>1381</v>
      </c>
      <c r="C1023" s="39" t="s">
        <v>1382</v>
      </c>
      <c r="D1023" s="7" t="e">
        <f ca="1">_xll.xlqPrice(C1023)</f>
        <v>#NAME?</v>
      </c>
      <c r="E1023" s="9" t="e">
        <f t="shared" ca="1" si="152"/>
        <v>#NAME?</v>
      </c>
      <c r="F1023" s="9">
        <f t="shared" ca="1" si="153"/>
        <v>1</v>
      </c>
      <c r="G1023" s="8">
        <f t="shared" ca="1" si="154"/>
        <v>0</v>
      </c>
      <c r="H1023" s="8">
        <f t="shared" ca="1" si="155"/>
        <v>0</v>
      </c>
      <c r="I1023" s="8">
        <f t="shared" ca="1" si="156"/>
        <v>0</v>
      </c>
      <c r="J1023" s="6" t="e">
        <f ca="1">_xll.xlqxhSMA($C1023,$L$4,$J$7,$K$3)</f>
        <v>#NAME?</v>
      </c>
      <c r="K1023" s="7" t="e">
        <f ca="1">_xll.xlqhClose($C1023,K$8,$K$3)</f>
        <v>#NAME?</v>
      </c>
      <c r="L1023" s="7" t="e">
        <f ca="1">_xll.xlqhClose($C1023,L$8,$K$3)</f>
        <v>#NAME?</v>
      </c>
      <c r="N1023" s="9">
        <f t="shared" ca="1" si="157"/>
        <v>1</v>
      </c>
      <c r="O1023" s="9">
        <f t="shared" ca="1" si="158"/>
        <v>1</v>
      </c>
      <c r="P1023" s="9">
        <f t="shared" ca="1" si="159"/>
        <v>1</v>
      </c>
      <c r="Q1023" s="9">
        <f t="shared" ca="1" si="160"/>
        <v>1</v>
      </c>
      <c r="R1023" s="9">
        <f t="shared" ca="1" si="161"/>
        <v>0</v>
      </c>
    </row>
    <row r="1024" spans="2:18" x14ac:dyDescent="0.25">
      <c r="B1024" t="s">
        <v>864</v>
      </c>
      <c r="C1024" s="39" t="s">
        <v>865</v>
      </c>
      <c r="D1024" s="7" t="e">
        <f ca="1">_xll.xlqPrice(C1024)</f>
        <v>#NAME?</v>
      </c>
      <c r="E1024" s="9" t="e">
        <f t="shared" ca="1" si="152"/>
        <v>#NAME?</v>
      </c>
      <c r="F1024" s="9">
        <f t="shared" ca="1" si="153"/>
        <v>1</v>
      </c>
      <c r="G1024" s="8">
        <f t="shared" ca="1" si="154"/>
        <v>0</v>
      </c>
      <c r="H1024" s="8">
        <f t="shared" ca="1" si="155"/>
        <v>0</v>
      </c>
      <c r="I1024" s="8">
        <f t="shared" ca="1" si="156"/>
        <v>0</v>
      </c>
      <c r="J1024" s="6" t="e">
        <f ca="1">_xll.xlqxhSMA($C1024,$L$4,$J$7,$K$3)</f>
        <v>#NAME?</v>
      </c>
      <c r="K1024" s="7" t="e">
        <f ca="1">_xll.xlqhClose($C1024,K$8,$K$3)</f>
        <v>#NAME?</v>
      </c>
      <c r="L1024" s="7" t="e">
        <f ca="1">_xll.xlqhClose($C1024,L$8,$K$3)</f>
        <v>#NAME?</v>
      </c>
      <c r="N1024" s="9">
        <f t="shared" ca="1" si="157"/>
        <v>1</v>
      </c>
      <c r="O1024" s="9">
        <f t="shared" ca="1" si="158"/>
        <v>1</v>
      </c>
      <c r="P1024" s="9">
        <f t="shared" ca="1" si="159"/>
        <v>1</v>
      </c>
      <c r="Q1024" s="9">
        <f t="shared" ca="1" si="160"/>
        <v>1</v>
      </c>
      <c r="R1024" s="9">
        <f t="shared" ca="1" si="161"/>
        <v>0</v>
      </c>
    </row>
    <row r="1025" spans="2:18" x14ac:dyDescent="0.25">
      <c r="B1025" s="17" t="s">
        <v>1567</v>
      </c>
      <c r="C1025" s="18" t="s">
        <v>1568</v>
      </c>
      <c r="D1025" s="7" t="e">
        <f ca="1">_xll.xlqPrice(C1025)</f>
        <v>#NAME?</v>
      </c>
      <c r="E1025" s="9" t="e">
        <f t="shared" ca="1" si="152"/>
        <v>#NAME?</v>
      </c>
      <c r="F1025" s="9">
        <f t="shared" ca="1" si="153"/>
        <v>1</v>
      </c>
      <c r="G1025" s="8">
        <f t="shared" ca="1" si="154"/>
        <v>0</v>
      </c>
      <c r="H1025" s="8">
        <f t="shared" ca="1" si="155"/>
        <v>0</v>
      </c>
      <c r="I1025" s="8">
        <f t="shared" ca="1" si="156"/>
        <v>0</v>
      </c>
      <c r="J1025" s="6" t="e">
        <f ca="1">_xll.xlqxhSMA($C1025,$L$4,$J$7,$K$3)</f>
        <v>#NAME?</v>
      </c>
      <c r="K1025" s="7" t="e">
        <f ca="1">_xll.xlqhClose($C1025,K$8,$K$3)</f>
        <v>#NAME?</v>
      </c>
      <c r="L1025" s="7" t="e">
        <f ca="1">_xll.xlqhClose($C1025,L$8,$K$3)</f>
        <v>#NAME?</v>
      </c>
      <c r="N1025" s="9">
        <f t="shared" ca="1" si="157"/>
        <v>1</v>
      </c>
      <c r="O1025" s="9">
        <f t="shared" ca="1" si="158"/>
        <v>1</v>
      </c>
      <c r="P1025" s="9">
        <f t="shared" ca="1" si="159"/>
        <v>1</v>
      </c>
      <c r="Q1025" s="9">
        <f t="shared" ca="1" si="160"/>
        <v>1</v>
      </c>
      <c r="R1025" s="9">
        <f t="shared" ca="1" si="161"/>
        <v>0</v>
      </c>
    </row>
    <row r="1026" spans="2:18" x14ac:dyDescent="0.25">
      <c r="B1026" t="s">
        <v>934</v>
      </c>
      <c r="C1026" s="39" t="s">
        <v>935</v>
      </c>
      <c r="D1026" s="7" t="e">
        <f ca="1">_xll.xlqPrice(C1026)</f>
        <v>#NAME?</v>
      </c>
      <c r="E1026" s="9" t="e">
        <f t="shared" ca="1" si="152"/>
        <v>#NAME?</v>
      </c>
      <c r="F1026" s="9">
        <f t="shared" ca="1" si="153"/>
        <v>1</v>
      </c>
      <c r="G1026" s="8">
        <f t="shared" ca="1" si="154"/>
        <v>0</v>
      </c>
      <c r="H1026" s="8">
        <f t="shared" ca="1" si="155"/>
        <v>0</v>
      </c>
      <c r="I1026" s="8">
        <f t="shared" ca="1" si="156"/>
        <v>0</v>
      </c>
      <c r="J1026" s="6" t="e">
        <f ca="1">_xll.xlqxhSMA($C1026,$L$4,$J$7,$K$3)</f>
        <v>#NAME?</v>
      </c>
      <c r="K1026" s="7" t="e">
        <f ca="1">_xll.xlqhClose($C1026,K$8,$K$3)</f>
        <v>#NAME?</v>
      </c>
      <c r="L1026" s="7" t="e">
        <f ca="1">_xll.xlqhClose($C1026,L$8,$K$3)</f>
        <v>#NAME?</v>
      </c>
      <c r="N1026" s="9">
        <f t="shared" ca="1" si="157"/>
        <v>1</v>
      </c>
      <c r="O1026" s="9">
        <f t="shared" ca="1" si="158"/>
        <v>1</v>
      </c>
      <c r="P1026" s="9">
        <f t="shared" ca="1" si="159"/>
        <v>1</v>
      </c>
      <c r="Q1026" s="9">
        <f t="shared" ca="1" si="160"/>
        <v>1</v>
      </c>
      <c r="R1026" s="9">
        <f t="shared" ca="1" si="161"/>
        <v>0</v>
      </c>
    </row>
    <row r="1027" spans="2:18" x14ac:dyDescent="0.25">
      <c r="B1027" s="17" t="s">
        <v>714</v>
      </c>
      <c r="C1027" s="18" t="s">
        <v>715</v>
      </c>
      <c r="D1027" s="7" t="e">
        <f ca="1">_xll.xlqPrice(C1027)</f>
        <v>#NAME?</v>
      </c>
      <c r="E1027" s="9" t="e">
        <f t="shared" ca="1" si="152"/>
        <v>#NAME?</v>
      </c>
      <c r="F1027" s="9">
        <f t="shared" ca="1" si="153"/>
        <v>1</v>
      </c>
      <c r="G1027" s="8">
        <f t="shared" ca="1" si="154"/>
        <v>0</v>
      </c>
      <c r="H1027" s="8">
        <f t="shared" ca="1" si="155"/>
        <v>0</v>
      </c>
      <c r="I1027" s="8">
        <f t="shared" ca="1" si="156"/>
        <v>0</v>
      </c>
      <c r="J1027" s="6" t="e">
        <f ca="1">_xll.xlqxhSMA($C1027,$L$4,$J$7,$K$3)</f>
        <v>#NAME?</v>
      </c>
      <c r="K1027" s="7" t="e">
        <f ca="1">_xll.xlqhClose($C1027,K$8,$K$3)</f>
        <v>#NAME?</v>
      </c>
      <c r="L1027" s="7" t="e">
        <f ca="1">_xll.xlqhClose($C1027,L$8,$K$3)</f>
        <v>#NAME?</v>
      </c>
      <c r="N1027" s="9">
        <f t="shared" ca="1" si="157"/>
        <v>1</v>
      </c>
      <c r="O1027" s="9">
        <f t="shared" ca="1" si="158"/>
        <v>1</v>
      </c>
      <c r="P1027" s="9">
        <f t="shared" ca="1" si="159"/>
        <v>1</v>
      </c>
      <c r="Q1027" s="9">
        <f t="shared" ca="1" si="160"/>
        <v>1</v>
      </c>
      <c r="R1027" s="9">
        <f t="shared" ca="1" si="161"/>
        <v>0</v>
      </c>
    </row>
    <row r="1028" spans="2:18" x14ac:dyDescent="0.25">
      <c r="B1028" s="17" t="s">
        <v>484</v>
      </c>
      <c r="C1028" s="18" t="s">
        <v>485</v>
      </c>
      <c r="D1028" s="7" t="e">
        <f ca="1">_xll.xlqPrice(C1028)</f>
        <v>#NAME?</v>
      </c>
      <c r="E1028" s="9" t="e">
        <f t="shared" ca="1" si="152"/>
        <v>#NAME?</v>
      </c>
      <c r="F1028" s="9">
        <f t="shared" ca="1" si="153"/>
        <v>1</v>
      </c>
      <c r="G1028" s="8">
        <f t="shared" ca="1" si="154"/>
        <v>0</v>
      </c>
      <c r="H1028" s="8">
        <f t="shared" ca="1" si="155"/>
        <v>0</v>
      </c>
      <c r="I1028" s="8">
        <f t="shared" ca="1" si="156"/>
        <v>0</v>
      </c>
      <c r="J1028" s="6" t="e">
        <f ca="1">_xll.xlqxhSMA($C1028,$L$4,$J$7,$K$3)</f>
        <v>#NAME?</v>
      </c>
      <c r="K1028" s="7" t="e">
        <f ca="1">_xll.xlqhClose($C1028,K$8,$K$3)</f>
        <v>#NAME?</v>
      </c>
      <c r="L1028" s="7" t="e">
        <f ca="1">_xll.xlqhClose($C1028,L$8,$K$3)</f>
        <v>#NAME?</v>
      </c>
      <c r="N1028" s="9">
        <f t="shared" ca="1" si="157"/>
        <v>1</v>
      </c>
      <c r="O1028" s="9">
        <f t="shared" ca="1" si="158"/>
        <v>1</v>
      </c>
      <c r="P1028" s="9">
        <f t="shared" ca="1" si="159"/>
        <v>1</v>
      </c>
      <c r="Q1028" s="9">
        <f t="shared" ca="1" si="160"/>
        <v>1</v>
      </c>
      <c r="R1028" s="9">
        <f t="shared" ca="1" si="161"/>
        <v>0</v>
      </c>
    </row>
    <row r="1029" spans="2:18" x14ac:dyDescent="0.25">
      <c r="B1029" s="17" t="s">
        <v>522</v>
      </c>
      <c r="C1029" s="18" t="s">
        <v>523</v>
      </c>
      <c r="D1029" s="7" t="e">
        <f ca="1">_xll.xlqPrice(C1029)</f>
        <v>#NAME?</v>
      </c>
      <c r="E1029" s="9" t="e">
        <f t="shared" ca="1" si="152"/>
        <v>#NAME?</v>
      </c>
      <c r="F1029" s="9">
        <f t="shared" ca="1" si="153"/>
        <v>1</v>
      </c>
      <c r="G1029" s="8">
        <f t="shared" ca="1" si="154"/>
        <v>0</v>
      </c>
      <c r="H1029" s="8">
        <f t="shared" ca="1" si="155"/>
        <v>0</v>
      </c>
      <c r="I1029" s="8">
        <f t="shared" ca="1" si="156"/>
        <v>0</v>
      </c>
      <c r="J1029" s="6" t="e">
        <f ca="1">_xll.xlqxhSMA($C1029,$L$4,$J$7,$K$3)</f>
        <v>#NAME?</v>
      </c>
      <c r="K1029" s="7" t="e">
        <f ca="1">_xll.xlqhClose($C1029,K$8,$K$3)</f>
        <v>#NAME?</v>
      </c>
      <c r="L1029" s="7" t="e">
        <f ca="1">_xll.xlqhClose($C1029,L$8,$K$3)</f>
        <v>#NAME?</v>
      </c>
      <c r="N1029" s="9">
        <f t="shared" ca="1" si="157"/>
        <v>1</v>
      </c>
      <c r="O1029" s="9">
        <f t="shared" ca="1" si="158"/>
        <v>1</v>
      </c>
      <c r="P1029" s="9">
        <f t="shared" ca="1" si="159"/>
        <v>1</v>
      </c>
      <c r="Q1029" s="9">
        <f t="shared" ca="1" si="160"/>
        <v>1</v>
      </c>
      <c r="R1029" s="9">
        <f t="shared" ca="1" si="161"/>
        <v>0</v>
      </c>
    </row>
    <row r="1030" spans="2:18" x14ac:dyDescent="0.25">
      <c r="B1030" s="17" t="s">
        <v>971</v>
      </c>
      <c r="C1030" s="18" t="s">
        <v>972</v>
      </c>
      <c r="D1030" s="7" t="e">
        <f ca="1">_xll.xlqPrice(C1030)</f>
        <v>#NAME?</v>
      </c>
      <c r="E1030" s="9" t="e">
        <f t="shared" ca="1" si="152"/>
        <v>#NAME?</v>
      </c>
      <c r="F1030" s="9">
        <f t="shared" ca="1" si="153"/>
        <v>1</v>
      </c>
      <c r="G1030" s="8">
        <f t="shared" ca="1" si="154"/>
        <v>0</v>
      </c>
      <c r="H1030" s="8">
        <f t="shared" ca="1" si="155"/>
        <v>0</v>
      </c>
      <c r="I1030" s="8">
        <f t="shared" ca="1" si="156"/>
        <v>0</v>
      </c>
      <c r="J1030" s="6" t="e">
        <f ca="1">_xll.xlqxhSMA($C1030,$L$4,$J$7,$K$3)</f>
        <v>#NAME?</v>
      </c>
      <c r="K1030" s="7" t="e">
        <f ca="1">_xll.xlqhClose($C1030,K$8,$K$3)</f>
        <v>#NAME?</v>
      </c>
      <c r="L1030" s="7" t="e">
        <f ca="1">_xll.xlqhClose($C1030,L$8,$K$3)</f>
        <v>#NAME?</v>
      </c>
      <c r="N1030" s="9">
        <f t="shared" ca="1" si="157"/>
        <v>1</v>
      </c>
      <c r="O1030" s="9">
        <f t="shared" ca="1" si="158"/>
        <v>1</v>
      </c>
      <c r="P1030" s="9">
        <f t="shared" ca="1" si="159"/>
        <v>1</v>
      </c>
      <c r="Q1030" s="9">
        <f t="shared" ca="1" si="160"/>
        <v>1</v>
      </c>
      <c r="R1030" s="9">
        <f t="shared" ca="1" si="161"/>
        <v>0</v>
      </c>
    </row>
    <row r="1031" spans="2:18" x14ac:dyDescent="0.25">
      <c r="B1031" t="s">
        <v>1289</v>
      </c>
      <c r="C1031" s="39" t="s">
        <v>1290</v>
      </c>
      <c r="D1031" s="7" t="e">
        <f ca="1">_xll.xlqPrice(C1031)</f>
        <v>#NAME?</v>
      </c>
      <c r="E1031" s="9" t="e">
        <f t="shared" ca="1" si="152"/>
        <v>#NAME?</v>
      </c>
      <c r="F1031" s="9">
        <f t="shared" ca="1" si="153"/>
        <v>1</v>
      </c>
      <c r="G1031" s="8">
        <f t="shared" ca="1" si="154"/>
        <v>0</v>
      </c>
      <c r="H1031" s="8">
        <f t="shared" ca="1" si="155"/>
        <v>0</v>
      </c>
      <c r="I1031" s="8">
        <f t="shared" ca="1" si="156"/>
        <v>0</v>
      </c>
      <c r="J1031" s="6" t="e">
        <f ca="1">_xll.xlqxhSMA($C1031,$L$4,$J$7,$K$3)</f>
        <v>#NAME?</v>
      </c>
      <c r="K1031" s="7" t="e">
        <f ca="1">_xll.xlqhClose($C1031,K$8,$K$3)</f>
        <v>#NAME?</v>
      </c>
      <c r="L1031" s="7" t="e">
        <f ca="1">_xll.xlqhClose($C1031,L$8,$K$3)</f>
        <v>#NAME?</v>
      </c>
      <c r="N1031" s="9">
        <f t="shared" ca="1" si="157"/>
        <v>1</v>
      </c>
      <c r="O1031" s="9">
        <f t="shared" ca="1" si="158"/>
        <v>1</v>
      </c>
      <c r="P1031" s="9">
        <f t="shared" ca="1" si="159"/>
        <v>1</v>
      </c>
      <c r="Q1031" s="9">
        <f t="shared" ca="1" si="160"/>
        <v>1</v>
      </c>
      <c r="R1031" s="9">
        <f t="shared" ca="1" si="161"/>
        <v>0</v>
      </c>
    </row>
    <row r="1032" spans="2:18" x14ac:dyDescent="0.25">
      <c r="B1032" s="17" t="s">
        <v>1025</v>
      </c>
      <c r="C1032" s="18" t="s">
        <v>1026</v>
      </c>
      <c r="D1032" s="7" t="e">
        <f ca="1">_xll.xlqPrice(C1032)</f>
        <v>#NAME?</v>
      </c>
      <c r="E1032" s="9" t="e">
        <f t="shared" ca="1" si="152"/>
        <v>#NAME?</v>
      </c>
      <c r="F1032" s="9">
        <f t="shared" ca="1" si="153"/>
        <v>1</v>
      </c>
      <c r="G1032" s="8">
        <f t="shared" ca="1" si="154"/>
        <v>0</v>
      </c>
      <c r="H1032" s="8">
        <f t="shared" ca="1" si="155"/>
        <v>0</v>
      </c>
      <c r="I1032" s="8">
        <f t="shared" ca="1" si="156"/>
        <v>0</v>
      </c>
      <c r="J1032" s="6" t="e">
        <f ca="1">_xll.xlqxhSMA($C1032,$L$4,$J$7,$K$3)</f>
        <v>#NAME?</v>
      </c>
      <c r="K1032" s="7" t="e">
        <f ca="1">_xll.xlqhClose($C1032,K$8,$K$3)</f>
        <v>#NAME?</v>
      </c>
      <c r="L1032" s="7" t="e">
        <f ca="1">_xll.xlqhClose($C1032,L$8,$K$3)</f>
        <v>#NAME?</v>
      </c>
      <c r="N1032" s="9">
        <f t="shared" ca="1" si="157"/>
        <v>1</v>
      </c>
      <c r="O1032" s="9">
        <f t="shared" ca="1" si="158"/>
        <v>1</v>
      </c>
      <c r="P1032" s="9">
        <f t="shared" ca="1" si="159"/>
        <v>1</v>
      </c>
      <c r="Q1032" s="9">
        <f t="shared" ca="1" si="160"/>
        <v>1</v>
      </c>
      <c r="R1032" s="9">
        <f t="shared" ca="1" si="161"/>
        <v>0</v>
      </c>
    </row>
    <row r="1033" spans="2:18" x14ac:dyDescent="0.25">
      <c r="B1033" s="17" t="s">
        <v>1005</v>
      </c>
      <c r="C1033" s="18" t="s">
        <v>1006</v>
      </c>
      <c r="D1033" s="7" t="e">
        <f ca="1">_xll.xlqPrice(C1033)</f>
        <v>#NAME?</v>
      </c>
      <c r="E1033" s="9" t="e">
        <f t="shared" ca="1" si="152"/>
        <v>#NAME?</v>
      </c>
      <c r="F1033" s="9">
        <f t="shared" ca="1" si="153"/>
        <v>1</v>
      </c>
      <c r="G1033" s="8">
        <f t="shared" ca="1" si="154"/>
        <v>0</v>
      </c>
      <c r="H1033" s="8">
        <f t="shared" ca="1" si="155"/>
        <v>0</v>
      </c>
      <c r="I1033" s="8">
        <f t="shared" ca="1" si="156"/>
        <v>0</v>
      </c>
      <c r="J1033" s="6" t="e">
        <f ca="1">_xll.xlqxhSMA($C1033,$L$4,$J$7,$K$3)</f>
        <v>#NAME?</v>
      </c>
      <c r="K1033" s="7" t="e">
        <f ca="1">_xll.xlqhClose($C1033,K$8,$K$3)</f>
        <v>#NAME?</v>
      </c>
      <c r="L1033" s="7" t="e">
        <f ca="1">_xll.xlqhClose($C1033,L$8,$K$3)</f>
        <v>#NAME?</v>
      </c>
      <c r="N1033" s="9">
        <f t="shared" ca="1" si="157"/>
        <v>1</v>
      </c>
      <c r="O1033" s="9">
        <f t="shared" ca="1" si="158"/>
        <v>1</v>
      </c>
      <c r="P1033" s="9">
        <f t="shared" ca="1" si="159"/>
        <v>1</v>
      </c>
      <c r="Q1033" s="9">
        <f t="shared" ca="1" si="160"/>
        <v>1</v>
      </c>
      <c r="R1033" s="9">
        <f t="shared" ca="1" si="161"/>
        <v>0</v>
      </c>
    </row>
    <row r="1034" spans="2:18" x14ac:dyDescent="0.25">
      <c r="B1034" s="17" t="s">
        <v>260</v>
      </c>
      <c r="C1034" s="18" t="s">
        <v>261</v>
      </c>
      <c r="D1034" s="7" t="e">
        <f ca="1">_xll.xlqPrice(C1034)</f>
        <v>#NAME?</v>
      </c>
      <c r="E1034" s="9" t="e">
        <f t="shared" ca="1" si="152"/>
        <v>#NAME?</v>
      </c>
      <c r="F1034" s="9">
        <f t="shared" ca="1" si="153"/>
        <v>1</v>
      </c>
      <c r="G1034" s="8">
        <f t="shared" ca="1" si="154"/>
        <v>0</v>
      </c>
      <c r="H1034" s="8">
        <f t="shared" ca="1" si="155"/>
        <v>0</v>
      </c>
      <c r="I1034" s="8">
        <f t="shared" ca="1" si="156"/>
        <v>0</v>
      </c>
      <c r="J1034" s="6" t="e">
        <f ca="1">_xll.xlqxhSMA($C1034,$L$4,$J$7,$K$3)</f>
        <v>#NAME?</v>
      </c>
      <c r="K1034" s="7" t="e">
        <f ca="1">_xll.xlqhClose($C1034,K$8,$K$3)</f>
        <v>#NAME?</v>
      </c>
      <c r="L1034" s="7" t="e">
        <f ca="1">_xll.xlqhClose($C1034,L$8,$K$3)</f>
        <v>#NAME?</v>
      </c>
      <c r="N1034" s="9">
        <f t="shared" ca="1" si="157"/>
        <v>1</v>
      </c>
      <c r="O1034" s="9">
        <f t="shared" ca="1" si="158"/>
        <v>1</v>
      </c>
      <c r="P1034" s="9">
        <f t="shared" ca="1" si="159"/>
        <v>1</v>
      </c>
      <c r="Q1034" s="9">
        <f t="shared" ca="1" si="160"/>
        <v>1</v>
      </c>
      <c r="R1034" s="9">
        <f t="shared" ca="1" si="161"/>
        <v>0</v>
      </c>
    </row>
    <row r="1035" spans="2:18" x14ac:dyDescent="0.25">
      <c r="B1035" t="s">
        <v>1467</v>
      </c>
      <c r="C1035" s="39" t="s">
        <v>1468</v>
      </c>
      <c r="D1035" s="7" t="e">
        <f ca="1">_xll.xlqPrice(C1035)</f>
        <v>#NAME?</v>
      </c>
      <c r="E1035" s="9" t="e">
        <f t="shared" ref="E1035:E1098" ca="1" si="162">IF(D1035&gt;J1035, "Buy","Cash")</f>
        <v>#NAME?</v>
      </c>
      <c r="F1035" s="9">
        <f t="shared" ref="F1035:F1098" ca="1" si="163">RANK(I1035,$I$11:$I$1138,0)</f>
        <v>1</v>
      </c>
      <c r="G1035" s="8">
        <f t="shared" ref="G1035:G1098" ca="1" si="164">IFERROR(($D1035-K1035)/K1035,0)</f>
        <v>0</v>
      </c>
      <c r="H1035" s="8">
        <f t="shared" ref="H1035:H1098" ca="1" si="165">IFERROR(($D1035-L1035)/L1035,0)</f>
        <v>0</v>
      </c>
      <c r="I1035" s="8">
        <f t="shared" ref="I1035:I1098" ca="1" si="166">IFERROR((G1035*$G$8)+(H1035*$H$8),0)</f>
        <v>0</v>
      </c>
      <c r="J1035" s="6" t="e">
        <f ca="1">_xll.xlqxhSMA($C1035,$L$4,$J$7,$K$3)</f>
        <v>#NAME?</v>
      </c>
      <c r="K1035" s="7" t="e">
        <f ca="1">_xll.xlqhClose($C1035,K$8,$K$3)</f>
        <v>#NAME?</v>
      </c>
      <c r="L1035" s="7" t="e">
        <f ca="1">_xll.xlqhClose($C1035,L$8,$K$3)</f>
        <v>#NAME?</v>
      </c>
      <c r="N1035" s="9">
        <f t="shared" ref="N1035:N1098" ca="1" si="167">RANK($G1035,G$11:G$1138,0)</f>
        <v>1</v>
      </c>
      <c r="O1035" s="9">
        <f t="shared" ref="O1035:O1098" ca="1" si="168">RANK($H1035,H$11:H$1138,0)</f>
        <v>1</v>
      </c>
      <c r="P1035" s="9">
        <f t="shared" ref="P1035:P1098" ca="1" si="169">RANK($I1035,I$11:I$1138,0)</f>
        <v>1</v>
      </c>
      <c r="Q1035" s="9">
        <f t="shared" ref="Q1035:Q1098" ca="1" si="170">RANK($P1035,P$11:P$1138,1)</f>
        <v>1</v>
      </c>
      <c r="R1035" s="9">
        <f t="shared" ref="R1035:R1098" ca="1" si="171">F1035-Q1035</f>
        <v>0</v>
      </c>
    </row>
    <row r="1036" spans="2:18" x14ac:dyDescent="0.25">
      <c r="B1036" s="17" t="s">
        <v>722</v>
      </c>
      <c r="C1036" s="18" t="s">
        <v>723</v>
      </c>
      <c r="D1036" s="7" t="e">
        <f ca="1">_xll.xlqPrice(C1036)</f>
        <v>#NAME?</v>
      </c>
      <c r="E1036" s="9" t="e">
        <f t="shared" ca="1" si="162"/>
        <v>#NAME?</v>
      </c>
      <c r="F1036" s="9">
        <f t="shared" ca="1" si="163"/>
        <v>1</v>
      </c>
      <c r="G1036" s="8">
        <f t="shared" ca="1" si="164"/>
        <v>0</v>
      </c>
      <c r="H1036" s="8">
        <f t="shared" ca="1" si="165"/>
        <v>0</v>
      </c>
      <c r="I1036" s="8">
        <f t="shared" ca="1" si="166"/>
        <v>0</v>
      </c>
      <c r="J1036" s="6" t="e">
        <f ca="1">_xll.xlqxhSMA($C1036,$L$4,$J$7,$K$3)</f>
        <v>#NAME?</v>
      </c>
      <c r="K1036" s="7" t="e">
        <f ca="1">_xll.xlqhClose($C1036,K$8,$K$3)</f>
        <v>#NAME?</v>
      </c>
      <c r="L1036" s="7" t="e">
        <f ca="1">_xll.xlqhClose($C1036,L$8,$K$3)</f>
        <v>#NAME?</v>
      </c>
      <c r="N1036" s="9">
        <f t="shared" ca="1" si="167"/>
        <v>1</v>
      </c>
      <c r="O1036" s="9">
        <f t="shared" ca="1" si="168"/>
        <v>1</v>
      </c>
      <c r="P1036" s="9">
        <f t="shared" ca="1" si="169"/>
        <v>1</v>
      </c>
      <c r="Q1036" s="9">
        <f t="shared" ca="1" si="170"/>
        <v>1</v>
      </c>
      <c r="R1036" s="9">
        <f t="shared" ca="1" si="171"/>
        <v>0</v>
      </c>
    </row>
    <row r="1037" spans="2:18" x14ac:dyDescent="0.25">
      <c r="B1037" s="17" t="s">
        <v>242</v>
      </c>
      <c r="C1037" s="18" t="s">
        <v>243</v>
      </c>
      <c r="D1037" s="7" t="e">
        <f ca="1">_xll.xlqPrice(C1037)</f>
        <v>#NAME?</v>
      </c>
      <c r="E1037" s="9" t="e">
        <f t="shared" ca="1" si="162"/>
        <v>#NAME?</v>
      </c>
      <c r="F1037" s="9">
        <f t="shared" ca="1" si="163"/>
        <v>1</v>
      </c>
      <c r="G1037" s="8">
        <f t="shared" ca="1" si="164"/>
        <v>0</v>
      </c>
      <c r="H1037" s="8">
        <f t="shared" ca="1" si="165"/>
        <v>0</v>
      </c>
      <c r="I1037" s="8">
        <f t="shared" ca="1" si="166"/>
        <v>0</v>
      </c>
      <c r="J1037" s="6" t="e">
        <f ca="1">_xll.xlqxhSMA($C1037,$L$4,$J$7,$K$3)</f>
        <v>#NAME?</v>
      </c>
      <c r="K1037" s="7" t="e">
        <f ca="1">_xll.xlqhClose($C1037,K$8,$K$3)</f>
        <v>#NAME?</v>
      </c>
      <c r="L1037" s="7" t="e">
        <f ca="1">_xll.xlqhClose($C1037,L$8,$K$3)</f>
        <v>#NAME?</v>
      </c>
      <c r="N1037" s="9">
        <f t="shared" ca="1" si="167"/>
        <v>1</v>
      </c>
      <c r="O1037" s="9">
        <f t="shared" ca="1" si="168"/>
        <v>1</v>
      </c>
      <c r="P1037" s="9">
        <f t="shared" ca="1" si="169"/>
        <v>1</v>
      </c>
      <c r="Q1037" s="9">
        <f t="shared" ca="1" si="170"/>
        <v>1</v>
      </c>
      <c r="R1037" s="9">
        <f t="shared" ca="1" si="171"/>
        <v>0</v>
      </c>
    </row>
    <row r="1038" spans="2:18" x14ac:dyDescent="0.25">
      <c r="B1038" t="s">
        <v>1319</v>
      </c>
      <c r="C1038" s="39" t="s">
        <v>1320</v>
      </c>
      <c r="D1038" s="7" t="e">
        <f ca="1">_xll.xlqPrice(C1038)</f>
        <v>#NAME?</v>
      </c>
      <c r="E1038" s="9" t="e">
        <f t="shared" ca="1" si="162"/>
        <v>#NAME?</v>
      </c>
      <c r="F1038" s="9">
        <f t="shared" ca="1" si="163"/>
        <v>1</v>
      </c>
      <c r="G1038" s="8">
        <f t="shared" ca="1" si="164"/>
        <v>0</v>
      </c>
      <c r="H1038" s="8">
        <f t="shared" ca="1" si="165"/>
        <v>0</v>
      </c>
      <c r="I1038" s="8">
        <f t="shared" ca="1" si="166"/>
        <v>0</v>
      </c>
      <c r="J1038" s="6" t="e">
        <f ca="1">_xll.xlqxhSMA($C1038,$L$4,$J$7,$K$3)</f>
        <v>#NAME?</v>
      </c>
      <c r="K1038" s="7" t="e">
        <f ca="1">_xll.xlqhClose($C1038,K$8,$K$3)</f>
        <v>#NAME?</v>
      </c>
      <c r="L1038" s="7" t="e">
        <f ca="1">_xll.xlqhClose($C1038,L$8,$K$3)</f>
        <v>#NAME?</v>
      </c>
      <c r="N1038" s="9">
        <f t="shared" ca="1" si="167"/>
        <v>1</v>
      </c>
      <c r="O1038" s="9">
        <f t="shared" ca="1" si="168"/>
        <v>1</v>
      </c>
      <c r="P1038" s="9">
        <f t="shared" ca="1" si="169"/>
        <v>1</v>
      </c>
      <c r="Q1038" s="9">
        <f t="shared" ca="1" si="170"/>
        <v>1</v>
      </c>
      <c r="R1038" s="9">
        <f t="shared" ca="1" si="171"/>
        <v>0</v>
      </c>
    </row>
    <row r="1039" spans="2:18" x14ac:dyDescent="0.25">
      <c r="B1039" s="17" t="s">
        <v>552</v>
      </c>
      <c r="C1039" s="18" t="s">
        <v>553</v>
      </c>
      <c r="D1039" s="7" t="e">
        <f ca="1">_xll.xlqPrice(C1039)</f>
        <v>#NAME?</v>
      </c>
      <c r="E1039" s="9" t="e">
        <f t="shared" ca="1" si="162"/>
        <v>#NAME?</v>
      </c>
      <c r="F1039" s="9">
        <f t="shared" ca="1" si="163"/>
        <v>1</v>
      </c>
      <c r="G1039" s="8">
        <f t="shared" ca="1" si="164"/>
        <v>0</v>
      </c>
      <c r="H1039" s="8">
        <f t="shared" ca="1" si="165"/>
        <v>0</v>
      </c>
      <c r="I1039" s="8">
        <f t="shared" ca="1" si="166"/>
        <v>0</v>
      </c>
      <c r="J1039" s="6" t="e">
        <f ca="1">_xll.xlqxhSMA($C1039,$L$4,$J$7,$K$3)</f>
        <v>#NAME?</v>
      </c>
      <c r="K1039" s="7" t="e">
        <f ca="1">_xll.xlqhClose($C1039,K$8,$K$3)</f>
        <v>#NAME?</v>
      </c>
      <c r="L1039" s="7" t="e">
        <f ca="1">_xll.xlqhClose($C1039,L$8,$K$3)</f>
        <v>#NAME?</v>
      </c>
      <c r="N1039" s="9">
        <f t="shared" ca="1" si="167"/>
        <v>1</v>
      </c>
      <c r="O1039" s="9">
        <f t="shared" ca="1" si="168"/>
        <v>1</v>
      </c>
      <c r="P1039" s="9">
        <f t="shared" ca="1" si="169"/>
        <v>1</v>
      </c>
      <c r="Q1039" s="9">
        <f t="shared" ca="1" si="170"/>
        <v>1</v>
      </c>
      <c r="R1039" s="9">
        <f t="shared" ca="1" si="171"/>
        <v>0</v>
      </c>
    </row>
    <row r="1040" spans="2:18" x14ac:dyDescent="0.25">
      <c r="B1040" s="17" t="s">
        <v>1053</v>
      </c>
      <c r="C1040" s="18" t="s">
        <v>1054</v>
      </c>
      <c r="D1040" s="7" t="e">
        <f ca="1">_xll.xlqPrice(C1040)</f>
        <v>#NAME?</v>
      </c>
      <c r="E1040" s="9" t="e">
        <f t="shared" ca="1" si="162"/>
        <v>#NAME?</v>
      </c>
      <c r="F1040" s="9">
        <f t="shared" ca="1" si="163"/>
        <v>1</v>
      </c>
      <c r="G1040" s="8">
        <f t="shared" ca="1" si="164"/>
        <v>0</v>
      </c>
      <c r="H1040" s="8">
        <f t="shared" ca="1" si="165"/>
        <v>0</v>
      </c>
      <c r="I1040" s="8">
        <f t="shared" ca="1" si="166"/>
        <v>0</v>
      </c>
      <c r="J1040" s="6" t="e">
        <f ca="1">_xll.xlqxhSMA($C1040,$L$4,$J$7,$K$3)</f>
        <v>#NAME?</v>
      </c>
      <c r="K1040" s="7" t="e">
        <f ca="1">_xll.xlqhClose($C1040,K$8,$K$3)</f>
        <v>#NAME?</v>
      </c>
      <c r="L1040" s="7" t="e">
        <f ca="1">_xll.xlqhClose($C1040,L$8,$K$3)</f>
        <v>#NAME?</v>
      </c>
      <c r="N1040" s="9">
        <f t="shared" ca="1" si="167"/>
        <v>1</v>
      </c>
      <c r="O1040" s="9">
        <f t="shared" ca="1" si="168"/>
        <v>1</v>
      </c>
      <c r="P1040" s="9">
        <f t="shared" ca="1" si="169"/>
        <v>1</v>
      </c>
      <c r="Q1040" s="9">
        <f t="shared" ca="1" si="170"/>
        <v>1</v>
      </c>
      <c r="R1040" s="9">
        <f t="shared" ca="1" si="171"/>
        <v>0</v>
      </c>
    </row>
    <row r="1041" spans="2:18" x14ac:dyDescent="0.25">
      <c r="B1041" s="17" t="s">
        <v>1757</v>
      </c>
      <c r="C1041" s="18" t="s">
        <v>1758</v>
      </c>
      <c r="D1041" s="7" t="e">
        <f ca="1">_xll.xlqPrice(C1041)</f>
        <v>#NAME?</v>
      </c>
      <c r="E1041" s="9" t="e">
        <f t="shared" ca="1" si="162"/>
        <v>#NAME?</v>
      </c>
      <c r="F1041" s="9">
        <f t="shared" ca="1" si="163"/>
        <v>1</v>
      </c>
      <c r="G1041" s="8">
        <f t="shared" ca="1" si="164"/>
        <v>0</v>
      </c>
      <c r="H1041" s="8">
        <f t="shared" ca="1" si="165"/>
        <v>0</v>
      </c>
      <c r="I1041" s="8">
        <f t="shared" ca="1" si="166"/>
        <v>0</v>
      </c>
      <c r="J1041" s="6" t="e">
        <f ca="1">_xll.xlqxhSMA($C1041,$L$4,$J$7,$K$3)</f>
        <v>#NAME?</v>
      </c>
      <c r="K1041" s="7" t="e">
        <f ca="1">_xll.xlqhClose($C1041,K$8,$K$3)</f>
        <v>#NAME?</v>
      </c>
      <c r="L1041" s="7" t="e">
        <f ca="1">_xll.xlqhClose($C1041,L$8,$K$3)</f>
        <v>#NAME?</v>
      </c>
      <c r="N1041" s="9">
        <f t="shared" ca="1" si="167"/>
        <v>1</v>
      </c>
      <c r="O1041" s="9">
        <f t="shared" ca="1" si="168"/>
        <v>1</v>
      </c>
      <c r="P1041" s="9">
        <f t="shared" ca="1" si="169"/>
        <v>1</v>
      </c>
      <c r="Q1041" s="9">
        <f t="shared" ca="1" si="170"/>
        <v>1</v>
      </c>
      <c r="R1041" s="9">
        <f t="shared" ca="1" si="171"/>
        <v>0</v>
      </c>
    </row>
    <row r="1042" spans="2:18" x14ac:dyDescent="0.25">
      <c r="B1042" s="17" t="s">
        <v>2099</v>
      </c>
      <c r="C1042" s="18" t="s">
        <v>2100</v>
      </c>
      <c r="D1042" s="7" t="e">
        <f ca="1">_xll.xlqPrice(C1042)</f>
        <v>#NAME?</v>
      </c>
      <c r="E1042" s="9" t="e">
        <f t="shared" ca="1" si="162"/>
        <v>#NAME?</v>
      </c>
      <c r="F1042" s="9">
        <f t="shared" ca="1" si="163"/>
        <v>1</v>
      </c>
      <c r="G1042" s="8">
        <f t="shared" ca="1" si="164"/>
        <v>0</v>
      </c>
      <c r="H1042" s="8">
        <f t="shared" ca="1" si="165"/>
        <v>0</v>
      </c>
      <c r="I1042" s="8">
        <f t="shared" ca="1" si="166"/>
        <v>0</v>
      </c>
      <c r="J1042" s="6" t="e">
        <f ca="1">_xll.xlqxhSMA($C1042,$L$4,$J$7,$K$3)</f>
        <v>#NAME?</v>
      </c>
      <c r="K1042" s="7" t="e">
        <f ca="1">_xll.xlqhClose($C1042,K$8,$K$3)</f>
        <v>#NAME?</v>
      </c>
      <c r="L1042" s="7" t="e">
        <f ca="1">_xll.xlqhClose($C1042,L$8,$K$3)</f>
        <v>#NAME?</v>
      </c>
      <c r="N1042" s="9">
        <f t="shared" ca="1" si="167"/>
        <v>1</v>
      </c>
      <c r="O1042" s="9">
        <f t="shared" ca="1" si="168"/>
        <v>1</v>
      </c>
      <c r="P1042" s="9">
        <f t="shared" ca="1" si="169"/>
        <v>1</v>
      </c>
      <c r="Q1042" s="9">
        <f t="shared" ca="1" si="170"/>
        <v>1</v>
      </c>
      <c r="R1042" s="9">
        <f t="shared" ca="1" si="171"/>
        <v>0</v>
      </c>
    </row>
    <row r="1043" spans="2:18" x14ac:dyDescent="0.25">
      <c r="B1043" s="17" t="s">
        <v>690</v>
      </c>
      <c r="C1043" s="18" t="s">
        <v>691</v>
      </c>
      <c r="D1043" s="7" t="e">
        <f ca="1">_xll.xlqPrice(C1043)</f>
        <v>#NAME?</v>
      </c>
      <c r="E1043" s="9" t="e">
        <f t="shared" ca="1" si="162"/>
        <v>#NAME?</v>
      </c>
      <c r="F1043" s="9">
        <f t="shared" ca="1" si="163"/>
        <v>1</v>
      </c>
      <c r="G1043" s="8">
        <f t="shared" ca="1" si="164"/>
        <v>0</v>
      </c>
      <c r="H1043" s="8">
        <f t="shared" ca="1" si="165"/>
        <v>0</v>
      </c>
      <c r="I1043" s="8">
        <f t="shared" ca="1" si="166"/>
        <v>0</v>
      </c>
      <c r="J1043" s="6" t="e">
        <f ca="1">_xll.xlqxhSMA($C1043,$L$4,$J$7,$K$3)</f>
        <v>#NAME?</v>
      </c>
      <c r="K1043" s="7" t="e">
        <f ca="1">_xll.xlqhClose($C1043,K$8,$K$3)</f>
        <v>#NAME?</v>
      </c>
      <c r="L1043" s="7" t="e">
        <f ca="1">_xll.xlqhClose($C1043,L$8,$K$3)</f>
        <v>#NAME?</v>
      </c>
      <c r="N1043" s="9">
        <f t="shared" ca="1" si="167"/>
        <v>1</v>
      </c>
      <c r="O1043" s="9">
        <f t="shared" ca="1" si="168"/>
        <v>1</v>
      </c>
      <c r="P1043" s="9">
        <f t="shared" ca="1" si="169"/>
        <v>1</v>
      </c>
      <c r="Q1043" s="9">
        <f t="shared" ca="1" si="170"/>
        <v>1</v>
      </c>
      <c r="R1043" s="9">
        <f t="shared" ca="1" si="171"/>
        <v>0</v>
      </c>
    </row>
    <row r="1044" spans="2:18" x14ac:dyDescent="0.25">
      <c r="B1044" s="17" t="s">
        <v>810</v>
      </c>
      <c r="C1044" s="18" t="s">
        <v>811</v>
      </c>
      <c r="D1044" s="7" t="e">
        <f ca="1">_xll.xlqPrice(C1044)</f>
        <v>#NAME?</v>
      </c>
      <c r="E1044" s="9" t="e">
        <f t="shared" ca="1" si="162"/>
        <v>#NAME?</v>
      </c>
      <c r="F1044" s="9">
        <f t="shared" ca="1" si="163"/>
        <v>1</v>
      </c>
      <c r="G1044" s="8">
        <f t="shared" ca="1" si="164"/>
        <v>0</v>
      </c>
      <c r="H1044" s="8">
        <f t="shared" ca="1" si="165"/>
        <v>0</v>
      </c>
      <c r="I1044" s="8">
        <f t="shared" ca="1" si="166"/>
        <v>0</v>
      </c>
      <c r="J1044" s="6" t="e">
        <f ca="1">_xll.xlqxhSMA($C1044,$L$4,$J$7,$K$3)</f>
        <v>#NAME?</v>
      </c>
      <c r="K1044" s="7" t="e">
        <f ca="1">_xll.xlqhClose($C1044,K$8,$K$3)</f>
        <v>#NAME?</v>
      </c>
      <c r="L1044" s="7" t="e">
        <f ca="1">_xll.xlqhClose($C1044,L$8,$K$3)</f>
        <v>#NAME?</v>
      </c>
      <c r="N1044" s="9">
        <f t="shared" ca="1" si="167"/>
        <v>1</v>
      </c>
      <c r="O1044" s="9">
        <f t="shared" ca="1" si="168"/>
        <v>1</v>
      </c>
      <c r="P1044" s="9">
        <f t="shared" ca="1" si="169"/>
        <v>1</v>
      </c>
      <c r="Q1044" s="9">
        <f t="shared" ca="1" si="170"/>
        <v>1</v>
      </c>
      <c r="R1044" s="9">
        <f t="shared" ca="1" si="171"/>
        <v>0</v>
      </c>
    </row>
    <row r="1045" spans="2:18" x14ac:dyDescent="0.25">
      <c r="B1045" s="17" t="s">
        <v>602</v>
      </c>
      <c r="C1045" s="18" t="s">
        <v>603</v>
      </c>
      <c r="D1045" s="7" t="e">
        <f ca="1">_xll.xlqPrice(C1045)</f>
        <v>#NAME?</v>
      </c>
      <c r="E1045" s="9" t="e">
        <f t="shared" ca="1" si="162"/>
        <v>#NAME?</v>
      </c>
      <c r="F1045" s="9">
        <f t="shared" ca="1" si="163"/>
        <v>1</v>
      </c>
      <c r="G1045" s="8">
        <f t="shared" ca="1" si="164"/>
        <v>0</v>
      </c>
      <c r="H1045" s="8">
        <f t="shared" ca="1" si="165"/>
        <v>0</v>
      </c>
      <c r="I1045" s="8">
        <f t="shared" ca="1" si="166"/>
        <v>0</v>
      </c>
      <c r="J1045" s="6" t="e">
        <f ca="1">_xll.xlqxhSMA($C1045,$L$4,$J$7,$K$3)</f>
        <v>#NAME?</v>
      </c>
      <c r="K1045" s="7" t="e">
        <f ca="1">_xll.xlqhClose($C1045,K$8,$K$3)</f>
        <v>#NAME?</v>
      </c>
      <c r="L1045" s="7" t="e">
        <f ca="1">_xll.xlqhClose($C1045,L$8,$K$3)</f>
        <v>#NAME?</v>
      </c>
      <c r="N1045" s="9">
        <f t="shared" ca="1" si="167"/>
        <v>1</v>
      </c>
      <c r="O1045" s="9">
        <f t="shared" ca="1" si="168"/>
        <v>1</v>
      </c>
      <c r="P1045" s="9">
        <f t="shared" ca="1" si="169"/>
        <v>1</v>
      </c>
      <c r="Q1045" s="9">
        <f t="shared" ca="1" si="170"/>
        <v>1</v>
      </c>
      <c r="R1045" s="9">
        <f t="shared" ca="1" si="171"/>
        <v>0</v>
      </c>
    </row>
    <row r="1046" spans="2:18" x14ac:dyDescent="0.25">
      <c r="B1046" s="17" t="s">
        <v>580</v>
      </c>
      <c r="C1046" s="18" t="s">
        <v>581</v>
      </c>
      <c r="D1046" s="7" t="e">
        <f ca="1">_xll.xlqPrice(C1046)</f>
        <v>#NAME?</v>
      </c>
      <c r="E1046" s="9" t="e">
        <f t="shared" ca="1" si="162"/>
        <v>#NAME?</v>
      </c>
      <c r="F1046" s="9">
        <f t="shared" ca="1" si="163"/>
        <v>1</v>
      </c>
      <c r="G1046" s="8">
        <f t="shared" ca="1" si="164"/>
        <v>0</v>
      </c>
      <c r="H1046" s="8">
        <f t="shared" ca="1" si="165"/>
        <v>0</v>
      </c>
      <c r="I1046" s="8">
        <f t="shared" ca="1" si="166"/>
        <v>0</v>
      </c>
      <c r="J1046" s="6" t="e">
        <f ca="1">_xll.xlqxhSMA($C1046,$L$4,$J$7,$K$3)</f>
        <v>#NAME?</v>
      </c>
      <c r="K1046" s="7" t="e">
        <f ca="1">_xll.xlqhClose($C1046,K$8,$K$3)</f>
        <v>#NAME?</v>
      </c>
      <c r="L1046" s="7" t="e">
        <f ca="1">_xll.xlqhClose($C1046,L$8,$K$3)</f>
        <v>#NAME?</v>
      </c>
      <c r="N1046" s="9">
        <f t="shared" ca="1" si="167"/>
        <v>1</v>
      </c>
      <c r="O1046" s="9">
        <f t="shared" ca="1" si="168"/>
        <v>1</v>
      </c>
      <c r="P1046" s="9">
        <f t="shared" ca="1" si="169"/>
        <v>1</v>
      </c>
      <c r="Q1046" s="9">
        <f t="shared" ca="1" si="170"/>
        <v>1</v>
      </c>
      <c r="R1046" s="9">
        <f t="shared" ca="1" si="171"/>
        <v>0</v>
      </c>
    </row>
    <row r="1047" spans="2:18" x14ac:dyDescent="0.25">
      <c r="B1047" t="s">
        <v>1123</v>
      </c>
      <c r="C1047" s="39" t="s">
        <v>1124</v>
      </c>
      <c r="D1047" s="7" t="e">
        <f ca="1">_xll.xlqPrice(C1047)</f>
        <v>#NAME?</v>
      </c>
      <c r="E1047" s="9" t="e">
        <f t="shared" ca="1" si="162"/>
        <v>#NAME?</v>
      </c>
      <c r="F1047" s="9">
        <f t="shared" ca="1" si="163"/>
        <v>1</v>
      </c>
      <c r="G1047" s="8">
        <f t="shared" ca="1" si="164"/>
        <v>0</v>
      </c>
      <c r="H1047" s="8">
        <f t="shared" ca="1" si="165"/>
        <v>0</v>
      </c>
      <c r="I1047" s="8">
        <f t="shared" ca="1" si="166"/>
        <v>0</v>
      </c>
      <c r="J1047" s="6" t="e">
        <f ca="1">_xll.xlqxhSMA($C1047,$L$4,$J$7,$K$3)</f>
        <v>#NAME?</v>
      </c>
      <c r="K1047" s="7" t="e">
        <f ca="1">_xll.xlqhClose($C1047,K$8,$K$3)</f>
        <v>#NAME?</v>
      </c>
      <c r="L1047" s="7" t="e">
        <f ca="1">_xll.xlqhClose($C1047,L$8,$K$3)</f>
        <v>#NAME?</v>
      </c>
      <c r="N1047" s="9">
        <f t="shared" ca="1" si="167"/>
        <v>1</v>
      </c>
      <c r="O1047" s="9">
        <f t="shared" ca="1" si="168"/>
        <v>1</v>
      </c>
      <c r="P1047" s="9">
        <f t="shared" ca="1" si="169"/>
        <v>1</v>
      </c>
      <c r="Q1047" s="9">
        <f t="shared" ca="1" si="170"/>
        <v>1</v>
      </c>
      <c r="R1047" s="9">
        <f t="shared" ca="1" si="171"/>
        <v>0</v>
      </c>
    </row>
    <row r="1048" spans="2:18" x14ac:dyDescent="0.25">
      <c r="B1048" s="17" t="s">
        <v>959</v>
      </c>
      <c r="C1048" s="18" t="s">
        <v>960</v>
      </c>
      <c r="D1048" s="7" t="e">
        <f ca="1">_xll.xlqPrice(C1048)</f>
        <v>#NAME?</v>
      </c>
      <c r="E1048" s="9" t="e">
        <f t="shared" ca="1" si="162"/>
        <v>#NAME?</v>
      </c>
      <c r="F1048" s="9">
        <f t="shared" ca="1" si="163"/>
        <v>1</v>
      </c>
      <c r="G1048" s="8">
        <f t="shared" ca="1" si="164"/>
        <v>0</v>
      </c>
      <c r="H1048" s="8">
        <f t="shared" ca="1" si="165"/>
        <v>0</v>
      </c>
      <c r="I1048" s="8">
        <f t="shared" ca="1" si="166"/>
        <v>0</v>
      </c>
      <c r="J1048" s="6" t="e">
        <f ca="1">_xll.xlqxhSMA($C1048,$L$4,$J$7,$K$3)</f>
        <v>#NAME?</v>
      </c>
      <c r="K1048" s="7" t="e">
        <f ca="1">_xll.xlqhClose($C1048,K$8,$K$3)</f>
        <v>#NAME?</v>
      </c>
      <c r="L1048" s="7" t="e">
        <f ca="1">_xll.xlqhClose($C1048,L$8,$K$3)</f>
        <v>#NAME?</v>
      </c>
      <c r="N1048" s="9">
        <f t="shared" ca="1" si="167"/>
        <v>1</v>
      </c>
      <c r="O1048" s="9">
        <f t="shared" ca="1" si="168"/>
        <v>1</v>
      </c>
      <c r="P1048" s="9">
        <f t="shared" ca="1" si="169"/>
        <v>1</v>
      </c>
      <c r="Q1048" s="9">
        <f t="shared" ca="1" si="170"/>
        <v>1</v>
      </c>
      <c r="R1048" s="9">
        <f t="shared" ca="1" si="171"/>
        <v>0</v>
      </c>
    </row>
    <row r="1049" spans="2:18" x14ac:dyDescent="0.25">
      <c r="B1049" t="s">
        <v>1555</v>
      </c>
      <c r="C1049" s="39" t="s">
        <v>1556</v>
      </c>
      <c r="D1049" s="7" t="e">
        <f ca="1">_xll.xlqPrice(C1049)</f>
        <v>#NAME?</v>
      </c>
      <c r="E1049" s="9" t="e">
        <f t="shared" ca="1" si="162"/>
        <v>#NAME?</v>
      </c>
      <c r="F1049" s="9">
        <f t="shared" ca="1" si="163"/>
        <v>1</v>
      </c>
      <c r="G1049" s="8">
        <f t="shared" ca="1" si="164"/>
        <v>0</v>
      </c>
      <c r="H1049" s="8">
        <f t="shared" ca="1" si="165"/>
        <v>0</v>
      </c>
      <c r="I1049" s="8">
        <f t="shared" ca="1" si="166"/>
        <v>0</v>
      </c>
      <c r="J1049" s="6" t="e">
        <f ca="1">_xll.xlqxhSMA($C1049,$L$4,$J$7,$K$3)</f>
        <v>#NAME?</v>
      </c>
      <c r="K1049" s="7" t="e">
        <f ca="1">_xll.xlqhClose($C1049,K$8,$K$3)</f>
        <v>#NAME?</v>
      </c>
      <c r="L1049" s="7" t="e">
        <f ca="1">_xll.xlqhClose($C1049,L$8,$K$3)</f>
        <v>#NAME?</v>
      </c>
      <c r="N1049" s="9">
        <f t="shared" ca="1" si="167"/>
        <v>1</v>
      </c>
      <c r="O1049" s="9">
        <f t="shared" ca="1" si="168"/>
        <v>1</v>
      </c>
      <c r="P1049" s="9">
        <f t="shared" ca="1" si="169"/>
        <v>1</v>
      </c>
      <c r="Q1049" s="9">
        <f t="shared" ca="1" si="170"/>
        <v>1</v>
      </c>
      <c r="R1049" s="9">
        <f t="shared" ca="1" si="171"/>
        <v>0</v>
      </c>
    </row>
    <row r="1050" spans="2:18" x14ac:dyDescent="0.25">
      <c r="B1050" s="17" t="s">
        <v>316</v>
      </c>
      <c r="C1050" s="18" t="s">
        <v>317</v>
      </c>
      <c r="D1050" s="7" t="e">
        <f ca="1">_xll.xlqPrice(C1050)</f>
        <v>#NAME?</v>
      </c>
      <c r="E1050" s="9" t="e">
        <f t="shared" ca="1" si="162"/>
        <v>#NAME?</v>
      </c>
      <c r="F1050" s="9">
        <f t="shared" ca="1" si="163"/>
        <v>1</v>
      </c>
      <c r="G1050" s="8">
        <f t="shared" ca="1" si="164"/>
        <v>0</v>
      </c>
      <c r="H1050" s="8">
        <f t="shared" ca="1" si="165"/>
        <v>0</v>
      </c>
      <c r="I1050" s="8">
        <f t="shared" ca="1" si="166"/>
        <v>0</v>
      </c>
      <c r="J1050" s="6" t="e">
        <f ca="1">_xll.xlqxhSMA($C1050,$L$4,$J$7,$K$3)</f>
        <v>#NAME?</v>
      </c>
      <c r="K1050" s="7" t="e">
        <f ca="1">_xll.xlqhClose($C1050,K$8,$K$3)</f>
        <v>#NAME?</v>
      </c>
      <c r="L1050" s="7" t="e">
        <f ca="1">_xll.xlqhClose($C1050,L$8,$K$3)</f>
        <v>#NAME?</v>
      </c>
      <c r="N1050" s="9">
        <f t="shared" ca="1" si="167"/>
        <v>1</v>
      </c>
      <c r="O1050" s="9">
        <f t="shared" ca="1" si="168"/>
        <v>1</v>
      </c>
      <c r="P1050" s="9">
        <f t="shared" ca="1" si="169"/>
        <v>1</v>
      </c>
      <c r="Q1050" s="9">
        <f t="shared" ca="1" si="170"/>
        <v>1</v>
      </c>
      <c r="R1050" s="9">
        <f t="shared" ca="1" si="171"/>
        <v>0</v>
      </c>
    </row>
    <row r="1051" spans="2:18" x14ac:dyDescent="0.25">
      <c r="B1051" t="s">
        <v>1179</v>
      </c>
      <c r="C1051" s="39" t="s">
        <v>1180</v>
      </c>
      <c r="D1051" s="7" t="e">
        <f ca="1">_xll.xlqPrice(C1051)</f>
        <v>#NAME?</v>
      </c>
      <c r="E1051" s="9" t="e">
        <f t="shared" ca="1" si="162"/>
        <v>#NAME?</v>
      </c>
      <c r="F1051" s="9">
        <f t="shared" ca="1" si="163"/>
        <v>1</v>
      </c>
      <c r="G1051" s="8">
        <f t="shared" ca="1" si="164"/>
        <v>0</v>
      </c>
      <c r="H1051" s="8">
        <f t="shared" ca="1" si="165"/>
        <v>0</v>
      </c>
      <c r="I1051" s="8">
        <f t="shared" ca="1" si="166"/>
        <v>0</v>
      </c>
      <c r="J1051" s="6" t="e">
        <f ca="1">_xll.xlqxhSMA($C1051,$L$4,$J$7,$K$3)</f>
        <v>#NAME?</v>
      </c>
      <c r="K1051" s="7" t="e">
        <f ca="1">_xll.xlqhClose($C1051,K$8,$K$3)</f>
        <v>#NAME?</v>
      </c>
      <c r="L1051" s="7" t="e">
        <f ca="1">_xll.xlqhClose($C1051,L$8,$K$3)</f>
        <v>#NAME?</v>
      </c>
      <c r="N1051" s="9">
        <f t="shared" ca="1" si="167"/>
        <v>1</v>
      </c>
      <c r="O1051" s="9">
        <f t="shared" ca="1" si="168"/>
        <v>1</v>
      </c>
      <c r="P1051" s="9">
        <f t="shared" ca="1" si="169"/>
        <v>1</v>
      </c>
      <c r="Q1051" s="9">
        <f t="shared" ca="1" si="170"/>
        <v>1</v>
      </c>
      <c r="R1051" s="9">
        <f t="shared" ca="1" si="171"/>
        <v>0</v>
      </c>
    </row>
    <row r="1052" spans="2:18" x14ac:dyDescent="0.25">
      <c r="B1052" t="s">
        <v>1219</v>
      </c>
      <c r="C1052" s="39" t="s">
        <v>1220</v>
      </c>
      <c r="D1052" s="7" t="e">
        <f ca="1">_xll.xlqPrice(C1052)</f>
        <v>#NAME?</v>
      </c>
      <c r="E1052" s="9" t="e">
        <f t="shared" ca="1" si="162"/>
        <v>#NAME?</v>
      </c>
      <c r="F1052" s="9">
        <f t="shared" ca="1" si="163"/>
        <v>1</v>
      </c>
      <c r="G1052" s="8">
        <f t="shared" ca="1" si="164"/>
        <v>0</v>
      </c>
      <c r="H1052" s="8">
        <f t="shared" ca="1" si="165"/>
        <v>0</v>
      </c>
      <c r="I1052" s="8">
        <f t="shared" ca="1" si="166"/>
        <v>0</v>
      </c>
      <c r="J1052" s="6" t="e">
        <f ca="1">_xll.xlqxhSMA($C1052,$L$4,$J$7,$K$3)</f>
        <v>#NAME?</v>
      </c>
      <c r="K1052" s="7" t="e">
        <f ca="1">_xll.xlqhClose($C1052,K$8,$K$3)</f>
        <v>#NAME?</v>
      </c>
      <c r="L1052" s="7" t="e">
        <f ca="1">_xll.xlqhClose($C1052,L$8,$K$3)</f>
        <v>#NAME?</v>
      </c>
      <c r="N1052" s="9">
        <f t="shared" ca="1" si="167"/>
        <v>1</v>
      </c>
      <c r="O1052" s="9">
        <f t="shared" ca="1" si="168"/>
        <v>1</v>
      </c>
      <c r="P1052" s="9">
        <f t="shared" ca="1" si="169"/>
        <v>1</v>
      </c>
      <c r="Q1052" s="9">
        <f t="shared" ca="1" si="170"/>
        <v>1</v>
      </c>
      <c r="R1052" s="9">
        <f t="shared" ca="1" si="171"/>
        <v>0</v>
      </c>
    </row>
    <row r="1053" spans="2:18" x14ac:dyDescent="0.25">
      <c r="B1053" t="s">
        <v>1985</v>
      </c>
      <c r="C1053" s="39" t="s">
        <v>1986</v>
      </c>
      <c r="D1053" s="7" t="e">
        <f ca="1">_xll.xlqPrice(C1053)</f>
        <v>#NAME?</v>
      </c>
      <c r="E1053" s="9" t="e">
        <f t="shared" ca="1" si="162"/>
        <v>#NAME?</v>
      </c>
      <c r="F1053" s="9">
        <f t="shared" ca="1" si="163"/>
        <v>1</v>
      </c>
      <c r="G1053" s="8">
        <f t="shared" ca="1" si="164"/>
        <v>0</v>
      </c>
      <c r="H1053" s="8">
        <f t="shared" ca="1" si="165"/>
        <v>0</v>
      </c>
      <c r="I1053" s="8">
        <f t="shared" ca="1" si="166"/>
        <v>0</v>
      </c>
      <c r="J1053" s="6" t="e">
        <f ca="1">_xll.xlqxhSMA($C1053,$L$4,$J$7,$K$3)</f>
        <v>#NAME?</v>
      </c>
      <c r="K1053" s="7" t="e">
        <f ca="1">_xll.xlqhClose($C1053,K$8,$K$3)</f>
        <v>#NAME?</v>
      </c>
      <c r="L1053" s="7" t="e">
        <f ca="1">_xll.xlqhClose($C1053,L$8,$K$3)</f>
        <v>#NAME?</v>
      </c>
      <c r="N1053" s="9">
        <f t="shared" ca="1" si="167"/>
        <v>1</v>
      </c>
      <c r="O1053" s="9">
        <f t="shared" ca="1" si="168"/>
        <v>1</v>
      </c>
      <c r="P1053" s="9">
        <f t="shared" ca="1" si="169"/>
        <v>1</v>
      </c>
      <c r="Q1053" s="9">
        <f t="shared" ca="1" si="170"/>
        <v>1</v>
      </c>
      <c r="R1053" s="9">
        <f t="shared" ca="1" si="171"/>
        <v>0</v>
      </c>
    </row>
    <row r="1054" spans="2:18" x14ac:dyDescent="0.25">
      <c r="B1054" t="s">
        <v>951</v>
      </c>
      <c r="C1054" s="39" t="s">
        <v>952</v>
      </c>
      <c r="D1054" s="7" t="e">
        <f ca="1">_xll.xlqPrice(C1054)</f>
        <v>#NAME?</v>
      </c>
      <c r="E1054" s="9" t="e">
        <f t="shared" ca="1" si="162"/>
        <v>#NAME?</v>
      </c>
      <c r="F1054" s="9">
        <f t="shared" ca="1" si="163"/>
        <v>1</v>
      </c>
      <c r="G1054" s="8">
        <f t="shared" ca="1" si="164"/>
        <v>0</v>
      </c>
      <c r="H1054" s="8">
        <f t="shared" ca="1" si="165"/>
        <v>0</v>
      </c>
      <c r="I1054" s="8">
        <f t="shared" ca="1" si="166"/>
        <v>0</v>
      </c>
      <c r="J1054" s="6" t="e">
        <f ca="1">_xll.xlqxhSMA($C1054,$L$4,$J$7,$K$3)</f>
        <v>#NAME?</v>
      </c>
      <c r="K1054" s="7" t="e">
        <f ca="1">_xll.xlqhClose($C1054,K$8,$K$3)</f>
        <v>#NAME?</v>
      </c>
      <c r="L1054" s="7" t="e">
        <f ca="1">_xll.xlqhClose($C1054,L$8,$K$3)</f>
        <v>#NAME?</v>
      </c>
      <c r="N1054" s="9">
        <f t="shared" ca="1" si="167"/>
        <v>1</v>
      </c>
      <c r="O1054" s="9">
        <f t="shared" ca="1" si="168"/>
        <v>1</v>
      </c>
      <c r="P1054" s="9">
        <f t="shared" ca="1" si="169"/>
        <v>1</v>
      </c>
      <c r="Q1054" s="9">
        <f t="shared" ca="1" si="170"/>
        <v>1</v>
      </c>
      <c r="R1054" s="9">
        <f t="shared" ca="1" si="171"/>
        <v>0</v>
      </c>
    </row>
    <row r="1055" spans="2:18" x14ac:dyDescent="0.25">
      <c r="B1055" s="17" t="s">
        <v>2345</v>
      </c>
      <c r="C1055" s="18" t="s">
        <v>2346</v>
      </c>
      <c r="D1055" s="7" t="e">
        <f ca="1">_xll.xlqPrice(C1055)</f>
        <v>#NAME?</v>
      </c>
      <c r="E1055" s="9" t="e">
        <f t="shared" ca="1" si="162"/>
        <v>#NAME?</v>
      </c>
      <c r="F1055" s="9">
        <f t="shared" ca="1" si="163"/>
        <v>1</v>
      </c>
      <c r="G1055" s="8">
        <f t="shared" ca="1" si="164"/>
        <v>0</v>
      </c>
      <c r="H1055" s="8">
        <f t="shared" ca="1" si="165"/>
        <v>0</v>
      </c>
      <c r="I1055" s="8">
        <f t="shared" ca="1" si="166"/>
        <v>0</v>
      </c>
      <c r="J1055" s="6" t="e">
        <f ca="1">_xll.xlqxhSMA($C1055,$L$4,$J$7,$K$3)</f>
        <v>#NAME?</v>
      </c>
      <c r="K1055" s="7" t="e">
        <f ca="1">_xll.xlqhClose($C1055,K$8,$K$3)</f>
        <v>#NAME?</v>
      </c>
      <c r="L1055" s="7" t="e">
        <f ca="1">_xll.xlqhClose($C1055,L$8,$K$3)</f>
        <v>#NAME?</v>
      </c>
      <c r="N1055" s="9">
        <f t="shared" ca="1" si="167"/>
        <v>1</v>
      </c>
      <c r="O1055" s="9">
        <f t="shared" ca="1" si="168"/>
        <v>1</v>
      </c>
      <c r="P1055" s="9">
        <f t="shared" ca="1" si="169"/>
        <v>1</v>
      </c>
      <c r="Q1055" s="9">
        <f t="shared" ca="1" si="170"/>
        <v>1</v>
      </c>
      <c r="R1055" s="9">
        <f t="shared" ca="1" si="171"/>
        <v>0</v>
      </c>
    </row>
    <row r="1056" spans="2:18" x14ac:dyDescent="0.25">
      <c r="B1056" t="s">
        <v>41</v>
      </c>
      <c r="C1056" s="39" t="s">
        <v>18</v>
      </c>
      <c r="D1056" s="7" t="e">
        <f ca="1">_xll.xlqPrice(C1056)</f>
        <v>#NAME?</v>
      </c>
      <c r="E1056" s="9" t="e">
        <f t="shared" ca="1" si="162"/>
        <v>#NAME?</v>
      </c>
      <c r="F1056" s="9">
        <f t="shared" ca="1" si="163"/>
        <v>1</v>
      </c>
      <c r="G1056" s="8">
        <f t="shared" ca="1" si="164"/>
        <v>0</v>
      </c>
      <c r="H1056" s="8">
        <f t="shared" ca="1" si="165"/>
        <v>0</v>
      </c>
      <c r="I1056" s="8">
        <f t="shared" ca="1" si="166"/>
        <v>0</v>
      </c>
      <c r="J1056" s="6" t="e">
        <f ca="1">_xll.xlqxhSMA($C1056,$L$4,$J$7,$K$3)</f>
        <v>#NAME?</v>
      </c>
      <c r="K1056" s="7" t="e">
        <f ca="1">_xll.xlqhClose($C1056,K$8,$K$3)</f>
        <v>#NAME?</v>
      </c>
      <c r="L1056" s="7" t="e">
        <f ca="1">_xll.xlqhClose($C1056,L$8,$K$3)</f>
        <v>#NAME?</v>
      </c>
      <c r="N1056" s="9">
        <f t="shared" ca="1" si="167"/>
        <v>1</v>
      </c>
      <c r="O1056" s="9">
        <f t="shared" ca="1" si="168"/>
        <v>1</v>
      </c>
      <c r="P1056" s="9">
        <f t="shared" ca="1" si="169"/>
        <v>1</v>
      </c>
      <c r="Q1056" s="9">
        <f t="shared" ca="1" si="170"/>
        <v>1</v>
      </c>
      <c r="R1056" s="9">
        <f t="shared" ca="1" si="171"/>
        <v>0</v>
      </c>
    </row>
    <row r="1057" spans="2:18" x14ac:dyDescent="0.25">
      <c r="B1057" s="17" t="s">
        <v>728</v>
      </c>
      <c r="C1057" s="18" t="s">
        <v>729</v>
      </c>
      <c r="D1057" s="7" t="e">
        <f ca="1">_xll.xlqPrice(C1057)</f>
        <v>#NAME?</v>
      </c>
      <c r="E1057" s="9" t="e">
        <f t="shared" ca="1" si="162"/>
        <v>#NAME?</v>
      </c>
      <c r="F1057" s="9">
        <f t="shared" ca="1" si="163"/>
        <v>1</v>
      </c>
      <c r="G1057" s="8">
        <f t="shared" ca="1" si="164"/>
        <v>0</v>
      </c>
      <c r="H1057" s="8">
        <f t="shared" ca="1" si="165"/>
        <v>0</v>
      </c>
      <c r="I1057" s="8">
        <f t="shared" ca="1" si="166"/>
        <v>0</v>
      </c>
      <c r="J1057" s="6" t="e">
        <f ca="1">_xll.xlqxhSMA($C1057,$L$4,$J$7,$K$3)</f>
        <v>#NAME?</v>
      </c>
      <c r="K1057" s="7" t="e">
        <f ca="1">_xll.xlqhClose($C1057,K$8,$K$3)</f>
        <v>#NAME?</v>
      </c>
      <c r="L1057" s="7" t="e">
        <f ca="1">_xll.xlqhClose($C1057,L$8,$K$3)</f>
        <v>#NAME?</v>
      </c>
      <c r="N1057" s="9">
        <f t="shared" ca="1" si="167"/>
        <v>1</v>
      </c>
      <c r="O1057" s="9">
        <f t="shared" ca="1" si="168"/>
        <v>1</v>
      </c>
      <c r="P1057" s="9">
        <f t="shared" ca="1" si="169"/>
        <v>1</v>
      </c>
      <c r="Q1057" s="9">
        <f t="shared" ca="1" si="170"/>
        <v>1</v>
      </c>
      <c r="R1057" s="9">
        <f t="shared" ca="1" si="171"/>
        <v>0</v>
      </c>
    </row>
    <row r="1058" spans="2:18" x14ac:dyDescent="0.25">
      <c r="B1058" s="17" t="s">
        <v>582</v>
      </c>
      <c r="C1058" s="18" t="s">
        <v>583</v>
      </c>
      <c r="D1058" s="7" t="e">
        <f ca="1">_xll.xlqPrice(C1058)</f>
        <v>#NAME?</v>
      </c>
      <c r="E1058" s="9" t="e">
        <f t="shared" ca="1" si="162"/>
        <v>#NAME?</v>
      </c>
      <c r="F1058" s="9">
        <f t="shared" ca="1" si="163"/>
        <v>1</v>
      </c>
      <c r="G1058" s="8">
        <f t="shared" ca="1" si="164"/>
        <v>0</v>
      </c>
      <c r="H1058" s="8">
        <f t="shared" ca="1" si="165"/>
        <v>0</v>
      </c>
      <c r="I1058" s="8">
        <f t="shared" ca="1" si="166"/>
        <v>0</v>
      </c>
      <c r="J1058" s="6" t="e">
        <f ca="1">_xll.xlqxhSMA($C1058,$L$4,$J$7,$K$3)</f>
        <v>#NAME?</v>
      </c>
      <c r="K1058" s="7" t="e">
        <f ca="1">_xll.xlqhClose($C1058,K$8,$K$3)</f>
        <v>#NAME?</v>
      </c>
      <c r="L1058" s="7" t="e">
        <f ca="1">_xll.xlqhClose($C1058,L$8,$K$3)</f>
        <v>#NAME?</v>
      </c>
      <c r="N1058" s="9">
        <f t="shared" ca="1" si="167"/>
        <v>1</v>
      </c>
      <c r="O1058" s="9">
        <f t="shared" ca="1" si="168"/>
        <v>1</v>
      </c>
      <c r="P1058" s="9">
        <f t="shared" ca="1" si="169"/>
        <v>1</v>
      </c>
      <c r="Q1058" s="9">
        <f t="shared" ca="1" si="170"/>
        <v>1</v>
      </c>
      <c r="R1058" s="9">
        <f t="shared" ca="1" si="171"/>
        <v>0</v>
      </c>
    </row>
    <row r="1059" spans="2:18" x14ac:dyDescent="0.25">
      <c r="B1059" t="s">
        <v>894</v>
      </c>
      <c r="C1059" s="39" t="s">
        <v>895</v>
      </c>
      <c r="D1059" s="7" t="e">
        <f ca="1">_xll.xlqPrice(C1059)</f>
        <v>#NAME?</v>
      </c>
      <c r="E1059" s="9" t="e">
        <f t="shared" ca="1" si="162"/>
        <v>#NAME?</v>
      </c>
      <c r="F1059" s="9">
        <f t="shared" ca="1" si="163"/>
        <v>1</v>
      </c>
      <c r="G1059" s="8">
        <f t="shared" ca="1" si="164"/>
        <v>0</v>
      </c>
      <c r="H1059" s="8">
        <f t="shared" ca="1" si="165"/>
        <v>0</v>
      </c>
      <c r="I1059" s="8">
        <f t="shared" ca="1" si="166"/>
        <v>0</v>
      </c>
      <c r="J1059" s="6" t="e">
        <f ca="1">_xll.xlqxhSMA($C1059,$L$4,$J$7,$K$3)</f>
        <v>#NAME?</v>
      </c>
      <c r="K1059" s="7" t="e">
        <f ca="1">_xll.xlqhClose($C1059,K$8,$K$3)</f>
        <v>#NAME?</v>
      </c>
      <c r="L1059" s="7" t="e">
        <f ca="1">_xll.xlqhClose($C1059,L$8,$K$3)</f>
        <v>#NAME?</v>
      </c>
      <c r="N1059" s="9">
        <f t="shared" ca="1" si="167"/>
        <v>1</v>
      </c>
      <c r="O1059" s="9">
        <f t="shared" ca="1" si="168"/>
        <v>1</v>
      </c>
      <c r="P1059" s="9">
        <f t="shared" ca="1" si="169"/>
        <v>1</v>
      </c>
      <c r="Q1059" s="9">
        <f t="shared" ca="1" si="170"/>
        <v>1</v>
      </c>
      <c r="R1059" s="9">
        <f t="shared" ca="1" si="171"/>
        <v>0</v>
      </c>
    </row>
    <row r="1060" spans="2:18" x14ac:dyDescent="0.25">
      <c r="B1060" s="17" t="s">
        <v>906</v>
      </c>
      <c r="C1060" s="18" t="s">
        <v>907</v>
      </c>
      <c r="D1060" s="7" t="e">
        <f ca="1">_xll.xlqPrice(C1060)</f>
        <v>#NAME?</v>
      </c>
      <c r="E1060" s="9" t="e">
        <f t="shared" ca="1" si="162"/>
        <v>#NAME?</v>
      </c>
      <c r="F1060" s="9">
        <f t="shared" ca="1" si="163"/>
        <v>1</v>
      </c>
      <c r="G1060" s="8">
        <f t="shared" ca="1" si="164"/>
        <v>0</v>
      </c>
      <c r="H1060" s="8">
        <f t="shared" ca="1" si="165"/>
        <v>0</v>
      </c>
      <c r="I1060" s="8">
        <f t="shared" ca="1" si="166"/>
        <v>0</v>
      </c>
      <c r="J1060" s="6" t="e">
        <f ca="1">_xll.xlqxhSMA($C1060,$L$4,$J$7,$K$3)</f>
        <v>#NAME?</v>
      </c>
      <c r="K1060" s="7" t="e">
        <f ca="1">_xll.xlqhClose($C1060,K$8,$K$3)</f>
        <v>#NAME?</v>
      </c>
      <c r="L1060" s="7" t="e">
        <f ca="1">_xll.xlqhClose($C1060,L$8,$K$3)</f>
        <v>#NAME?</v>
      </c>
      <c r="N1060" s="9">
        <f t="shared" ca="1" si="167"/>
        <v>1</v>
      </c>
      <c r="O1060" s="9">
        <f t="shared" ca="1" si="168"/>
        <v>1</v>
      </c>
      <c r="P1060" s="9">
        <f t="shared" ca="1" si="169"/>
        <v>1</v>
      </c>
      <c r="Q1060" s="9">
        <f t="shared" ca="1" si="170"/>
        <v>1</v>
      </c>
      <c r="R1060" s="9">
        <f t="shared" ca="1" si="171"/>
        <v>0</v>
      </c>
    </row>
    <row r="1061" spans="2:18" x14ac:dyDescent="0.25">
      <c r="B1061" t="s">
        <v>1851</v>
      </c>
      <c r="C1061" s="39" t="s">
        <v>1852</v>
      </c>
      <c r="D1061" s="7" t="e">
        <f ca="1">_xll.xlqPrice(C1061)</f>
        <v>#NAME?</v>
      </c>
      <c r="E1061" s="9" t="e">
        <f t="shared" ca="1" si="162"/>
        <v>#NAME?</v>
      </c>
      <c r="F1061" s="9">
        <f t="shared" ca="1" si="163"/>
        <v>1</v>
      </c>
      <c r="G1061" s="8">
        <f t="shared" ca="1" si="164"/>
        <v>0</v>
      </c>
      <c r="H1061" s="8">
        <f t="shared" ca="1" si="165"/>
        <v>0</v>
      </c>
      <c r="I1061" s="8">
        <f t="shared" ca="1" si="166"/>
        <v>0</v>
      </c>
      <c r="J1061" s="6" t="e">
        <f ca="1">_xll.xlqxhSMA($C1061,$L$4,$J$7,$K$3)</f>
        <v>#NAME?</v>
      </c>
      <c r="K1061" s="7" t="e">
        <f ca="1">_xll.xlqhClose($C1061,K$8,$K$3)</f>
        <v>#NAME?</v>
      </c>
      <c r="L1061" s="7" t="e">
        <f ca="1">_xll.xlqhClose($C1061,L$8,$K$3)</f>
        <v>#NAME?</v>
      </c>
      <c r="N1061" s="9">
        <f t="shared" ca="1" si="167"/>
        <v>1</v>
      </c>
      <c r="O1061" s="9">
        <f t="shared" ca="1" si="168"/>
        <v>1</v>
      </c>
      <c r="P1061" s="9">
        <f t="shared" ca="1" si="169"/>
        <v>1</v>
      </c>
      <c r="Q1061" s="9">
        <f t="shared" ca="1" si="170"/>
        <v>1</v>
      </c>
      <c r="R1061" s="9">
        <f t="shared" ca="1" si="171"/>
        <v>0</v>
      </c>
    </row>
    <row r="1062" spans="2:18" x14ac:dyDescent="0.25">
      <c r="B1062" s="17" t="s">
        <v>726</v>
      </c>
      <c r="C1062" s="18" t="s">
        <v>727</v>
      </c>
      <c r="D1062" s="7" t="e">
        <f ca="1">_xll.xlqPrice(C1062)</f>
        <v>#NAME?</v>
      </c>
      <c r="E1062" s="9" t="e">
        <f t="shared" ca="1" si="162"/>
        <v>#NAME?</v>
      </c>
      <c r="F1062" s="9">
        <f t="shared" ca="1" si="163"/>
        <v>1</v>
      </c>
      <c r="G1062" s="8">
        <f t="shared" ca="1" si="164"/>
        <v>0</v>
      </c>
      <c r="H1062" s="8">
        <f t="shared" ca="1" si="165"/>
        <v>0</v>
      </c>
      <c r="I1062" s="8">
        <f t="shared" ca="1" si="166"/>
        <v>0</v>
      </c>
      <c r="J1062" s="6" t="e">
        <f ca="1">_xll.xlqxhSMA($C1062,$L$4,$J$7,$K$3)</f>
        <v>#NAME?</v>
      </c>
      <c r="K1062" s="7" t="e">
        <f ca="1">_xll.xlqhClose($C1062,K$8,$K$3)</f>
        <v>#NAME?</v>
      </c>
      <c r="L1062" s="7" t="e">
        <f ca="1">_xll.xlqhClose($C1062,L$8,$K$3)</f>
        <v>#NAME?</v>
      </c>
      <c r="N1062" s="9">
        <f t="shared" ca="1" si="167"/>
        <v>1</v>
      </c>
      <c r="O1062" s="9">
        <f t="shared" ca="1" si="168"/>
        <v>1</v>
      </c>
      <c r="P1062" s="9">
        <f t="shared" ca="1" si="169"/>
        <v>1</v>
      </c>
      <c r="Q1062" s="9">
        <f t="shared" ca="1" si="170"/>
        <v>1</v>
      </c>
      <c r="R1062" s="9">
        <f t="shared" ca="1" si="171"/>
        <v>0</v>
      </c>
    </row>
    <row r="1063" spans="2:18" x14ac:dyDescent="0.25">
      <c r="B1063" s="17" t="s">
        <v>748</v>
      </c>
      <c r="C1063" s="18" t="s">
        <v>749</v>
      </c>
      <c r="D1063" s="7" t="e">
        <f ca="1">_xll.xlqPrice(C1063)</f>
        <v>#NAME?</v>
      </c>
      <c r="E1063" s="9" t="e">
        <f t="shared" ca="1" si="162"/>
        <v>#NAME?</v>
      </c>
      <c r="F1063" s="9">
        <f t="shared" ca="1" si="163"/>
        <v>1</v>
      </c>
      <c r="G1063" s="8">
        <f t="shared" ca="1" si="164"/>
        <v>0</v>
      </c>
      <c r="H1063" s="8">
        <f t="shared" ca="1" si="165"/>
        <v>0</v>
      </c>
      <c r="I1063" s="8">
        <f t="shared" ca="1" si="166"/>
        <v>0</v>
      </c>
      <c r="J1063" s="6" t="e">
        <f ca="1">_xll.xlqxhSMA($C1063,$L$4,$J$7,$K$3)</f>
        <v>#NAME?</v>
      </c>
      <c r="K1063" s="7" t="e">
        <f ca="1">_xll.xlqhClose($C1063,K$8,$K$3)</f>
        <v>#NAME?</v>
      </c>
      <c r="L1063" s="7" t="e">
        <f ca="1">_xll.xlqhClose($C1063,L$8,$K$3)</f>
        <v>#NAME?</v>
      </c>
      <c r="N1063" s="9">
        <f t="shared" ca="1" si="167"/>
        <v>1</v>
      </c>
      <c r="O1063" s="9">
        <f t="shared" ca="1" si="168"/>
        <v>1</v>
      </c>
      <c r="P1063" s="9">
        <f t="shared" ca="1" si="169"/>
        <v>1</v>
      </c>
      <c r="Q1063" s="9">
        <f t="shared" ca="1" si="170"/>
        <v>1</v>
      </c>
      <c r="R1063" s="9">
        <f t="shared" ca="1" si="171"/>
        <v>0</v>
      </c>
    </row>
    <row r="1064" spans="2:18" x14ac:dyDescent="0.25">
      <c r="B1064" s="17" t="s">
        <v>312</v>
      </c>
      <c r="C1064" s="18" t="s">
        <v>313</v>
      </c>
      <c r="D1064" s="7" t="e">
        <f ca="1">_xll.xlqPrice(C1064)</f>
        <v>#NAME?</v>
      </c>
      <c r="E1064" s="9" t="e">
        <f t="shared" ca="1" si="162"/>
        <v>#NAME?</v>
      </c>
      <c r="F1064" s="9">
        <f t="shared" ca="1" si="163"/>
        <v>1</v>
      </c>
      <c r="G1064" s="8">
        <f t="shared" ca="1" si="164"/>
        <v>0</v>
      </c>
      <c r="H1064" s="8">
        <f t="shared" ca="1" si="165"/>
        <v>0</v>
      </c>
      <c r="I1064" s="8">
        <f t="shared" ca="1" si="166"/>
        <v>0</v>
      </c>
      <c r="J1064" s="6" t="e">
        <f ca="1">_xll.xlqxhSMA($C1064,$L$4,$J$7,$K$3)</f>
        <v>#NAME?</v>
      </c>
      <c r="K1064" s="7" t="e">
        <f ca="1">_xll.xlqhClose($C1064,K$8,$K$3)</f>
        <v>#NAME?</v>
      </c>
      <c r="L1064" s="7" t="e">
        <f ca="1">_xll.xlqhClose($C1064,L$8,$K$3)</f>
        <v>#NAME?</v>
      </c>
      <c r="N1064" s="9">
        <f t="shared" ca="1" si="167"/>
        <v>1</v>
      </c>
      <c r="O1064" s="9">
        <f t="shared" ca="1" si="168"/>
        <v>1</v>
      </c>
      <c r="P1064" s="9">
        <f t="shared" ca="1" si="169"/>
        <v>1</v>
      </c>
      <c r="Q1064" s="9">
        <f t="shared" ca="1" si="170"/>
        <v>1</v>
      </c>
      <c r="R1064" s="9">
        <f t="shared" ca="1" si="171"/>
        <v>0</v>
      </c>
    </row>
    <row r="1065" spans="2:18" x14ac:dyDescent="0.25">
      <c r="B1065" t="s">
        <v>1071</v>
      </c>
      <c r="C1065" s="39" t="s">
        <v>1072</v>
      </c>
      <c r="D1065" s="7" t="e">
        <f ca="1">_xll.xlqPrice(C1065)</f>
        <v>#NAME?</v>
      </c>
      <c r="E1065" s="9" t="e">
        <f t="shared" ca="1" si="162"/>
        <v>#NAME?</v>
      </c>
      <c r="F1065" s="9">
        <f t="shared" ca="1" si="163"/>
        <v>1</v>
      </c>
      <c r="G1065" s="8">
        <f t="shared" ca="1" si="164"/>
        <v>0</v>
      </c>
      <c r="H1065" s="8">
        <f t="shared" ca="1" si="165"/>
        <v>0</v>
      </c>
      <c r="I1065" s="8">
        <f t="shared" ca="1" si="166"/>
        <v>0</v>
      </c>
      <c r="J1065" s="6" t="e">
        <f ca="1">_xll.xlqxhSMA($C1065,$L$4,$J$7,$K$3)</f>
        <v>#NAME?</v>
      </c>
      <c r="K1065" s="7" t="e">
        <f ca="1">_xll.xlqhClose($C1065,K$8,$K$3)</f>
        <v>#NAME?</v>
      </c>
      <c r="L1065" s="7" t="e">
        <f ca="1">_xll.xlqhClose($C1065,L$8,$K$3)</f>
        <v>#NAME?</v>
      </c>
      <c r="N1065" s="9">
        <f t="shared" ca="1" si="167"/>
        <v>1</v>
      </c>
      <c r="O1065" s="9">
        <f t="shared" ca="1" si="168"/>
        <v>1</v>
      </c>
      <c r="P1065" s="9">
        <f t="shared" ca="1" si="169"/>
        <v>1</v>
      </c>
      <c r="Q1065" s="9">
        <f t="shared" ca="1" si="170"/>
        <v>1</v>
      </c>
      <c r="R1065" s="9">
        <f t="shared" ca="1" si="171"/>
        <v>0</v>
      </c>
    </row>
    <row r="1066" spans="2:18" x14ac:dyDescent="0.25">
      <c r="B1066" t="s">
        <v>912</v>
      </c>
      <c r="C1066" s="39" t="s">
        <v>913</v>
      </c>
      <c r="D1066" s="7" t="e">
        <f ca="1">_xll.xlqPrice(C1066)</f>
        <v>#NAME?</v>
      </c>
      <c r="E1066" s="9" t="e">
        <f t="shared" ca="1" si="162"/>
        <v>#NAME?</v>
      </c>
      <c r="F1066" s="9">
        <f t="shared" ca="1" si="163"/>
        <v>1</v>
      </c>
      <c r="G1066" s="8">
        <f t="shared" ca="1" si="164"/>
        <v>0</v>
      </c>
      <c r="H1066" s="8">
        <f t="shared" ca="1" si="165"/>
        <v>0</v>
      </c>
      <c r="I1066" s="8">
        <f t="shared" ca="1" si="166"/>
        <v>0</v>
      </c>
      <c r="J1066" s="6" t="e">
        <f ca="1">_xll.xlqxhSMA($C1066,$L$4,$J$7,$K$3)</f>
        <v>#NAME?</v>
      </c>
      <c r="K1066" s="7" t="e">
        <f ca="1">_xll.xlqhClose($C1066,K$8,$K$3)</f>
        <v>#NAME?</v>
      </c>
      <c r="L1066" s="7" t="e">
        <f ca="1">_xll.xlqhClose($C1066,L$8,$K$3)</f>
        <v>#NAME?</v>
      </c>
      <c r="N1066" s="9">
        <f t="shared" ca="1" si="167"/>
        <v>1</v>
      </c>
      <c r="O1066" s="9">
        <f t="shared" ca="1" si="168"/>
        <v>1</v>
      </c>
      <c r="P1066" s="9">
        <f t="shared" ca="1" si="169"/>
        <v>1</v>
      </c>
      <c r="Q1066" s="9">
        <f t="shared" ca="1" si="170"/>
        <v>1</v>
      </c>
      <c r="R1066" s="9">
        <f t="shared" ca="1" si="171"/>
        <v>0</v>
      </c>
    </row>
    <row r="1067" spans="2:18" x14ac:dyDescent="0.25">
      <c r="B1067" s="17" t="s">
        <v>724</v>
      </c>
      <c r="C1067" s="18" t="s">
        <v>725</v>
      </c>
      <c r="D1067" s="7" t="e">
        <f ca="1">_xll.xlqPrice(C1067)</f>
        <v>#NAME?</v>
      </c>
      <c r="E1067" s="9" t="e">
        <f t="shared" ca="1" si="162"/>
        <v>#NAME?</v>
      </c>
      <c r="F1067" s="9">
        <f t="shared" ca="1" si="163"/>
        <v>1</v>
      </c>
      <c r="G1067" s="8">
        <f t="shared" ca="1" si="164"/>
        <v>0</v>
      </c>
      <c r="H1067" s="8">
        <f t="shared" ca="1" si="165"/>
        <v>0</v>
      </c>
      <c r="I1067" s="8">
        <f t="shared" ca="1" si="166"/>
        <v>0</v>
      </c>
      <c r="J1067" s="6" t="e">
        <f ca="1">_xll.xlqxhSMA($C1067,$L$4,$J$7,$K$3)</f>
        <v>#NAME?</v>
      </c>
      <c r="K1067" s="7" t="e">
        <f ca="1">_xll.xlqhClose($C1067,K$8,$K$3)</f>
        <v>#NAME?</v>
      </c>
      <c r="L1067" s="7" t="e">
        <f ca="1">_xll.xlqhClose($C1067,L$8,$K$3)</f>
        <v>#NAME?</v>
      </c>
      <c r="N1067" s="9">
        <f t="shared" ca="1" si="167"/>
        <v>1</v>
      </c>
      <c r="O1067" s="9">
        <f t="shared" ca="1" si="168"/>
        <v>1</v>
      </c>
      <c r="P1067" s="9">
        <f t="shared" ca="1" si="169"/>
        <v>1</v>
      </c>
      <c r="Q1067" s="9">
        <f t="shared" ca="1" si="170"/>
        <v>1</v>
      </c>
      <c r="R1067" s="9">
        <f t="shared" ca="1" si="171"/>
        <v>0</v>
      </c>
    </row>
    <row r="1068" spans="2:18" x14ac:dyDescent="0.25">
      <c r="B1068" s="17" t="s">
        <v>1161</v>
      </c>
      <c r="C1068" s="18" t="s">
        <v>1162</v>
      </c>
      <c r="D1068" s="7" t="e">
        <f ca="1">_xll.xlqPrice(C1068)</f>
        <v>#NAME?</v>
      </c>
      <c r="E1068" s="9" t="e">
        <f t="shared" ca="1" si="162"/>
        <v>#NAME?</v>
      </c>
      <c r="F1068" s="9">
        <f t="shared" ca="1" si="163"/>
        <v>1</v>
      </c>
      <c r="G1068" s="8">
        <f t="shared" ca="1" si="164"/>
        <v>0</v>
      </c>
      <c r="H1068" s="8">
        <f t="shared" ca="1" si="165"/>
        <v>0</v>
      </c>
      <c r="I1068" s="8">
        <f t="shared" ca="1" si="166"/>
        <v>0</v>
      </c>
      <c r="J1068" s="6" t="e">
        <f ca="1">_xll.xlqxhSMA($C1068,$L$4,$J$7,$K$3)</f>
        <v>#NAME?</v>
      </c>
      <c r="K1068" s="7" t="e">
        <f ca="1">_xll.xlqhClose($C1068,K$8,$K$3)</f>
        <v>#NAME?</v>
      </c>
      <c r="L1068" s="7" t="e">
        <f ca="1">_xll.xlqhClose($C1068,L$8,$K$3)</f>
        <v>#NAME?</v>
      </c>
      <c r="N1068" s="9">
        <f t="shared" ca="1" si="167"/>
        <v>1</v>
      </c>
      <c r="O1068" s="9">
        <f t="shared" ca="1" si="168"/>
        <v>1</v>
      </c>
      <c r="P1068" s="9">
        <f t="shared" ca="1" si="169"/>
        <v>1</v>
      </c>
      <c r="Q1068" s="9">
        <f t="shared" ca="1" si="170"/>
        <v>1</v>
      </c>
      <c r="R1068" s="9">
        <f t="shared" ca="1" si="171"/>
        <v>0</v>
      </c>
    </row>
    <row r="1069" spans="2:18" x14ac:dyDescent="0.25">
      <c r="B1069" s="17" t="s">
        <v>1337</v>
      </c>
      <c r="C1069" s="18" t="s">
        <v>1338</v>
      </c>
      <c r="D1069" s="7" t="e">
        <f ca="1">_xll.xlqPrice(C1069)</f>
        <v>#NAME?</v>
      </c>
      <c r="E1069" s="9" t="e">
        <f t="shared" ca="1" si="162"/>
        <v>#NAME?</v>
      </c>
      <c r="F1069" s="9">
        <f t="shared" ca="1" si="163"/>
        <v>1</v>
      </c>
      <c r="G1069" s="8">
        <f t="shared" ca="1" si="164"/>
        <v>0</v>
      </c>
      <c r="H1069" s="8">
        <f t="shared" ca="1" si="165"/>
        <v>0</v>
      </c>
      <c r="I1069" s="8">
        <f t="shared" ca="1" si="166"/>
        <v>0</v>
      </c>
      <c r="J1069" s="6" t="e">
        <f ca="1">_xll.xlqxhSMA($C1069,$L$4,$J$7,$K$3)</f>
        <v>#NAME?</v>
      </c>
      <c r="K1069" s="7" t="e">
        <f ca="1">_xll.xlqhClose($C1069,K$8,$K$3)</f>
        <v>#NAME?</v>
      </c>
      <c r="L1069" s="7" t="e">
        <f ca="1">_xll.xlqhClose($C1069,L$8,$K$3)</f>
        <v>#NAME?</v>
      </c>
      <c r="N1069" s="9">
        <f t="shared" ca="1" si="167"/>
        <v>1</v>
      </c>
      <c r="O1069" s="9">
        <f t="shared" ca="1" si="168"/>
        <v>1</v>
      </c>
      <c r="P1069" s="9">
        <f t="shared" ca="1" si="169"/>
        <v>1</v>
      </c>
      <c r="Q1069" s="9">
        <f t="shared" ca="1" si="170"/>
        <v>1</v>
      </c>
      <c r="R1069" s="9">
        <f t="shared" ca="1" si="171"/>
        <v>0</v>
      </c>
    </row>
    <row r="1070" spans="2:18" x14ac:dyDescent="0.25">
      <c r="B1070" t="s">
        <v>1133</v>
      </c>
      <c r="C1070" s="39" t="s">
        <v>1134</v>
      </c>
      <c r="D1070" s="7" t="e">
        <f ca="1">_xll.xlqPrice(C1070)</f>
        <v>#NAME?</v>
      </c>
      <c r="E1070" s="9" t="e">
        <f t="shared" ca="1" si="162"/>
        <v>#NAME?</v>
      </c>
      <c r="F1070" s="9">
        <f t="shared" ca="1" si="163"/>
        <v>1</v>
      </c>
      <c r="G1070" s="8">
        <f t="shared" ca="1" si="164"/>
        <v>0</v>
      </c>
      <c r="H1070" s="8">
        <f t="shared" ca="1" si="165"/>
        <v>0</v>
      </c>
      <c r="I1070" s="8">
        <f t="shared" ca="1" si="166"/>
        <v>0</v>
      </c>
      <c r="J1070" s="6" t="e">
        <f ca="1">_xll.xlqxhSMA($C1070,$L$4,$J$7,$K$3)</f>
        <v>#NAME?</v>
      </c>
      <c r="K1070" s="7" t="e">
        <f ca="1">_xll.xlqhClose($C1070,K$8,$K$3)</f>
        <v>#NAME?</v>
      </c>
      <c r="L1070" s="7" t="e">
        <f ca="1">_xll.xlqhClose($C1070,L$8,$K$3)</f>
        <v>#NAME?</v>
      </c>
      <c r="N1070" s="9">
        <f t="shared" ca="1" si="167"/>
        <v>1</v>
      </c>
      <c r="O1070" s="9">
        <f t="shared" ca="1" si="168"/>
        <v>1</v>
      </c>
      <c r="P1070" s="9">
        <f t="shared" ca="1" si="169"/>
        <v>1</v>
      </c>
      <c r="Q1070" s="9">
        <f t="shared" ca="1" si="170"/>
        <v>1</v>
      </c>
      <c r="R1070" s="9">
        <f t="shared" ca="1" si="171"/>
        <v>0</v>
      </c>
    </row>
    <row r="1071" spans="2:18" x14ac:dyDescent="0.25">
      <c r="B1071" s="17" t="s">
        <v>284</v>
      </c>
      <c r="C1071" s="18" t="s">
        <v>285</v>
      </c>
      <c r="D1071" s="7" t="e">
        <f ca="1">_xll.xlqPrice(C1071)</f>
        <v>#NAME?</v>
      </c>
      <c r="E1071" s="9" t="e">
        <f t="shared" ca="1" si="162"/>
        <v>#NAME?</v>
      </c>
      <c r="F1071" s="9">
        <f t="shared" ca="1" si="163"/>
        <v>1</v>
      </c>
      <c r="G1071" s="8">
        <f t="shared" ca="1" si="164"/>
        <v>0</v>
      </c>
      <c r="H1071" s="8">
        <f t="shared" ca="1" si="165"/>
        <v>0</v>
      </c>
      <c r="I1071" s="8">
        <f t="shared" ca="1" si="166"/>
        <v>0</v>
      </c>
      <c r="J1071" s="6" t="e">
        <f ca="1">_xll.xlqxhSMA($C1071,$L$4,$J$7,$K$3)</f>
        <v>#NAME?</v>
      </c>
      <c r="K1071" s="7" t="e">
        <f ca="1">_xll.xlqhClose($C1071,K$8,$K$3)</f>
        <v>#NAME?</v>
      </c>
      <c r="L1071" s="7" t="e">
        <f ca="1">_xll.xlqhClose($C1071,L$8,$K$3)</f>
        <v>#NAME?</v>
      </c>
      <c r="N1071" s="9">
        <f t="shared" ca="1" si="167"/>
        <v>1</v>
      </c>
      <c r="O1071" s="9">
        <f t="shared" ca="1" si="168"/>
        <v>1</v>
      </c>
      <c r="P1071" s="9">
        <f t="shared" ca="1" si="169"/>
        <v>1</v>
      </c>
      <c r="Q1071" s="9">
        <f t="shared" ca="1" si="170"/>
        <v>1</v>
      </c>
      <c r="R1071" s="9">
        <f t="shared" ca="1" si="171"/>
        <v>0</v>
      </c>
    </row>
    <row r="1072" spans="2:18" x14ac:dyDescent="0.25">
      <c r="B1072" t="s">
        <v>406</v>
      </c>
      <c r="C1072" s="39" t="s">
        <v>407</v>
      </c>
      <c r="D1072" s="7" t="e">
        <f ca="1">_xll.xlqPrice(C1072)</f>
        <v>#NAME?</v>
      </c>
      <c r="E1072" s="9" t="e">
        <f t="shared" ca="1" si="162"/>
        <v>#NAME?</v>
      </c>
      <c r="F1072" s="9">
        <f t="shared" ca="1" si="163"/>
        <v>1</v>
      </c>
      <c r="G1072" s="8">
        <f t="shared" ca="1" si="164"/>
        <v>0</v>
      </c>
      <c r="H1072" s="8">
        <f t="shared" ca="1" si="165"/>
        <v>0</v>
      </c>
      <c r="I1072" s="8">
        <f t="shared" ca="1" si="166"/>
        <v>0</v>
      </c>
      <c r="J1072" s="6" t="e">
        <f ca="1">_xll.xlqxhSMA($C1072,$L$4,$J$7,$K$3)</f>
        <v>#NAME?</v>
      </c>
      <c r="K1072" s="7" t="e">
        <f ca="1">_xll.xlqhClose($C1072,K$8,$K$3)</f>
        <v>#NAME?</v>
      </c>
      <c r="L1072" s="7" t="e">
        <f ca="1">_xll.xlqhClose($C1072,L$8,$K$3)</f>
        <v>#NAME?</v>
      </c>
      <c r="N1072" s="9">
        <f t="shared" ca="1" si="167"/>
        <v>1</v>
      </c>
      <c r="O1072" s="9">
        <f t="shared" ca="1" si="168"/>
        <v>1</v>
      </c>
      <c r="P1072" s="9">
        <f t="shared" ca="1" si="169"/>
        <v>1</v>
      </c>
      <c r="Q1072" s="9">
        <f t="shared" ca="1" si="170"/>
        <v>1</v>
      </c>
      <c r="R1072" s="9">
        <f t="shared" ca="1" si="171"/>
        <v>0</v>
      </c>
    </row>
    <row r="1073" spans="2:18" x14ac:dyDescent="0.25">
      <c r="B1073" s="17" t="s">
        <v>320</v>
      </c>
      <c r="C1073" s="18" t="s">
        <v>321</v>
      </c>
      <c r="D1073" s="7" t="e">
        <f ca="1">_xll.xlqPrice(C1073)</f>
        <v>#NAME?</v>
      </c>
      <c r="E1073" s="9" t="e">
        <f t="shared" ca="1" si="162"/>
        <v>#NAME?</v>
      </c>
      <c r="F1073" s="9">
        <f t="shared" ca="1" si="163"/>
        <v>1</v>
      </c>
      <c r="G1073" s="8">
        <f t="shared" ca="1" si="164"/>
        <v>0</v>
      </c>
      <c r="H1073" s="8">
        <f t="shared" ca="1" si="165"/>
        <v>0</v>
      </c>
      <c r="I1073" s="8">
        <f t="shared" ca="1" si="166"/>
        <v>0</v>
      </c>
      <c r="J1073" s="6" t="e">
        <f ca="1">_xll.xlqxhSMA($C1073,$L$4,$J$7,$K$3)</f>
        <v>#NAME?</v>
      </c>
      <c r="K1073" s="7" t="e">
        <f ca="1">_xll.xlqhClose($C1073,K$8,$K$3)</f>
        <v>#NAME?</v>
      </c>
      <c r="L1073" s="7" t="e">
        <f ca="1">_xll.xlqhClose($C1073,L$8,$K$3)</f>
        <v>#NAME?</v>
      </c>
      <c r="N1073" s="9">
        <f t="shared" ca="1" si="167"/>
        <v>1</v>
      </c>
      <c r="O1073" s="9">
        <f t="shared" ca="1" si="168"/>
        <v>1</v>
      </c>
      <c r="P1073" s="9">
        <f t="shared" ca="1" si="169"/>
        <v>1</v>
      </c>
      <c r="Q1073" s="9">
        <f t="shared" ca="1" si="170"/>
        <v>1</v>
      </c>
      <c r="R1073" s="9">
        <f t="shared" ca="1" si="171"/>
        <v>0</v>
      </c>
    </row>
    <row r="1074" spans="2:18" x14ac:dyDescent="0.25">
      <c r="B1074" s="17" t="s">
        <v>536</v>
      </c>
      <c r="C1074" s="18" t="s">
        <v>537</v>
      </c>
      <c r="D1074" s="7" t="e">
        <f ca="1">_xll.xlqPrice(C1074)</f>
        <v>#NAME?</v>
      </c>
      <c r="E1074" s="9" t="e">
        <f t="shared" ca="1" si="162"/>
        <v>#NAME?</v>
      </c>
      <c r="F1074" s="9">
        <f t="shared" ca="1" si="163"/>
        <v>1</v>
      </c>
      <c r="G1074" s="8">
        <f t="shared" ca="1" si="164"/>
        <v>0</v>
      </c>
      <c r="H1074" s="8">
        <f t="shared" ca="1" si="165"/>
        <v>0</v>
      </c>
      <c r="I1074" s="8">
        <f t="shared" ca="1" si="166"/>
        <v>0</v>
      </c>
      <c r="J1074" s="6" t="e">
        <f ca="1">_xll.xlqxhSMA($C1074,$L$4,$J$7,$K$3)</f>
        <v>#NAME?</v>
      </c>
      <c r="K1074" s="7" t="e">
        <f ca="1">_xll.xlqhClose($C1074,K$8,$K$3)</f>
        <v>#NAME?</v>
      </c>
      <c r="L1074" s="7" t="e">
        <f ca="1">_xll.xlqhClose($C1074,L$8,$K$3)</f>
        <v>#NAME?</v>
      </c>
      <c r="N1074" s="9">
        <f t="shared" ca="1" si="167"/>
        <v>1</v>
      </c>
      <c r="O1074" s="9">
        <f t="shared" ca="1" si="168"/>
        <v>1</v>
      </c>
      <c r="P1074" s="9">
        <f t="shared" ca="1" si="169"/>
        <v>1</v>
      </c>
      <c r="Q1074" s="9">
        <f t="shared" ca="1" si="170"/>
        <v>1</v>
      </c>
      <c r="R1074" s="9">
        <f t="shared" ca="1" si="171"/>
        <v>0</v>
      </c>
    </row>
    <row r="1075" spans="2:18" x14ac:dyDescent="0.25">
      <c r="B1075" s="17" t="s">
        <v>2137</v>
      </c>
      <c r="C1075" s="18" t="s">
        <v>2138</v>
      </c>
      <c r="D1075" s="7" t="e">
        <f ca="1">_xll.xlqPrice(C1075)</f>
        <v>#NAME?</v>
      </c>
      <c r="E1075" s="9" t="e">
        <f t="shared" ca="1" si="162"/>
        <v>#NAME?</v>
      </c>
      <c r="F1075" s="9">
        <f t="shared" ca="1" si="163"/>
        <v>1</v>
      </c>
      <c r="G1075" s="8">
        <f t="shared" ca="1" si="164"/>
        <v>0</v>
      </c>
      <c r="H1075" s="8">
        <f t="shared" ca="1" si="165"/>
        <v>0</v>
      </c>
      <c r="I1075" s="8">
        <f t="shared" ca="1" si="166"/>
        <v>0</v>
      </c>
      <c r="J1075" s="6" t="e">
        <f ca="1">_xll.xlqxhSMA($C1075,$L$4,$J$7,$K$3)</f>
        <v>#NAME?</v>
      </c>
      <c r="K1075" s="7" t="e">
        <f ca="1">_xll.xlqhClose($C1075,K$8,$K$3)</f>
        <v>#NAME?</v>
      </c>
      <c r="L1075" s="7" t="e">
        <f ca="1">_xll.xlqhClose($C1075,L$8,$K$3)</f>
        <v>#NAME?</v>
      </c>
      <c r="N1075" s="9">
        <f t="shared" ca="1" si="167"/>
        <v>1</v>
      </c>
      <c r="O1075" s="9">
        <f t="shared" ca="1" si="168"/>
        <v>1</v>
      </c>
      <c r="P1075" s="9">
        <f t="shared" ca="1" si="169"/>
        <v>1</v>
      </c>
      <c r="Q1075" s="9">
        <f t="shared" ca="1" si="170"/>
        <v>1</v>
      </c>
      <c r="R1075" s="9">
        <f t="shared" ca="1" si="171"/>
        <v>0</v>
      </c>
    </row>
    <row r="1076" spans="2:18" x14ac:dyDescent="0.25">
      <c r="B1076" s="17" t="s">
        <v>995</v>
      </c>
      <c r="C1076" s="18" t="s">
        <v>996</v>
      </c>
      <c r="D1076" s="7" t="e">
        <f ca="1">_xll.xlqPrice(C1076)</f>
        <v>#NAME?</v>
      </c>
      <c r="E1076" s="9" t="e">
        <f t="shared" ca="1" si="162"/>
        <v>#NAME?</v>
      </c>
      <c r="F1076" s="9">
        <f t="shared" ca="1" si="163"/>
        <v>1</v>
      </c>
      <c r="G1076" s="8">
        <f t="shared" ca="1" si="164"/>
        <v>0</v>
      </c>
      <c r="H1076" s="8">
        <f t="shared" ca="1" si="165"/>
        <v>0</v>
      </c>
      <c r="I1076" s="8">
        <f t="shared" ca="1" si="166"/>
        <v>0</v>
      </c>
      <c r="J1076" s="6" t="e">
        <f ca="1">_xll.xlqxhSMA($C1076,$L$4,$J$7,$K$3)</f>
        <v>#NAME?</v>
      </c>
      <c r="K1076" s="7" t="e">
        <f ca="1">_xll.xlqhClose($C1076,K$8,$K$3)</f>
        <v>#NAME?</v>
      </c>
      <c r="L1076" s="7" t="e">
        <f ca="1">_xll.xlqhClose($C1076,L$8,$K$3)</f>
        <v>#NAME?</v>
      </c>
      <c r="N1076" s="9">
        <f t="shared" ca="1" si="167"/>
        <v>1</v>
      </c>
      <c r="O1076" s="9">
        <f t="shared" ca="1" si="168"/>
        <v>1</v>
      </c>
      <c r="P1076" s="9">
        <f t="shared" ca="1" si="169"/>
        <v>1</v>
      </c>
      <c r="Q1076" s="9">
        <f t="shared" ca="1" si="170"/>
        <v>1</v>
      </c>
      <c r="R1076" s="9">
        <f t="shared" ca="1" si="171"/>
        <v>0</v>
      </c>
    </row>
    <row r="1077" spans="2:18" x14ac:dyDescent="0.25">
      <c r="B1077" s="17" t="s">
        <v>730</v>
      </c>
      <c r="C1077" s="18" t="s">
        <v>731</v>
      </c>
      <c r="D1077" s="7" t="e">
        <f ca="1">_xll.xlqPrice(C1077)</f>
        <v>#NAME?</v>
      </c>
      <c r="E1077" s="9" t="e">
        <f t="shared" ca="1" si="162"/>
        <v>#NAME?</v>
      </c>
      <c r="F1077" s="9">
        <f t="shared" ca="1" si="163"/>
        <v>1</v>
      </c>
      <c r="G1077" s="8">
        <f t="shared" ca="1" si="164"/>
        <v>0</v>
      </c>
      <c r="H1077" s="8">
        <f t="shared" ca="1" si="165"/>
        <v>0</v>
      </c>
      <c r="I1077" s="8">
        <f t="shared" ca="1" si="166"/>
        <v>0</v>
      </c>
      <c r="J1077" s="6" t="e">
        <f ca="1">_xll.xlqxhSMA($C1077,$L$4,$J$7,$K$3)</f>
        <v>#NAME?</v>
      </c>
      <c r="K1077" s="7" t="e">
        <f ca="1">_xll.xlqhClose($C1077,K$8,$K$3)</f>
        <v>#NAME?</v>
      </c>
      <c r="L1077" s="7" t="e">
        <f ca="1">_xll.xlqhClose($C1077,L$8,$K$3)</f>
        <v>#NAME?</v>
      </c>
      <c r="N1077" s="9">
        <f t="shared" ca="1" si="167"/>
        <v>1</v>
      </c>
      <c r="O1077" s="9">
        <f t="shared" ca="1" si="168"/>
        <v>1</v>
      </c>
      <c r="P1077" s="9">
        <f t="shared" ca="1" si="169"/>
        <v>1</v>
      </c>
      <c r="Q1077" s="9">
        <f t="shared" ca="1" si="170"/>
        <v>1</v>
      </c>
      <c r="R1077" s="9">
        <f t="shared" ca="1" si="171"/>
        <v>0</v>
      </c>
    </row>
    <row r="1078" spans="2:18" x14ac:dyDescent="0.25">
      <c r="B1078" s="17" t="s">
        <v>902</v>
      </c>
      <c r="C1078" s="18" t="s">
        <v>903</v>
      </c>
      <c r="D1078" s="7" t="e">
        <f ca="1">_xll.xlqPrice(C1078)</f>
        <v>#NAME?</v>
      </c>
      <c r="E1078" s="9" t="e">
        <f t="shared" ca="1" si="162"/>
        <v>#NAME?</v>
      </c>
      <c r="F1078" s="9">
        <f t="shared" ca="1" si="163"/>
        <v>1</v>
      </c>
      <c r="G1078" s="8">
        <f t="shared" ca="1" si="164"/>
        <v>0</v>
      </c>
      <c r="H1078" s="8">
        <f t="shared" ca="1" si="165"/>
        <v>0</v>
      </c>
      <c r="I1078" s="8">
        <f t="shared" ca="1" si="166"/>
        <v>0</v>
      </c>
      <c r="J1078" s="6" t="e">
        <f ca="1">_xll.xlqxhSMA($C1078,$L$4,$J$7,$K$3)</f>
        <v>#NAME?</v>
      </c>
      <c r="K1078" s="7" t="e">
        <f ca="1">_xll.xlqhClose($C1078,K$8,$K$3)</f>
        <v>#NAME?</v>
      </c>
      <c r="L1078" s="7" t="e">
        <f ca="1">_xll.xlqhClose($C1078,L$8,$K$3)</f>
        <v>#NAME?</v>
      </c>
      <c r="N1078" s="9">
        <f t="shared" ca="1" si="167"/>
        <v>1</v>
      </c>
      <c r="O1078" s="9">
        <f t="shared" ca="1" si="168"/>
        <v>1</v>
      </c>
      <c r="P1078" s="9">
        <f t="shared" ca="1" si="169"/>
        <v>1</v>
      </c>
      <c r="Q1078" s="9">
        <f t="shared" ca="1" si="170"/>
        <v>1</v>
      </c>
      <c r="R1078" s="9">
        <f t="shared" ca="1" si="171"/>
        <v>0</v>
      </c>
    </row>
    <row r="1079" spans="2:18" x14ac:dyDescent="0.25">
      <c r="B1079" s="17" t="s">
        <v>987</v>
      </c>
      <c r="C1079" s="18" t="s">
        <v>988</v>
      </c>
      <c r="D1079" s="7" t="e">
        <f ca="1">_xll.xlqPrice(C1079)</f>
        <v>#NAME?</v>
      </c>
      <c r="E1079" s="9" t="e">
        <f t="shared" ca="1" si="162"/>
        <v>#NAME?</v>
      </c>
      <c r="F1079" s="9">
        <f t="shared" ca="1" si="163"/>
        <v>1</v>
      </c>
      <c r="G1079" s="8">
        <f t="shared" ca="1" si="164"/>
        <v>0</v>
      </c>
      <c r="H1079" s="8">
        <f t="shared" ca="1" si="165"/>
        <v>0</v>
      </c>
      <c r="I1079" s="8">
        <f t="shared" ca="1" si="166"/>
        <v>0</v>
      </c>
      <c r="J1079" s="6" t="e">
        <f ca="1">_xll.xlqxhSMA($C1079,$L$4,$J$7,$K$3)</f>
        <v>#NAME?</v>
      </c>
      <c r="K1079" s="7" t="e">
        <f ca="1">_xll.xlqhClose($C1079,K$8,$K$3)</f>
        <v>#NAME?</v>
      </c>
      <c r="L1079" s="7" t="e">
        <f ca="1">_xll.xlqhClose($C1079,L$8,$K$3)</f>
        <v>#NAME?</v>
      </c>
      <c r="N1079" s="9">
        <f t="shared" ca="1" si="167"/>
        <v>1</v>
      </c>
      <c r="O1079" s="9">
        <f t="shared" ca="1" si="168"/>
        <v>1</v>
      </c>
      <c r="P1079" s="9">
        <f t="shared" ca="1" si="169"/>
        <v>1</v>
      </c>
      <c r="Q1079" s="9">
        <f t="shared" ca="1" si="170"/>
        <v>1</v>
      </c>
      <c r="R1079" s="9">
        <f t="shared" ca="1" si="171"/>
        <v>0</v>
      </c>
    </row>
    <row r="1080" spans="2:18" x14ac:dyDescent="0.25">
      <c r="B1080" t="s">
        <v>904</v>
      </c>
      <c r="C1080" s="39" t="s">
        <v>905</v>
      </c>
      <c r="D1080" s="7" t="e">
        <f ca="1">_xll.xlqPrice(C1080)</f>
        <v>#NAME?</v>
      </c>
      <c r="E1080" s="9" t="e">
        <f t="shared" ca="1" si="162"/>
        <v>#NAME?</v>
      </c>
      <c r="F1080" s="9">
        <f t="shared" ca="1" si="163"/>
        <v>1</v>
      </c>
      <c r="G1080" s="8">
        <f t="shared" ca="1" si="164"/>
        <v>0</v>
      </c>
      <c r="H1080" s="8">
        <f t="shared" ca="1" si="165"/>
        <v>0</v>
      </c>
      <c r="I1080" s="8">
        <f t="shared" ca="1" si="166"/>
        <v>0</v>
      </c>
      <c r="J1080" s="6" t="e">
        <f ca="1">_xll.xlqxhSMA($C1080,$L$4,$J$7,$K$3)</f>
        <v>#NAME?</v>
      </c>
      <c r="K1080" s="7" t="e">
        <f ca="1">_xll.xlqhClose($C1080,K$8,$K$3)</f>
        <v>#NAME?</v>
      </c>
      <c r="L1080" s="7" t="e">
        <f ca="1">_xll.xlqhClose($C1080,L$8,$K$3)</f>
        <v>#NAME?</v>
      </c>
      <c r="N1080" s="9">
        <f t="shared" ca="1" si="167"/>
        <v>1</v>
      </c>
      <c r="O1080" s="9">
        <f t="shared" ca="1" si="168"/>
        <v>1</v>
      </c>
      <c r="P1080" s="9">
        <f t="shared" ca="1" si="169"/>
        <v>1</v>
      </c>
      <c r="Q1080" s="9">
        <f t="shared" ca="1" si="170"/>
        <v>1</v>
      </c>
      <c r="R1080" s="9">
        <f t="shared" ca="1" si="171"/>
        <v>0</v>
      </c>
    </row>
    <row r="1081" spans="2:18" x14ac:dyDescent="0.25">
      <c r="B1081" s="17" t="s">
        <v>324</v>
      </c>
      <c r="C1081" s="18" t="s">
        <v>325</v>
      </c>
      <c r="D1081" s="7" t="e">
        <f ca="1">_xll.xlqPrice(C1081)</f>
        <v>#NAME?</v>
      </c>
      <c r="E1081" s="9" t="e">
        <f t="shared" ca="1" si="162"/>
        <v>#NAME?</v>
      </c>
      <c r="F1081" s="9">
        <f t="shared" ca="1" si="163"/>
        <v>1</v>
      </c>
      <c r="G1081" s="8">
        <f t="shared" ca="1" si="164"/>
        <v>0</v>
      </c>
      <c r="H1081" s="8">
        <f t="shared" ca="1" si="165"/>
        <v>0</v>
      </c>
      <c r="I1081" s="8">
        <f t="shared" ca="1" si="166"/>
        <v>0</v>
      </c>
      <c r="J1081" s="6" t="e">
        <f ca="1">_xll.xlqxhSMA($C1081,$L$4,$J$7,$K$3)</f>
        <v>#NAME?</v>
      </c>
      <c r="K1081" s="7" t="e">
        <f ca="1">_xll.xlqhClose($C1081,K$8,$K$3)</f>
        <v>#NAME?</v>
      </c>
      <c r="L1081" s="7" t="e">
        <f ca="1">_xll.xlqhClose($C1081,L$8,$K$3)</f>
        <v>#NAME?</v>
      </c>
      <c r="N1081" s="9">
        <f t="shared" ca="1" si="167"/>
        <v>1</v>
      </c>
      <c r="O1081" s="9">
        <f t="shared" ca="1" si="168"/>
        <v>1</v>
      </c>
      <c r="P1081" s="9">
        <f t="shared" ca="1" si="169"/>
        <v>1</v>
      </c>
      <c r="Q1081" s="9">
        <f t="shared" ca="1" si="170"/>
        <v>1</v>
      </c>
      <c r="R1081" s="9">
        <f t="shared" ca="1" si="171"/>
        <v>0</v>
      </c>
    </row>
    <row r="1082" spans="2:18" x14ac:dyDescent="0.25">
      <c r="B1082" s="17" t="s">
        <v>1519</v>
      </c>
      <c r="C1082" s="18" t="s">
        <v>1520</v>
      </c>
      <c r="D1082" s="7" t="e">
        <f ca="1">_xll.xlqPrice(C1082)</f>
        <v>#NAME?</v>
      </c>
      <c r="E1082" s="9" t="e">
        <f t="shared" ca="1" si="162"/>
        <v>#NAME?</v>
      </c>
      <c r="F1082" s="9">
        <f t="shared" ca="1" si="163"/>
        <v>1</v>
      </c>
      <c r="G1082" s="8">
        <f t="shared" ca="1" si="164"/>
        <v>0</v>
      </c>
      <c r="H1082" s="8">
        <f t="shared" ca="1" si="165"/>
        <v>0</v>
      </c>
      <c r="I1082" s="8">
        <f t="shared" ca="1" si="166"/>
        <v>0</v>
      </c>
      <c r="J1082" s="6" t="e">
        <f ca="1">_xll.xlqxhSMA($C1082,$L$4,$J$7,$K$3)</f>
        <v>#NAME?</v>
      </c>
      <c r="K1082" s="7" t="e">
        <f ca="1">_xll.xlqhClose($C1082,K$8,$K$3)</f>
        <v>#NAME?</v>
      </c>
      <c r="L1082" s="7" t="e">
        <f ca="1">_xll.xlqhClose($C1082,L$8,$K$3)</f>
        <v>#NAME?</v>
      </c>
      <c r="N1082" s="9">
        <f t="shared" ca="1" si="167"/>
        <v>1</v>
      </c>
      <c r="O1082" s="9">
        <f t="shared" ca="1" si="168"/>
        <v>1</v>
      </c>
      <c r="P1082" s="9">
        <f t="shared" ca="1" si="169"/>
        <v>1</v>
      </c>
      <c r="Q1082" s="9">
        <f t="shared" ca="1" si="170"/>
        <v>1</v>
      </c>
      <c r="R1082" s="9">
        <f t="shared" ca="1" si="171"/>
        <v>0</v>
      </c>
    </row>
    <row r="1083" spans="2:18" x14ac:dyDescent="0.25">
      <c r="B1083" s="17" t="s">
        <v>2295</v>
      </c>
      <c r="C1083" s="18" t="s">
        <v>2296</v>
      </c>
      <c r="D1083" s="7" t="e">
        <f ca="1">_xll.xlqPrice(C1083)</f>
        <v>#NAME?</v>
      </c>
      <c r="E1083" s="9" t="e">
        <f t="shared" ca="1" si="162"/>
        <v>#NAME?</v>
      </c>
      <c r="F1083" s="9">
        <f t="shared" ca="1" si="163"/>
        <v>1</v>
      </c>
      <c r="G1083" s="8">
        <f t="shared" ca="1" si="164"/>
        <v>0</v>
      </c>
      <c r="H1083" s="8">
        <f t="shared" ca="1" si="165"/>
        <v>0</v>
      </c>
      <c r="I1083" s="8">
        <f t="shared" ca="1" si="166"/>
        <v>0</v>
      </c>
      <c r="J1083" s="6" t="e">
        <f ca="1">_xll.xlqxhSMA($C1083,$L$4,$J$7,$K$3)</f>
        <v>#NAME?</v>
      </c>
      <c r="K1083" s="7" t="e">
        <f ca="1">_xll.xlqhClose($C1083,K$8,$K$3)</f>
        <v>#NAME?</v>
      </c>
      <c r="L1083" s="7" t="e">
        <f ca="1">_xll.xlqhClose($C1083,L$8,$K$3)</f>
        <v>#NAME?</v>
      </c>
      <c r="N1083" s="9">
        <f t="shared" ca="1" si="167"/>
        <v>1</v>
      </c>
      <c r="O1083" s="9">
        <f t="shared" ca="1" si="168"/>
        <v>1</v>
      </c>
      <c r="P1083" s="9">
        <f t="shared" ca="1" si="169"/>
        <v>1</v>
      </c>
      <c r="Q1083" s="9">
        <f t="shared" ca="1" si="170"/>
        <v>1</v>
      </c>
      <c r="R1083" s="9">
        <f t="shared" ca="1" si="171"/>
        <v>0</v>
      </c>
    </row>
    <row r="1084" spans="2:18" x14ac:dyDescent="0.25">
      <c r="B1084" s="17" t="s">
        <v>1581</v>
      </c>
      <c r="C1084" s="18" t="s">
        <v>1582</v>
      </c>
      <c r="D1084" s="7" t="e">
        <f ca="1">_xll.xlqPrice(C1084)</f>
        <v>#NAME?</v>
      </c>
      <c r="E1084" s="9" t="e">
        <f t="shared" ca="1" si="162"/>
        <v>#NAME?</v>
      </c>
      <c r="F1084" s="9">
        <f t="shared" ca="1" si="163"/>
        <v>1</v>
      </c>
      <c r="G1084" s="8">
        <f t="shared" ca="1" si="164"/>
        <v>0</v>
      </c>
      <c r="H1084" s="8">
        <f t="shared" ca="1" si="165"/>
        <v>0</v>
      </c>
      <c r="I1084" s="8">
        <f t="shared" ca="1" si="166"/>
        <v>0</v>
      </c>
      <c r="J1084" s="6" t="e">
        <f ca="1">_xll.xlqxhSMA($C1084,$L$4,$J$7,$K$3)</f>
        <v>#NAME?</v>
      </c>
      <c r="K1084" s="7" t="e">
        <f ca="1">_xll.xlqhClose($C1084,K$8,$K$3)</f>
        <v>#NAME?</v>
      </c>
      <c r="L1084" s="7" t="e">
        <f ca="1">_xll.xlqhClose($C1084,L$8,$K$3)</f>
        <v>#NAME?</v>
      </c>
      <c r="N1084" s="9">
        <f t="shared" ca="1" si="167"/>
        <v>1</v>
      </c>
      <c r="O1084" s="9">
        <f t="shared" ca="1" si="168"/>
        <v>1</v>
      </c>
      <c r="P1084" s="9">
        <f t="shared" ca="1" si="169"/>
        <v>1</v>
      </c>
      <c r="Q1084" s="9">
        <f t="shared" ca="1" si="170"/>
        <v>1</v>
      </c>
      <c r="R1084" s="9">
        <f t="shared" ca="1" si="171"/>
        <v>0</v>
      </c>
    </row>
    <row r="1085" spans="2:18" x14ac:dyDescent="0.25">
      <c r="B1085" s="17" t="s">
        <v>498</v>
      </c>
      <c r="C1085" s="18" t="s">
        <v>499</v>
      </c>
      <c r="D1085" s="7" t="e">
        <f ca="1">_xll.xlqPrice(C1085)</f>
        <v>#NAME?</v>
      </c>
      <c r="E1085" s="9" t="e">
        <f t="shared" ca="1" si="162"/>
        <v>#NAME?</v>
      </c>
      <c r="F1085" s="9">
        <f t="shared" ca="1" si="163"/>
        <v>1</v>
      </c>
      <c r="G1085" s="8">
        <f t="shared" ca="1" si="164"/>
        <v>0</v>
      </c>
      <c r="H1085" s="8">
        <f t="shared" ca="1" si="165"/>
        <v>0</v>
      </c>
      <c r="I1085" s="8">
        <f t="shared" ca="1" si="166"/>
        <v>0</v>
      </c>
      <c r="J1085" s="6" t="e">
        <f ca="1">_xll.xlqxhSMA($C1085,$L$4,$J$7,$K$3)</f>
        <v>#NAME?</v>
      </c>
      <c r="K1085" s="7" t="e">
        <f ca="1">_xll.xlqhClose($C1085,K$8,$K$3)</f>
        <v>#NAME?</v>
      </c>
      <c r="L1085" s="7" t="e">
        <f ca="1">_xll.xlqhClose($C1085,L$8,$K$3)</f>
        <v>#NAME?</v>
      </c>
      <c r="N1085" s="9">
        <f t="shared" ca="1" si="167"/>
        <v>1</v>
      </c>
      <c r="O1085" s="9">
        <f t="shared" ca="1" si="168"/>
        <v>1</v>
      </c>
      <c r="P1085" s="9">
        <f t="shared" ca="1" si="169"/>
        <v>1</v>
      </c>
      <c r="Q1085" s="9">
        <f t="shared" ca="1" si="170"/>
        <v>1</v>
      </c>
      <c r="R1085" s="9">
        <f t="shared" ca="1" si="171"/>
        <v>0</v>
      </c>
    </row>
    <row r="1086" spans="2:18" x14ac:dyDescent="0.25">
      <c r="B1086" t="s">
        <v>1489</v>
      </c>
      <c r="C1086" s="39" t="s">
        <v>1490</v>
      </c>
      <c r="D1086" s="7" t="e">
        <f ca="1">_xll.xlqPrice(C1086)</f>
        <v>#NAME?</v>
      </c>
      <c r="E1086" s="9" t="e">
        <f t="shared" ca="1" si="162"/>
        <v>#NAME?</v>
      </c>
      <c r="F1086" s="9">
        <f t="shared" ca="1" si="163"/>
        <v>1</v>
      </c>
      <c r="G1086" s="8">
        <f t="shared" ca="1" si="164"/>
        <v>0</v>
      </c>
      <c r="H1086" s="8">
        <f t="shared" ca="1" si="165"/>
        <v>0</v>
      </c>
      <c r="I1086" s="8">
        <f t="shared" ca="1" si="166"/>
        <v>0</v>
      </c>
      <c r="J1086" s="6" t="e">
        <f ca="1">_xll.xlqxhSMA($C1086,$L$4,$J$7,$K$3)</f>
        <v>#NAME?</v>
      </c>
      <c r="K1086" s="7" t="e">
        <f ca="1">_xll.xlqhClose($C1086,K$8,$K$3)</f>
        <v>#NAME?</v>
      </c>
      <c r="L1086" s="7" t="e">
        <f ca="1">_xll.xlqhClose($C1086,L$8,$K$3)</f>
        <v>#NAME?</v>
      </c>
      <c r="N1086" s="9">
        <f t="shared" ca="1" si="167"/>
        <v>1</v>
      </c>
      <c r="O1086" s="9">
        <f t="shared" ca="1" si="168"/>
        <v>1</v>
      </c>
      <c r="P1086" s="9">
        <f t="shared" ca="1" si="169"/>
        <v>1</v>
      </c>
      <c r="Q1086" s="9">
        <f t="shared" ca="1" si="170"/>
        <v>1</v>
      </c>
      <c r="R1086" s="9">
        <f t="shared" ca="1" si="171"/>
        <v>0</v>
      </c>
    </row>
    <row r="1087" spans="2:18" x14ac:dyDescent="0.25">
      <c r="B1087" s="17" t="s">
        <v>945</v>
      </c>
      <c r="C1087" s="18" t="s">
        <v>946</v>
      </c>
      <c r="D1087" s="7" t="e">
        <f ca="1">_xll.xlqPrice(C1087)</f>
        <v>#NAME?</v>
      </c>
      <c r="E1087" s="9" t="e">
        <f t="shared" ca="1" si="162"/>
        <v>#NAME?</v>
      </c>
      <c r="F1087" s="9">
        <f t="shared" ca="1" si="163"/>
        <v>1</v>
      </c>
      <c r="G1087" s="8">
        <f t="shared" ca="1" si="164"/>
        <v>0</v>
      </c>
      <c r="H1087" s="8">
        <f t="shared" ca="1" si="165"/>
        <v>0</v>
      </c>
      <c r="I1087" s="8">
        <f t="shared" ca="1" si="166"/>
        <v>0</v>
      </c>
      <c r="J1087" s="6" t="e">
        <f ca="1">_xll.xlqxhSMA($C1087,$L$4,$J$7,$K$3)</f>
        <v>#NAME?</v>
      </c>
      <c r="K1087" s="7" t="e">
        <f ca="1">_xll.xlqhClose($C1087,K$8,$K$3)</f>
        <v>#NAME?</v>
      </c>
      <c r="L1087" s="7" t="e">
        <f ca="1">_xll.xlqhClose($C1087,L$8,$K$3)</f>
        <v>#NAME?</v>
      </c>
      <c r="N1087" s="9">
        <f t="shared" ca="1" si="167"/>
        <v>1</v>
      </c>
      <c r="O1087" s="9">
        <f t="shared" ca="1" si="168"/>
        <v>1</v>
      </c>
      <c r="P1087" s="9">
        <f t="shared" ca="1" si="169"/>
        <v>1</v>
      </c>
      <c r="Q1087" s="9">
        <f t="shared" ca="1" si="170"/>
        <v>1</v>
      </c>
      <c r="R1087" s="9">
        <f t="shared" ca="1" si="171"/>
        <v>0</v>
      </c>
    </row>
    <row r="1088" spans="2:18" x14ac:dyDescent="0.25">
      <c r="B1088" s="17" t="s">
        <v>432</v>
      </c>
      <c r="C1088" s="18" t="s">
        <v>433</v>
      </c>
      <c r="D1088" s="7" t="e">
        <f ca="1">_xll.xlqPrice(C1088)</f>
        <v>#NAME?</v>
      </c>
      <c r="E1088" s="9" t="e">
        <f t="shared" ca="1" si="162"/>
        <v>#NAME?</v>
      </c>
      <c r="F1088" s="9">
        <f t="shared" ca="1" si="163"/>
        <v>1</v>
      </c>
      <c r="G1088" s="8">
        <f t="shared" ca="1" si="164"/>
        <v>0</v>
      </c>
      <c r="H1088" s="8">
        <f t="shared" ca="1" si="165"/>
        <v>0</v>
      </c>
      <c r="I1088" s="8">
        <f t="shared" ca="1" si="166"/>
        <v>0</v>
      </c>
      <c r="J1088" s="6" t="e">
        <f ca="1">_xll.xlqxhSMA($C1088,$L$4,$J$7,$K$3)</f>
        <v>#NAME?</v>
      </c>
      <c r="K1088" s="7" t="e">
        <f ca="1">_xll.xlqhClose($C1088,K$8,$K$3)</f>
        <v>#NAME?</v>
      </c>
      <c r="L1088" s="7" t="e">
        <f ca="1">_xll.xlqhClose($C1088,L$8,$K$3)</f>
        <v>#NAME?</v>
      </c>
      <c r="N1088" s="9">
        <f t="shared" ca="1" si="167"/>
        <v>1</v>
      </c>
      <c r="O1088" s="9">
        <f t="shared" ca="1" si="168"/>
        <v>1</v>
      </c>
      <c r="P1088" s="9">
        <f t="shared" ca="1" si="169"/>
        <v>1</v>
      </c>
      <c r="Q1088" s="9">
        <f t="shared" ca="1" si="170"/>
        <v>1</v>
      </c>
      <c r="R1088" s="9">
        <f t="shared" ca="1" si="171"/>
        <v>0</v>
      </c>
    </row>
    <row r="1089" spans="2:18" x14ac:dyDescent="0.25">
      <c r="B1089" t="s">
        <v>880</v>
      </c>
      <c r="C1089" s="39" t="s">
        <v>881</v>
      </c>
      <c r="D1089" s="7" t="e">
        <f ca="1">_xll.xlqPrice(C1089)</f>
        <v>#NAME?</v>
      </c>
      <c r="E1089" s="9" t="e">
        <f t="shared" ca="1" si="162"/>
        <v>#NAME?</v>
      </c>
      <c r="F1089" s="9">
        <f t="shared" ca="1" si="163"/>
        <v>1</v>
      </c>
      <c r="G1089" s="8">
        <f t="shared" ca="1" si="164"/>
        <v>0</v>
      </c>
      <c r="H1089" s="8">
        <f t="shared" ca="1" si="165"/>
        <v>0</v>
      </c>
      <c r="I1089" s="8">
        <f t="shared" ca="1" si="166"/>
        <v>0</v>
      </c>
      <c r="J1089" s="6" t="e">
        <f ca="1">_xll.xlqxhSMA($C1089,$L$4,$J$7,$K$3)</f>
        <v>#NAME?</v>
      </c>
      <c r="K1089" s="7" t="e">
        <f ca="1">_xll.xlqhClose($C1089,K$8,$K$3)</f>
        <v>#NAME?</v>
      </c>
      <c r="L1089" s="7" t="e">
        <f ca="1">_xll.xlqhClose($C1089,L$8,$K$3)</f>
        <v>#NAME?</v>
      </c>
      <c r="N1089" s="9">
        <f t="shared" ca="1" si="167"/>
        <v>1</v>
      </c>
      <c r="O1089" s="9">
        <f t="shared" ca="1" si="168"/>
        <v>1</v>
      </c>
      <c r="P1089" s="9">
        <f t="shared" ca="1" si="169"/>
        <v>1</v>
      </c>
      <c r="Q1089" s="9">
        <f t="shared" ca="1" si="170"/>
        <v>1</v>
      </c>
      <c r="R1089" s="9">
        <f t="shared" ca="1" si="171"/>
        <v>0</v>
      </c>
    </row>
    <row r="1090" spans="2:18" x14ac:dyDescent="0.25">
      <c r="B1090" s="17" t="s">
        <v>69</v>
      </c>
      <c r="C1090" s="18" t="s">
        <v>70</v>
      </c>
      <c r="D1090" s="7" t="e">
        <f ca="1">_xll.xlqPrice(C1090)</f>
        <v>#NAME?</v>
      </c>
      <c r="E1090" s="9" t="e">
        <f t="shared" ca="1" si="162"/>
        <v>#NAME?</v>
      </c>
      <c r="F1090" s="9">
        <f t="shared" ca="1" si="163"/>
        <v>1</v>
      </c>
      <c r="G1090" s="8">
        <f t="shared" ca="1" si="164"/>
        <v>0</v>
      </c>
      <c r="H1090" s="8">
        <f t="shared" ca="1" si="165"/>
        <v>0</v>
      </c>
      <c r="I1090" s="8">
        <f t="shared" ca="1" si="166"/>
        <v>0</v>
      </c>
      <c r="J1090" s="6" t="e">
        <f ca="1">_xll.xlqxhSMA($C1090,$L$4,$J$7,$K$3)</f>
        <v>#NAME?</v>
      </c>
      <c r="K1090" s="7" t="e">
        <f ca="1">_xll.xlqhClose($C1090,K$8,$K$3)</f>
        <v>#NAME?</v>
      </c>
      <c r="L1090" s="7" t="e">
        <f ca="1">_xll.xlqhClose($C1090,L$8,$K$3)</f>
        <v>#NAME?</v>
      </c>
      <c r="N1090" s="9">
        <f t="shared" ca="1" si="167"/>
        <v>1</v>
      </c>
      <c r="O1090" s="9">
        <f t="shared" ca="1" si="168"/>
        <v>1</v>
      </c>
      <c r="P1090" s="9">
        <f t="shared" ca="1" si="169"/>
        <v>1</v>
      </c>
      <c r="Q1090" s="9">
        <f t="shared" ca="1" si="170"/>
        <v>1</v>
      </c>
      <c r="R1090" s="9">
        <f t="shared" ca="1" si="171"/>
        <v>0</v>
      </c>
    </row>
    <row r="1091" spans="2:18" x14ac:dyDescent="0.25">
      <c r="B1091" s="17" t="s">
        <v>1069</v>
      </c>
      <c r="C1091" s="18" t="s">
        <v>1070</v>
      </c>
      <c r="D1091" s="7" t="e">
        <f ca="1">_xll.xlqPrice(C1091)</f>
        <v>#NAME?</v>
      </c>
      <c r="E1091" s="9" t="e">
        <f t="shared" ca="1" si="162"/>
        <v>#NAME?</v>
      </c>
      <c r="F1091" s="9">
        <f t="shared" ca="1" si="163"/>
        <v>1</v>
      </c>
      <c r="G1091" s="8">
        <f t="shared" ca="1" si="164"/>
        <v>0</v>
      </c>
      <c r="H1091" s="8">
        <f t="shared" ca="1" si="165"/>
        <v>0</v>
      </c>
      <c r="I1091" s="8">
        <f t="shared" ca="1" si="166"/>
        <v>0</v>
      </c>
      <c r="J1091" s="6" t="e">
        <f ca="1">_xll.xlqxhSMA($C1091,$L$4,$J$7,$K$3)</f>
        <v>#NAME?</v>
      </c>
      <c r="K1091" s="7" t="e">
        <f ca="1">_xll.xlqhClose($C1091,K$8,$K$3)</f>
        <v>#NAME?</v>
      </c>
      <c r="L1091" s="7" t="e">
        <f ca="1">_xll.xlqhClose($C1091,L$8,$K$3)</f>
        <v>#NAME?</v>
      </c>
      <c r="N1091" s="9">
        <f t="shared" ca="1" si="167"/>
        <v>1</v>
      </c>
      <c r="O1091" s="9">
        <f t="shared" ca="1" si="168"/>
        <v>1</v>
      </c>
      <c r="P1091" s="9">
        <f t="shared" ca="1" si="169"/>
        <v>1</v>
      </c>
      <c r="Q1091" s="9">
        <f t="shared" ca="1" si="170"/>
        <v>1</v>
      </c>
      <c r="R1091" s="9">
        <f t="shared" ca="1" si="171"/>
        <v>0</v>
      </c>
    </row>
    <row r="1092" spans="2:18" x14ac:dyDescent="0.25">
      <c r="B1092" s="17" t="s">
        <v>1893</v>
      </c>
      <c r="C1092" s="18" t="s">
        <v>1894</v>
      </c>
      <c r="D1092" s="7" t="e">
        <f ca="1">_xll.xlqPrice(C1092)</f>
        <v>#NAME?</v>
      </c>
      <c r="E1092" s="9" t="e">
        <f t="shared" ca="1" si="162"/>
        <v>#NAME?</v>
      </c>
      <c r="F1092" s="9">
        <f t="shared" ca="1" si="163"/>
        <v>1</v>
      </c>
      <c r="G1092" s="8">
        <f t="shared" ca="1" si="164"/>
        <v>0</v>
      </c>
      <c r="H1092" s="8">
        <f t="shared" ca="1" si="165"/>
        <v>0</v>
      </c>
      <c r="I1092" s="8">
        <f t="shared" ca="1" si="166"/>
        <v>0</v>
      </c>
      <c r="J1092" s="6" t="e">
        <f ca="1">_xll.xlqxhSMA($C1092,$L$4,$J$7,$K$3)</f>
        <v>#NAME?</v>
      </c>
      <c r="K1092" s="7" t="e">
        <f ca="1">_xll.xlqhClose($C1092,K$8,$K$3)</f>
        <v>#NAME?</v>
      </c>
      <c r="L1092" s="7" t="e">
        <f ca="1">_xll.xlqhClose($C1092,L$8,$K$3)</f>
        <v>#NAME?</v>
      </c>
      <c r="N1092" s="9">
        <f t="shared" ca="1" si="167"/>
        <v>1</v>
      </c>
      <c r="O1092" s="9">
        <f t="shared" ca="1" si="168"/>
        <v>1</v>
      </c>
      <c r="P1092" s="9">
        <f t="shared" ca="1" si="169"/>
        <v>1</v>
      </c>
      <c r="Q1092" s="9">
        <f t="shared" ca="1" si="170"/>
        <v>1</v>
      </c>
      <c r="R1092" s="9">
        <f t="shared" ca="1" si="171"/>
        <v>0</v>
      </c>
    </row>
    <row r="1093" spans="2:18" x14ac:dyDescent="0.25">
      <c r="B1093" s="17" t="s">
        <v>332</v>
      </c>
      <c r="C1093" s="18" t="s">
        <v>333</v>
      </c>
      <c r="D1093" s="7" t="e">
        <f ca="1">_xll.xlqPrice(C1093)</f>
        <v>#NAME?</v>
      </c>
      <c r="E1093" s="9" t="e">
        <f t="shared" ca="1" si="162"/>
        <v>#NAME?</v>
      </c>
      <c r="F1093" s="9">
        <f t="shared" ca="1" si="163"/>
        <v>1</v>
      </c>
      <c r="G1093" s="8">
        <f t="shared" ca="1" si="164"/>
        <v>0</v>
      </c>
      <c r="H1093" s="8">
        <f t="shared" ca="1" si="165"/>
        <v>0</v>
      </c>
      <c r="I1093" s="8">
        <f t="shared" ca="1" si="166"/>
        <v>0</v>
      </c>
      <c r="J1093" s="6" t="e">
        <f ca="1">_xll.xlqxhSMA($C1093,$L$4,$J$7,$K$3)</f>
        <v>#NAME?</v>
      </c>
      <c r="K1093" s="7" t="e">
        <f ca="1">_xll.xlqhClose($C1093,K$8,$K$3)</f>
        <v>#NAME?</v>
      </c>
      <c r="L1093" s="7" t="e">
        <f ca="1">_xll.xlqhClose($C1093,L$8,$K$3)</f>
        <v>#NAME?</v>
      </c>
      <c r="N1093" s="9">
        <f t="shared" ca="1" si="167"/>
        <v>1</v>
      </c>
      <c r="O1093" s="9">
        <f t="shared" ca="1" si="168"/>
        <v>1</v>
      </c>
      <c r="P1093" s="9">
        <f t="shared" ca="1" si="169"/>
        <v>1</v>
      </c>
      <c r="Q1093" s="9">
        <f t="shared" ca="1" si="170"/>
        <v>1</v>
      </c>
      <c r="R1093" s="9">
        <f t="shared" ca="1" si="171"/>
        <v>0</v>
      </c>
    </row>
    <row r="1094" spans="2:18" x14ac:dyDescent="0.25">
      <c r="B1094" s="17" t="s">
        <v>1057</v>
      </c>
      <c r="C1094" s="18" t="s">
        <v>1058</v>
      </c>
      <c r="D1094" s="7" t="e">
        <f ca="1">_xll.xlqPrice(C1094)</f>
        <v>#NAME?</v>
      </c>
      <c r="E1094" s="9" t="e">
        <f t="shared" ca="1" si="162"/>
        <v>#NAME?</v>
      </c>
      <c r="F1094" s="9">
        <f t="shared" ca="1" si="163"/>
        <v>1</v>
      </c>
      <c r="G1094" s="8">
        <f t="shared" ca="1" si="164"/>
        <v>0</v>
      </c>
      <c r="H1094" s="8">
        <f t="shared" ca="1" si="165"/>
        <v>0</v>
      </c>
      <c r="I1094" s="8">
        <f t="shared" ca="1" si="166"/>
        <v>0</v>
      </c>
      <c r="J1094" s="6" t="e">
        <f ca="1">_xll.xlqxhSMA($C1094,$L$4,$J$7,$K$3)</f>
        <v>#NAME?</v>
      </c>
      <c r="K1094" s="7" t="e">
        <f ca="1">_xll.xlqhClose($C1094,K$8,$K$3)</f>
        <v>#NAME?</v>
      </c>
      <c r="L1094" s="7" t="e">
        <f ca="1">_xll.xlqhClose($C1094,L$8,$K$3)</f>
        <v>#NAME?</v>
      </c>
      <c r="N1094" s="9">
        <f t="shared" ca="1" si="167"/>
        <v>1</v>
      </c>
      <c r="O1094" s="9">
        <f t="shared" ca="1" si="168"/>
        <v>1</v>
      </c>
      <c r="P1094" s="9">
        <f t="shared" ca="1" si="169"/>
        <v>1</v>
      </c>
      <c r="Q1094" s="9">
        <f t="shared" ca="1" si="170"/>
        <v>1</v>
      </c>
      <c r="R1094" s="9">
        <f t="shared" ca="1" si="171"/>
        <v>0</v>
      </c>
    </row>
    <row r="1095" spans="2:18" x14ac:dyDescent="0.25">
      <c r="B1095" s="17" t="s">
        <v>1897</v>
      </c>
      <c r="C1095" s="18" t="s">
        <v>1898</v>
      </c>
      <c r="D1095" s="7" t="e">
        <f ca="1">_xll.xlqPrice(C1095)</f>
        <v>#NAME?</v>
      </c>
      <c r="E1095" s="9" t="e">
        <f t="shared" ca="1" si="162"/>
        <v>#NAME?</v>
      </c>
      <c r="F1095" s="9">
        <f t="shared" ca="1" si="163"/>
        <v>1</v>
      </c>
      <c r="G1095" s="8">
        <f t="shared" ca="1" si="164"/>
        <v>0</v>
      </c>
      <c r="H1095" s="8">
        <f t="shared" ca="1" si="165"/>
        <v>0</v>
      </c>
      <c r="I1095" s="8">
        <f t="shared" ca="1" si="166"/>
        <v>0</v>
      </c>
      <c r="J1095" s="6" t="e">
        <f ca="1">_xll.xlqxhSMA($C1095,$L$4,$J$7,$K$3)</f>
        <v>#NAME?</v>
      </c>
      <c r="K1095" s="7" t="e">
        <f ca="1">_xll.xlqhClose($C1095,K$8,$K$3)</f>
        <v>#NAME?</v>
      </c>
      <c r="L1095" s="7" t="e">
        <f ca="1">_xll.xlqhClose($C1095,L$8,$K$3)</f>
        <v>#NAME?</v>
      </c>
      <c r="N1095" s="9">
        <f t="shared" ca="1" si="167"/>
        <v>1</v>
      </c>
      <c r="O1095" s="9">
        <f t="shared" ca="1" si="168"/>
        <v>1</v>
      </c>
      <c r="P1095" s="9">
        <f t="shared" ca="1" si="169"/>
        <v>1</v>
      </c>
      <c r="Q1095" s="9">
        <f t="shared" ca="1" si="170"/>
        <v>1</v>
      </c>
      <c r="R1095" s="9">
        <f t="shared" ca="1" si="171"/>
        <v>0</v>
      </c>
    </row>
    <row r="1096" spans="2:18" x14ac:dyDescent="0.25">
      <c r="B1096" s="17" t="s">
        <v>438</v>
      </c>
      <c r="C1096" s="18" t="s">
        <v>439</v>
      </c>
      <c r="D1096" s="7" t="e">
        <f ca="1">_xll.xlqPrice(C1096)</f>
        <v>#NAME?</v>
      </c>
      <c r="E1096" s="9" t="e">
        <f t="shared" ca="1" si="162"/>
        <v>#NAME?</v>
      </c>
      <c r="F1096" s="9">
        <f t="shared" ca="1" si="163"/>
        <v>1</v>
      </c>
      <c r="G1096" s="8">
        <f t="shared" ca="1" si="164"/>
        <v>0</v>
      </c>
      <c r="H1096" s="8">
        <f t="shared" ca="1" si="165"/>
        <v>0</v>
      </c>
      <c r="I1096" s="8">
        <f t="shared" ca="1" si="166"/>
        <v>0</v>
      </c>
      <c r="J1096" s="6" t="e">
        <f ca="1">_xll.xlqxhSMA($C1096,$L$4,$J$7,$K$3)</f>
        <v>#NAME?</v>
      </c>
      <c r="K1096" s="7" t="e">
        <f ca="1">_xll.xlqhClose($C1096,K$8,$K$3)</f>
        <v>#NAME?</v>
      </c>
      <c r="L1096" s="7" t="e">
        <f ca="1">_xll.xlqhClose($C1096,L$8,$K$3)</f>
        <v>#NAME?</v>
      </c>
      <c r="N1096" s="9">
        <f t="shared" ca="1" si="167"/>
        <v>1</v>
      </c>
      <c r="O1096" s="9">
        <f t="shared" ca="1" si="168"/>
        <v>1</v>
      </c>
      <c r="P1096" s="9">
        <f t="shared" ca="1" si="169"/>
        <v>1</v>
      </c>
      <c r="Q1096" s="9">
        <f t="shared" ca="1" si="170"/>
        <v>1</v>
      </c>
      <c r="R1096" s="9">
        <f t="shared" ca="1" si="171"/>
        <v>0</v>
      </c>
    </row>
    <row r="1097" spans="2:18" x14ac:dyDescent="0.25">
      <c r="B1097" s="17" t="s">
        <v>59</v>
      </c>
      <c r="C1097" s="18" t="s">
        <v>60</v>
      </c>
      <c r="D1097" s="7" t="e">
        <f ca="1">_xll.xlqPrice(C1097)</f>
        <v>#NAME?</v>
      </c>
      <c r="E1097" s="9" t="e">
        <f t="shared" ca="1" si="162"/>
        <v>#NAME?</v>
      </c>
      <c r="F1097" s="9">
        <f t="shared" ca="1" si="163"/>
        <v>1</v>
      </c>
      <c r="G1097" s="8">
        <f t="shared" ca="1" si="164"/>
        <v>0</v>
      </c>
      <c r="H1097" s="8">
        <f t="shared" ca="1" si="165"/>
        <v>0</v>
      </c>
      <c r="I1097" s="8">
        <f t="shared" ca="1" si="166"/>
        <v>0</v>
      </c>
      <c r="J1097" s="6" t="e">
        <f ca="1">_xll.xlqxhSMA($C1097,$L$4,$J$7,$K$3)</f>
        <v>#NAME?</v>
      </c>
      <c r="K1097" s="7" t="e">
        <f ca="1">_xll.xlqhClose($C1097,K$8,$K$3)</f>
        <v>#NAME?</v>
      </c>
      <c r="L1097" s="7" t="e">
        <f ca="1">_xll.xlqhClose($C1097,L$8,$K$3)</f>
        <v>#NAME?</v>
      </c>
      <c r="N1097" s="9">
        <f t="shared" ca="1" si="167"/>
        <v>1</v>
      </c>
      <c r="O1097" s="9">
        <f t="shared" ca="1" si="168"/>
        <v>1</v>
      </c>
      <c r="P1097" s="9">
        <f t="shared" ca="1" si="169"/>
        <v>1</v>
      </c>
      <c r="Q1097" s="9">
        <f t="shared" ca="1" si="170"/>
        <v>1</v>
      </c>
      <c r="R1097" s="9">
        <f t="shared" ca="1" si="171"/>
        <v>0</v>
      </c>
    </row>
    <row r="1098" spans="2:18" x14ac:dyDescent="0.25">
      <c r="B1098" t="s">
        <v>983</v>
      </c>
      <c r="C1098" s="39" t="s">
        <v>984</v>
      </c>
      <c r="D1098" s="7" t="e">
        <f ca="1">_xll.xlqPrice(C1098)</f>
        <v>#NAME?</v>
      </c>
      <c r="E1098" s="9" t="e">
        <f t="shared" ca="1" si="162"/>
        <v>#NAME?</v>
      </c>
      <c r="F1098" s="9">
        <f t="shared" ca="1" si="163"/>
        <v>1</v>
      </c>
      <c r="G1098" s="8">
        <f t="shared" ca="1" si="164"/>
        <v>0</v>
      </c>
      <c r="H1098" s="8">
        <f t="shared" ca="1" si="165"/>
        <v>0</v>
      </c>
      <c r="I1098" s="8">
        <f t="shared" ca="1" si="166"/>
        <v>0</v>
      </c>
      <c r="J1098" s="6" t="e">
        <f ca="1">_xll.xlqxhSMA($C1098,$L$4,$J$7,$K$3)</f>
        <v>#NAME?</v>
      </c>
      <c r="K1098" s="7" t="e">
        <f ca="1">_xll.xlqhClose($C1098,K$8,$K$3)</f>
        <v>#NAME?</v>
      </c>
      <c r="L1098" s="7" t="e">
        <f ca="1">_xll.xlqhClose($C1098,L$8,$K$3)</f>
        <v>#NAME?</v>
      </c>
      <c r="N1098" s="9">
        <f t="shared" ca="1" si="167"/>
        <v>1</v>
      </c>
      <c r="O1098" s="9">
        <f t="shared" ca="1" si="168"/>
        <v>1</v>
      </c>
      <c r="P1098" s="9">
        <f t="shared" ca="1" si="169"/>
        <v>1</v>
      </c>
      <c r="Q1098" s="9">
        <f t="shared" ca="1" si="170"/>
        <v>1</v>
      </c>
      <c r="R1098" s="9">
        <f t="shared" ca="1" si="171"/>
        <v>0</v>
      </c>
    </row>
    <row r="1099" spans="2:18" x14ac:dyDescent="0.25">
      <c r="B1099" s="17" t="s">
        <v>1147</v>
      </c>
      <c r="C1099" s="18" t="s">
        <v>1148</v>
      </c>
      <c r="D1099" s="7" t="e">
        <f ca="1">_xll.xlqPrice(C1099)</f>
        <v>#NAME?</v>
      </c>
      <c r="E1099" s="9" t="e">
        <f t="shared" ref="E1099:E1138" ca="1" si="172">IF(D1099&gt;J1099, "Buy","Cash")</f>
        <v>#NAME?</v>
      </c>
      <c r="F1099" s="9">
        <f t="shared" ref="F1099:F1138" ca="1" si="173">RANK(I1099,$I$11:$I$1138,0)</f>
        <v>1</v>
      </c>
      <c r="G1099" s="8">
        <f t="shared" ref="G1099:G1138" ca="1" si="174">IFERROR(($D1099-K1099)/K1099,0)</f>
        <v>0</v>
      </c>
      <c r="H1099" s="8">
        <f t="shared" ref="H1099:H1138" ca="1" si="175">IFERROR(($D1099-L1099)/L1099,0)</f>
        <v>0</v>
      </c>
      <c r="I1099" s="8">
        <f t="shared" ref="I1099:I1138" ca="1" si="176">IFERROR((G1099*$G$8)+(H1099*$H$8),0)</f>
        <v>0</v>
      </c>
      <c r="J1099" s="6" t="e">
        <f ca="1">_xll.xlqxhSMA($C1099,$L$4,$J$7,$K$3)</f>
        <v>#NAME?</v>
      </c>
      <c r="K1099" s="7" t="e">
        <f ca="1">_xll.xlqhClose($C1099,K$8,$K$3)</f>
        <v>#NAME?</v>
      </c>
      <c r="L1099" s="7" t="e">
        <f ca="1">_xll.xlqhClose($C1099,L$8,$K$3)</f>
        <v>#NAME?</v>
      </c>
      <c r="N1099" s="9">
        <f t="shared" ref="N1099:N1138" ca="1" si="177">RANK($G1099,G$11:G$1138,0)</f>
        <v>1</v>
      </c>
      <c r="O1099" s="9">
        <f t="shared" ref="O1099:O1138" ca="1" si="178">RANK($H1099,H$11:H$1138,0)</f>
        <v>1</v>
      </c>
      <c r="P1099" s="9">
        <f t="shared" ref="P1099:P1138" ca="1" si="179">RANK($I1099,I$11:I$1138,0)</f>
        <v>1</v>
      </c>
      <c r="Q1099" s="9">
        <f t="shared" ref="Q1099:Q1138" ca="1" si="180">RANK($P1099,P$11:P$1138,1)</f>
        <v>1</v>
      </c>
      <c r="R1099" s="9">
        <f t="shared" ref="R1099:R1138" ca="1" si="181">F1099-Q1099</f>
        <v>0</v>
      </c>
    </row>
    <row r="1100" spans="2:18" x14ac:dyDescent="0.25">
      <c r="B1100" s="17" t="s">
        <v>985</v>
      </c>
      <c r="C1100" s="18" t="s">
        <v>986</v>
      </c>
      <c r="D1100" s="7" t="e">
        <f ca="1">_xll.xlqPrice(C1100)</f>
        <v>#NAME?</v>
      </c>
      <c r="E1100" s="9" t="e">
        <f t="shared" ca="1" si="172"/>
        <v>#NAME?</v>
      </c>
      <c r="F1100" s="9">
        <f t="shared" ca="1" si="173"/>
        <v>1</v>
      </c>
      <c r="G1100" s="8">
        <f t="shared" ca="1" si="174"/>
        <v>0</v>
      </c>
      <c r="H1100" s="8">
        <f t="shared" ca="1" si="175"/>
        <v>0</v>
      </c>
      <c r="I1100" s="8">
        <f t="shared" ca="1" si="176"/>
        <v>0</v>
      </c>
      <c r="J1100" s="6" t="e">
        <f ca="1">_xll.xlqxhSMA($C1100,$L$4,$J$7,$K$3)</f>
        <v>#NAME?</v>
      </c>
      <c r="K1100" s="7" t="e">
        <f ca="1">_xll.xlqhClose($C1100,K$8,$K$3)</f>
        <v>#NAME?</v>
      </c>
      <c r="L1100" s="7" t="e">
        <f ca="1">_xll.xlqhClose($C1100,L$8,$K$3)</f>
        <v>#NAME?</v>
      </c>
      <c r="N1100" s="9">
        <f t="shared" ca="1" si="177"/>
        <v>1</v>
      </c>
      <c r="O1100" s="9">
        <f t="shared" ca="1" si="178"/>
        <v>1</v>
      </c>
      <c r="P1100" s="9">
        <f t="shared" ca="1" si="179"/>
        <v>1</v>
      </c>
      <c r="Q1100" s="9">
        <f t="shared" ca="1" si="180"/>
        <v>1</v>
      </c>
      <c r="R1100" s="9">
        <f t="shared" ca="1" si="181"/>
        <v>0</v>
      </c>
    </row>
    <row r="1101" spans="2:18" x14ac:dyDescent="0.25">
      <c r="B1101" s="17" t="s">
        <v>57</v>
      </c>
      <c r="C1101" s="18" t="s">
        <v>58</v>
      </c>
      <c r="D1101" s="7" t="e">
        <f ca="1">_xll.xlqPrice(C1101)</f>
        <v>#NAME?</v>
      </c>
      <c r="E1101" s="9" t="e">
        <f t="shared" ca="1" si="172"/>
        <v>#NAME?</v>
      </c>
      <c r="F1101" s="9">
        <f t="shared" ca="1" si="173"/>
        <v>1</v>
      </c>
      <c r="G1101" s="8">
        <f t="shared" ca="1" si="174"/>
        <v>0</v>
      </c>
      <c r="H1101" s="8">
        <f t="shared" ca="1" si="175"/>
        <v>0</v>
      </c>
      <c r="I1101" s="8">
        <f t="shared" ca="1" si="176"/>
        <v>0</v>
      </c>
      <c r="J1101" s="6" t="e">
        <f ca="1">_xll.xlqxhSMA($C1101,$L$4,$J$7,$K$3)</f>
        <v>#NAME?</v>
      </c>
      <c r="K1101" s="7" t="e">
        <f ca="1">_xll.xlqhClose($C1101,K$8,$K$3)</f>
        <v>#NAME?</v>
      </c>
      <c r="L1101" s="7" t="e">
        <f ca="1">_xll.xlqhClose($C1101,L$8,$K$3)</f>
        <v>#NAME?</v>
      </c>
      <c r="N1101" s="9">
        <f t="shared" ca="1" si="177"/>
        <v>1</v>
      </c>
      <c r="O1101" s="9">
        <f t="shared" ca="1" si="178"/>
        <v>1</v>
      </c>
      <c r="P1101" s="9">
        <f t="shared" ca="1" si="179"/>
        <v>1</v>
      </c>
      <c r="Q1101" s="9">
        <f t="shared" ca="1" si="180"/>
        <v>1</v>
      </c>
      <c r="R1101" s="9">
        <f t="shared" ca="1" si="181"/>
        <v>0</v>
      </c>
    </row>
    <row r="1102" spans="2:18" x14ac:dyDescent="0.25">
      <c r="B1102" t="s">
        <v>898</v>
      </c>
      <c r="C1102" s="39" t="s">
        <v>899</v>
      </c>
      <c r="D1102" s="7" t="e">
        <f ca="1">_xll.xlqPrice(C1102)</f>
        <v>#NAME?</v>
      </c>
      <c r="E1102" s="9" t="e">
        <f t="shared" ca="1" si="172"/>
        <v>#NAME?</v>
      </c>
      <c r="F1102" s="9">
        <f t="shared" ca="1" si="173"/>
        <v>1</v>
      </c>
      <c r="G1102" s="8">
        <f t="shared" ca="1" si="174"/>
        <v>0</v>
      </c>
      <c r="H1102" s="8">
        <f t="shared" ca="1" si="175"/>
        <v>0</v>
      </c>
      <c r="I1102" s="8">
        <f t="shared" ca="1" si="176"/>
        <v>0</v>
      </c>
      <c r="J1102" s="6" t="e">
        <f ca="1">_xll.xlqxhSMA($C1102,$L$4,$J$7,$K$3)</f>
        <v>#NAME?</v>
      </c>
      <c r="K1102" s="7" t="e">
        <f ca="1">_xll.xlqhClose($C1102,K$8,$K$3)</f>
        <v>#NAME?</v>
      </c>
      <c r="L1102" s="7" t="e">
        <f ca="1">_xll.xlqhClose($C1102,L$8,$K$3)</f>
        <v>#NAME?</v>
      </c>
      <c r="N1102" s="9">
        <f t="shared" ca="1" si="177"/>
        <v>1</v>
      </c>
      <c r="O1102" s="9">
        <f t="shared" ca="1" si="178"/>
        <v>1</v>
      </c>
      <c r="P1102" s="9">
        <f t="shared" ca="1" si="179"/>
        <v>1</v>
      </c>
      <c r="Q1102" s="9">
        <f t="shared" ca="1" si="180"/>
        <v>1</v>
      </c>
      <c r="R1102" s="9">
        <f t="shared" ca="1" si="181"/>
        <v>0</v>
      </c>
    </row>
    <row r="1103" spans="2:18" x14ac:dyDescent="0.25">
      <c r="B1103" s="17" t="s">
        <v>1935</v>
      </c>
      <c r="C1103" s="18" t="s">
        <v>1936</v>
      </c>
      <c r="D1103" s="7" t="e">
        <f ca="1">_xll.xlqPrice(C1103)</f>
        <v>#NAME?</v>
      </c>
      <c r="E1103" s="9" t="e">
        <f t="shared" ca="1" si="172"/>
        <v>#NAME?</v>
      </c>
      <c r="F1103" s="9">
        <f t="shared" ca="1" si="173"/>
        <v>1</v>
      </c>
      <c r="G1103" s="8">
        <f t="shared" ca="1" si="174"/>
        <v>0</v>
      </c>
      <c r="H1103" s="8">
        <f t="shared" ca="1" si="175"/>
        <v>0</v>
      </c>
      <c r="I1103" s="8">
        <f t="shared" ca="1" si="176"/>
        <v>0</v>
      </c>
      <c r="J1103" s="6" t="e">
        <f ca="1">_xll.xlqxhSMA($C1103,$L$4,$J$7,$K$3)</f>
        <v>#NAME?</v>
      </c>
      <c r="K1103" s="7" t="e">
        <f ca="1">_xll.xlqhClose($C1103,K$8,$K$3)</f>
        <v>#NAME?</v>
      </c>
      <c r="L1103" s="7" t="e">
        <f ca="1">_xll.xlqhClose($C1103,L$8,$K$3)</f>
        <v>#NAME?</v>
      </c>
      <c r="N1103" s="9">
        <f t="shared" ca="1" si="177"/>
        <v>1</v>
      </c>
      <c r="O1103" s="9">
        <f t="shared" ca="1" si="178"/>
        <v>1</v>
      </c>
      <c r="P1103" s="9">
        <f t="shared" ca="1" si="179"/>
        <v>1</v>
      </c>
      <c r="Q1103" s="9">
        <f t="shared" ca="1" si="180"/>
        <v>1</v>
      </c>
      <c r="R1103" s="9">
        <f t="shared" ca="1" si="181"/>
        <v>0</v>
      </c>
    </row>
    <row r="1104" spans="2:18" x14ac:dyDescent="0.25">
      <c r="B1104" s="17" t="s">
        <v>656</v>
      </c>
      <c r="C1104" s="18" t="s">
        <v>657</v>
      </c>
      <c r="D1104" s="7" t="e">
        <f ca="1">_xll.xlqPrice(C1104)</f>
        <v>#NAME?</v>
      </c>
      <c r="E1104" s="9" t="e">
        <f t="shared" ca="1" si="172"/>
        <v>#NAME?</v>
      </c>
      <c r="F1104" s="9">
        <f t="shared" ca="1" si="173"/>
        <v>1</v>
      </c>
      <c r="G1104" s="8">
        <f t="shared" ca="1" si="174"/>
        <v>0</v>
      </c>
      <c r="H1104" s="8">
        <f t="shared" ca="1" si="175"/>
        <v>0</v>
      </c>
      <c r="I1104" s="8">
        <f t="shared" ca="1" si="176"/>
        <v>0</v>
      </c>
      <c r="J1104" s="6" t="e">
        <f ca="1">_xll.xlqxhSMA($C1104,$L$4,$J$7,$K$3)</f>
        <v>#NAME?</v>
      </c>
      <c r="K1104" s="7" t="e">
        <f ca="1">_xll.xlqhClose($C1104,K$8,$K$3)</f>
        <v>#NAME?</v>
      </c>
      <c r="L1104" s="7" t="e">
        <f ca="1">_xll.xlqhClose($C1104,L$8,$K$3)</f>
        <v>#NAME?</v>
      </c>
      <c r="N1104" s="9">
        <f t="shared" ca="1" si="177"/>
        <v>1</v>
      </c>
      <c r="O1104" s="9">
        <f t="shared" ca="1" si="178"/>
        <v>1</v>
      </c>
      <c r="P1104" s="9">
        <f t="shared" ca="1" si="179"/>
        <v>1</v>
      </c>
      <c r="Q1104" s="9">
        <f t="shared" ca="1" si="180"/>
        <v>1</v>
      </c>
      <c r="R1104" s="9">
        <f t="shared" ca="1" si="181"/>
        <v>0</v>
      </c>
    </row>
    <row r="1105" spans="2:18" x14ac:dyDescent="0.25">
      <c r="B1105" t="s">
        <v>908</v>
      </c>
      <c r="C1105" s="39" t="s">
        <v>909</v>
      </c>
      <c r="D1105" s="7" t="e">
        <f ca="1">_xll.xlqPrice(C1105)</f>
        <v>#NAME?</v>
      </c>
      <c r="E1105" s="9" t="e">
        <f t="shared" ca="1" si="172"/>
        <v>#NAME?</v>
      </c>
      <c r="F1105" s="9">
        <f t="shared" ca="1" si="173"/>
        <v>1</v>
      </c>
      <c r="G1105" s="8">
        <f t="shared" ca="1" si="174"/>
        <v>0</v>
      </c>
      <c r="H1105" s="8">
        <f t="shared" ca="1" si="175"/>
        <v>0</v>
      </c>
      <c r="I1105" s="8">
        <f t="shared" ca="1" si="176"/>
        <v>0</v>
      </c>
      <c r="J1105" s="6" t="e">
        <f ca="1">_xll.xlqxhSMA($C1105,$L$4,$J$7,$K$3)</f>
        <v>#NAME?</v>
      </c>
      <c r="K1105" s="7" t="e">
        <f ca="1">_xll.xlqhClose($C1105,K$8,$K$3)</f>
        <v>#NAME?</v>
      </c>
      <c r="L1105" s="7" t="e">
        <f ca="1">_xll.xlqhClose($C1105,L$8,$K$3)</f>
        <v>#NAME?</v>
      </c>
      <c r="N1105" s="9">
        <f t="shared" ca="1" si="177"/>
        <v>1</v>
      </c>
      <c r="O1105" s="9">
        <f t="shared" ca="1" si="178"/>
        <v>1</v>
      </c>
      <c r="P1105" s="9">
        <f t="shared" ca="1" si="179"/>
        <v>1</v>
      </c>
      <c r="Q1105" s="9">
        <f t="shared" ca="1" si="180"/>
        <v>1</v>
      </c>
      <c r="R1105" s="9">
        <f t="shared" ca="1" si="181"/>
        <v>0</v>
      </c>
    </row>
    <row r="1106" spans="2:18" x14ac:dyDescent="0.25">
      <c r="B1106" t="s">
        <v>46</v>
      </c>
      <c r="C1106" s="39" t="s">
        <v>25</v>
      </c>
      <c r="D1106" s="7" t="e">
        <f ca="1">_xll.xlqPrice(C1106)</f>
        <v>#NAME?</v>
      </c>
      <c r="E1106" s="9" t="e">
        <f t="shared" ca="1" si="172"/>
        <v>#NAME?</v>
      </c>
      <c r="F1106" s="9">
        <f t="shared" ca="1" si="173"/>
        <v>1</v>
      </c>
      <c r="G1106" s="8">
        <f t="shared" ca="1" si="174"/>
        <v>0</v>
      </c>
      <c r="H1106" s="8">
        <f t="shared" ca="1" si="175"/>
        <v>0</v>
      </c>
      <c r="I1106" s="8">
        <f t="shared" ca="1" si="176"/>
        <v>0</v>
      </c>
      <c r="J1106" s="6" t="e">
        <f ca="1">_xll.xlqxhSMA($C1106,$L$4,$J$7,$K$3)</f>
        <v>#NAME?</v>
      </c>
      <c r="K1106" s="7" t="e">
        <f ca="1">_xll.xlqhClose($C1106,K$8,$K$3)</f>
        <v>#NAME?</v>
      </c>
      <c r="L1106" s="7" t="e">
        <f ca="1">_xll.xlqhClose($C1106,L$8,$K$3)</f>
        <v>#NAME?</v>
      </c>
      <c r="N1106" s="9">
        <f t="shared" ca="1" si="177"/>
        <v>1</v>
      </c>
      <c r="O1106" s="9">
        <f t="shared" ca="1" si="178"/>
        <v>1</v>
      </c>
      <c r="P1106" s="9">
        <f t="shared" ca="1" si="179"/>
        <v>1</v>
      </c>
      <c r="Q1106" s="9">
        <f t="shared" ca="1" si="180"/>
        <v>1</v>
      </c>
      <c r="R1106" s="9">
        <f t="shared" ca="1" si="181"/>
        <v>0</v>
      </c>
    </row>
    <row r="1107" spans="2:18" x14ac:dyDescent="0.25">
      <c r="B1107" s="17" t="s">
        <v>1217</v>
      </c>
      <c r="C1107" s="18" t="s">
        <v>1218</v>
      </c>
      <c r="D1107" s="7" t="e">
        <f ca="1">_xll.xlqPrice(C1107)</f>
        <v>#NAME?</v>
      </c>
      <c r="E1107" s="9" t="e">
        <f t="shared" ca="1" si="172"/>
        <v>#NAME?</v>
      </c>
      <c r="F1107" s="9">
        <f t="shared" ca="1" si="173"/>
        <v>1</v>
      </c>
      <c r="G1107" s="8">
        <f t="shared" ca="1" si="174"/>
        <v>0</v>
      </c>
      <c r="H1107" s="8">
        <f t="shared" ca="1" si="175"/>
        <v>0</v>
      </c>
      <c r="I1107" s="8">
        <f t="shared" ca="1" si="176"/>
        <v>0</v>
      </c>
      <c r="J1107" s="6" t="e">
        <f ca="1">_xll.xlqxhSMA($C1107,$L$4,$J$7,$K$3)</f>
        <v>#NAME?</v>
      </c>
      <c r="K1107" s="7" t="e">
        <f ca="1">_xll.xlqhClose($C1107,K$8,$K$3)</f>
        <v>#NAME?</v>
      </c>
      <c r="L1107" s="7" t="e">
        <f ca="1">_xll.xlqhClose($C1107,L$8,$K$3)</f>
        <v>#NAME?</v>
      </c>
      <c r="N1107" s="9">
        <f t="shared" ca="1" si="177"/>
        <v>1</v>
      </c>
      <c r="O1107" s="9">
        <f t="shared" ca="1" si="178"/>
        <v>1</v>
      </c>
      <c r="P1107" s="9">
        <f t="shared" ca="1" si="179"/>
        <v>1</v>
      </c>
      <c r="Q1107" s="9">
        <f t="shared" ca="1" si="180"/>
        <v>1</v>
      </c>
      <c r="R1107" s="9">
        <f t="shared" ca="1" si="181"/>
        <v>0</v>
      </c>
    </row>
    <row r="1108" spans="2:18" x14ac:dyDescent="0.25">
      <c r="B1108" s="17" t="s">
        <v>738</v>
      </c>
      <c r="C1108" s="18" t="s">
        <v>739</v>
      </c>
      <c r="D1108" s="7" t="e">
        <f ca="1">_xll.xlqPrice(C1108)</f>
        <v>#NAME?</v>
      </c>
      <c r="E1108" s="9" t="e">
        <f t="shared" ca="1" si="172"/>
        <v>#NAME?</v>
      </c>
      <c r="F1108" s="9">
        <f t="shared" ca="1" si="173"/>
        <v>1</v>
      </c>
      <c r="G1108" s="8">
        <f t="shared" ca="1" si="174"/>
        <v>0</v>
      </c>
      <c r="H1108" s="8">
        <f t="shared" ca="1" si="175"/>
        <v>0</v>
      </c>
      <c r="I1108" s="8">
        <f t="shared" ca="1" si="176"/>
        <v>0</v>
      </c>
      <c r="J1108" s="6" t="e">
        <f ca="1">_xll.xlqxhSMA($C1108,$L$4,$J$7,$K$3)</f>
        <v>#NAME?</v>
      </c>
      <c r="K1108" s="7" t="e">
        <f ca="1">_xll.xlqhClose($C1108,K$8,$K$3)</f>
        <v>#NAME?</v>
      </c>
      <c r="L1108" s="7" t="e">
        <f ca="1">_xll.xlqhClose($C1108,L$8,$K$3)</f>
        <v>#NAME?</v>
      </c>
      <c r="N1108" s="9">
        <f t="shared" ca="1" si="177"/>
        <v>1</v>
      </c>
      <c r="O1108" s="9">
        <f t="shared" ca="1" si="178"/>
        <v>1</v>
      </c>
      <c r="P1108" s="9">
        <f t="shared" ca="1" si="179"/>
        <v>1</v>
      </c>
      <c r="Q1108" s="9">
        <f t="shared" ca="1" si="180"/>
        <v>1</v>
      </c>
      <c r="R1108" s="9">
        <f t="shared" ca="1" si="181"/>
        <v>0</v>
      </c>
    </row>
    <row r="1109" spans="2:18" x14ac:dyDescent="0.25">
      <c r="B1109" s="17" t="s">
        <v>2341</v>
      </c>
      <c r="C1109" s="18" t="s">
        <v>2342</v>
      </c>
      <c r="D1109" s="7" t="e">
        <f ca="1">_xll.xlqPrice(C1109)</f>
        <v>#NAME?</v>
      </c>
      <c r="E1109" s="9" t="e">
        <f t="shared" ca="1" si="172"/>
        <v>#NAME?</v>
      </c>
      <c r="F1109" s="9">
        <f t="shared" ca="1" si="173"/>
        <v>1</v>
      </c>
      <c r="G1109" s="8">
        <f t="shared" ca="1" si="174"/>
        <v>0</v>
      </c>
      <c r="H1109" s="8">
        <f t="shared" ca="1" si="175"/>
        <v>0</v>
      </c>
      <c r="I1109" s="8">
        <f t="shared" ca="1" si="176"/>
        <v>0</v>
      </c>
      <c r="J1109" s="6" t="e">
        <f ca="1">_xll.xlqxhSMA($C1109,$L$4,$J$7,$K$3)</f>
        <v>#NAME?</v>
      </c>
      <c r="K1109" s="7" t="e">
        <f ca="1">_xll.xlqhClose($C1109,K$8,$K$3)</f>
        <v>#NAME?</v>
      </c>
      <c r="L1109" s="7" t="e">
        <f ca="1">_xll.xlqhClose($C1109,L$8,$K$3)</f>
        <v>#NAME?</v>
      </c>
      <c r="N1109" s="9">
        <f t="shared" ca="1" si="177"/>
        <v>1</v>
      </c>
      <c r="O1109" s="9">
        <f t="shared" ca="1" si="178"/>
        <v>1</v>
      </c>
      <c r="P1109" s="9">
        <f t="shared" ca="1" si="179"/>
        <v>1</v>
      </c>
      <c r="Q1109" s="9">
        <f t="shared" ca="1" si="180"/>
        <v>1</v>
      </c>
      <c r="R1109" s="9">
        <f t="shared" ca="1" si="181"/>
        <v>0</v>
      </c>
    </row>
    <row r="1110" spans="2:18" x14ac:dyDescent="0.25">
      <c r="B1110" s="17" t="s">
        <v>754</v>
      </c>
      <c r="C1110" s="18" t="s">
        <v>755</v>
      </c>
      <c r="D1110" s="7" t="e">
        <f ca="1">_xll.xlqPrice(C1110)</f>
        <v>#NAME?</v>
      </c>
      <c r="E1110" s="9" t="e">
        <f t="shared" ca="1" si="172"/>
        <v>#NAME?</v>
      </c>
      <c r="F1110" s="9">
        <f t="shared" ca="1" si="173"/>
        <v>1</v>
      </c>
      <c r="G1110" s="8">
        <f t="shared" ca="1" si="174"/>
        <v>0</v>
      </c>
      <c r="H1110" s="8">
        <f t="shared" ca="1" si="175"/>
        <v>0</v>
      </c>
      <c r="I1110" s="8">
        <f t="shared" ca="1" si="176"/>
        <v>0</v>
      </c>
      <c r="J1110" s="6" t="e">
        <f ca="1">_xll.xlqxhSMA($C1110,$L$4,$J$7,$K$3)</f>
        <v>#NAME?</v>
      </c>
      <c r="K1110" s="7" t="e">
        <f ca="1">_xll.xlqhClose($C1110,K$8,$K$3)</f>
        <v>#NAME?</v>
      </c>
      <c r="L1110" s="7" t="e">
        <f ca="1">_xll.xlqhClose($C1110,L$8,$K$3)</f>
        <v>#NAME?</v>
      </c>
      <c r="N1110" s="9">
        <f t="shared" ca="1" si="177"/>
        <v>1</v>
      </c>
      <c r="O1110" s="9">
        <f t="shared" ca="1" si="178"/>
        <v>1</v>
      </c>
      <c r="P1110" s="9">
        <f t="shared" ca="1" si="179"/>
        <v>1</v>
      </c>
      <c r="Q1110" s="9">
        <f t="shared" ca="1" si="180"/>
        <v>1</v>
      </c>
      <c r="R1110" s="9">
        <f t="shared" ca="1" si="181"/>
        <v>0</v>
      </c>
    </row>
    <row r="1111" spans="2:18" x14ac:dyDescent="0.25">
      <c r="B1111" s="17" t="s">
        <v>658</v>
      </c>
      <c r="C1111" s="18" t="s">
        <v>659</v>
      </c>
      <c r="D1111" s="7" t="e">
        <f ca="1">_xll.xlqPrice(C1111)</f>
        <v>#NAME?</v>
      </c>
      <c r="E1111" s="9" t="e">
        <f t="shared" ca="1" si="172"/>
        <v>#NAME?</v>
      </c>
      <c r="F1111" s="9">
        <f t="shared" ca="1" si="173"/>
        <v>1</v>
      </c>
      <c r="G1111" s="8">
        <f t="shared" ca="1" si="174"/>
        <v>0</v>
      </c>
      <c r="H1111" s="8">
        <f t="shared" ca="1" si="175"/>
        <v>0</v>
      </c>
      <c r="I1111" s="8">
        <f t="shared" ca="1" si="176"/>
        <v>0</v>
      </c>
      <c r="J1111" s="6" t="e">
        <f ca="1">_xll.xlqxhSMA($C1111,$L$4,$J$7,$K$3)</f>
        <v>#NAME?</v>
      </c>
      <c r="K1111" s="7" t="e">
        <f ca="1">_xll.xlqhClose($C1111,K$8,$K$3)</f>
        <v>#NAME?</v>
      </c>
      <c r="L1111" s="7" t="e">
        <f ca="1">_xll.xlqhClose($C1111,L$8,$K$3)</f>
        <v>#NAME?</v>
      </c>
      <c r="N1111" s="9">
        <f t="shared" ca="1" si="177"/>
        <v>1</v>
      </c>
      <c r="O1111" s="9">
        <f t="shared" ca="1" si="178"/>
        <v>1</v>
      </c>
      <c r="P1111" s="9">
        <f t="shared" ca="1" si="179"/>
        <v>1</v>
      </c>
      <c r="Q1111" s="9">
        <f t="shared" ca="1" si="180"/>
        <v>1</v>
      </c>
      <c r="R1111" s="9">
        <f t="shared" ca="1" si="181"/>
        <v>0</v>
      </c>
    </row>
    <row r="1112" spans="2:18" x14ac:dyDescent="0.25">
      <c r="B1112" s="17" t="s">
        <v>2095</v>
      </c>
      <c r="C1112" s="18" t="s">
        <v>2096</v>
      </c>
      <c r="D1112" s="7" t="e">
        <f ca="1">_xll.xlqPrice(C1112)</f>
        <v>#NAME?</v>
      </c>
      <c r="E1112" s="9" t="e">
        <f t="shared" ca="1" si="172"/>
        <v>#NAME?</v>
      </c>
      <c r="F1112" s="9">
        <f t="shared" ca="1" si="173"/>
        <v>1</v>
      </c>
      <c r="G1112" s="8">
        <f t="shared" ca="1" si="174"/>
        <v>0</v>
      </c>
      <c r="H1112" s="8">
        <f t="shared" ca="1" si="175"/>
        <v>0</v>
      </c>
      <c r="I1112" s="8">
        <f t="shared" ca="1" si="176"/>
        <v>0</v>
      </c>
      <c r="J1112" s="6" t="e">
        <f ca="1">_xll.xlqxhSMA($C1112,$L$4,$J$7,$K$3)</f>
        <v>#NAME?</v>
      </c>
      <c r="K1112" s="7" t="e">
        <f ca="1">_xll.xlqhClose($C1112,K$8,$K$3)</f>
        <v>#NAME?</v>
      </c>
      <c r="L1112" s="7" t="e">
        <f ca="1">_xll.xlqhClose($C1112,L$8,$K$3)</f>
        <v>#NAME?</v>
      </c>
      <c r="N1112" s="9">
        <f t="shared" ca="1" si="177"/>
        <v>1</v>
      </c>
      <c r="O1112" s="9">
        <f t="shared" ca="1" si="178"/>
        <v>1</v>
      </c>
      <c r="P1112" s="9">
        <f t="shared" ca="1" si="179"/>
        <v>1</v>
      </c>
      <c r="Q1112" s="9">
        <f t="shared" ca="1" si="180"/>
        <v>1</v>
      </c>
      <c r="R1112" s="9">
        <f t="shared" ca="1" si="181"/>
        <v>0</v>
      </c>
    </row>
    <row r="1113" spans="2:18" x14ac:dyDescent="0.25">
      <c r="B1113" s="17" t="s">
        <v>568</v>
      </c>
      <c r="C1113" s="18" t="s">
        <v>569</v>
      </c>
      <c r="D1113" s="7" t="e">
        <f ca="1">_xll.xlqPrice(C1113)</f>
        <v>#NAME?</v>
      </c>
      <c r="E1113" s="9" t="e">
        <f t="shared" ca="1" si="172"/>
        <v>#NAME?</v>
      </c>
      <c r="F1113" s="9">
        <f t="shared" ca="1" si="173"/>
        <v>1</v>
      </c>
      <c r="G1113" s="8">
        <f t="shared" ca="1" si="174"/>
        <v>0</v>
      </c>
      <c r="H1113" s="8">
        <f t="shared" ca="1" si="175"/>
        <v>0</v>
      </c>
      <c r="I1113" s="8">
        <f t="shared" ca="1" si="176"/>
        <v>0</v>
      </c>
      <c r="J1113" s="6" t="e">
        <f ca="1">_xll.xlqxhSMA($C1113,$L$4,$J$7,$K$3)</f>
        <v>#NAME?</v>
      </c>
      <c r="K1113" s="7" t="e">
        <f ca="1">_xll.xlqhClose($C1113,K$8,$K$3)</f>
        <v>#NAME?</v>
      </c>
      <c r="L1113" s="7" t="e">
        <f ca="1">_xll.xlqhClose($C1113,L$8,$K$3)</f>
        <v>#NAME?</v>
      </c>
      <c r="N1113" s="9">
        <f t="shared" ca="1" si="177"/>
        <v>1</v>
      </c>
      <c r="O1113" s="9">
        <f t="shared" ca="1" si="178"/>
        <v>1</v>
      </c>
      <c r="P1113" s="9">
        <f t="shared" ca="1" si="179"/>
        <v>1</v>
      </c>
      <c r="Q1113" s="9">
        <f t="shared" ca="1" si="180"/>
        <v>1</v>
      </c>
      <c r="R1113" s="9">
        <f t="shared" ca="1" si="181"/>
        <v>0</v>
      </c>
    </row>
    <row r="1114" spans="2:18" x14ac:dyDescent="0.25">
      <c r="B1114" s="17" t="s">
        <v>1051</v>
      </c>
      <c r="C1114" s="18" t="s">
        <v>1052</v>
      </c>
      <c r="D1114" s="7" t="e">
        <f ca="1">_xll.xlqPrice(C1114)</f>
        <v>#NAME?</v>
      </c>
      <c r="E1114" s="9" t="e">
        <f t="shared" ca="1" si="172"/>
        <v>#NAME?</v>
      </c>
      <c r="F1114" s="9">
        <f t="shared" ca="1" si="173"/>
        <v>1</v>
      </c>
      <c r="G1114" s="8">
        <f t="shared" ca="1" si="174"/>
        <v>0</v>
      </c>
      <c r="H1114" s="8">
        <f t="shared" ca="1" si="175"/>
        <v>0</v>
      </c>
      <c r="I1114" s="8">
        <f t="shared" ca="1" si="176"/>
        <v>0</v>
      </c>
      <c r="J1114" s="6" t="e">
        <f ca="1">_xll.xlqxhSMA($C1114,$L$4,$J$7,$K$3)</f>
        <v>#NAME?</v>
      </c>
      <c r="K1114" s="7" t="e">
        <f ca="1">_xll.xlqhClose($C1114,K$8,$K$3)</f>
        <v>#NAME?</v>
      </c>
      <c r="L1114" s="7" t="e">
        <f ca="1">_xll.xlqhClose($C1114,L$8,$K$3)</f>
        <v>#NAME?</v>
      </c>
      <c r="N1114" s="9">
        <f t="shared" ca="1" si="177"/>
        <v>1</v>
      </c>
      <c r="O1114" s="9">
        <f t="shared" ca="1" si="178"/>
        <v>1</v>
      </c>
      <c r="P1114" s="9">
        <f t="shared" ca="1" si="179"/>
        <v>1</v>
      </c>
      <c r="Q1114" s="9">
        <f t="shared" ca="1" si="180"/>
        <v>1</v>
      </c>
      <c r="R1114" s="9">
        <f t="shared" ca="1" si="181"/>
        <v>0</v>
      </c>
    </row>
    <row r="1115" spans="2:18" x14ac:dyDescent="0.25">
      <c r="B1115" s="17" t="s">
        <v>1295</v>
      </c>
      <c r="C1115" s="18" t="s">
        <v>1296</v>
      </c>
      <c r="D1115" s="7" t="e">
        <f ca="1">_xll.xlqPrice(C1115)</f>
        <v>#NAME?</v>
      </c>
      <c r="E1115" s="9" t="e">
        <f t="shared" ca="1" si="172"/>
        <v>#NAME?</v>
      </c>
      <c r="F1115" s="9">
        <f t="shared" ca="1" si="173"/>
        <v>1</v>
      </c>
      <c r="G1115" s="8">
        <f t="shared" ca="1" si="174"/>
        <v>0</v>
      </c>
      <c r="H1115" s="8">
        <f t="shared" ca="1" si="175"/>
        <v>0</v>
      </c>
      <c r="I1115" s="8">
        <f t="shared" ca="1" si="176"/>
        <v>0</v>
      </c>
      <c r="J1115" s="6" t="e">
        <f ca="1">_xll.xlqxhSMA($C1115,$L$4,$J$7,$K$3)</f>
        <v>#NAME?</v>
      </c>
      <c r="K1115" s="7" t="e">
        <f ca="1">_xll.xlqhClose($C1115,K$8,$K$3)</f>
        <v>#NAME?</v>
      </c>
      <c r="L1115" s="7" t="e">
        <f ca="1">_xll.xlqhClose($C1115,L$8,$K$3)</f>
        <v>#NAME?</v>
      </c>
      <c r="N1115" s="9">
        <f t="shared" ca="1" si="177"/>
        <v>1</v>
      </c>
      <c r="O1115" s="9">
        <f t="shared" ca="1" si="178"/>
        <v>1</v>
      </c>
      <c r="P1115" s="9">
        <f t="shared" ca="1" si="179"/>
        <v>1</v>
      </c>
      <c r="Q1115" s="9">
        <f t="shared" ca="1" si="180"/>
        <v>1</v>
      </c>
      <c r="R1115" s="9">
        <f t="shared" ca="1" si="181"/>
        <v>0</v>
      </c>
    </row>
    <row r="1116" spans="2:18" x14ac:dyDescent="0.25">
      <c r="B1116" s="17" t="s">
        <v>1103</v>
      </c>
      <c r="C1116" s="18" t="s">
        <v>1104</v>
      </c>
      <c r="D1116" s="7" t="e">
        <f ca="1">_xll.xlqPrice(C1116)</f>
        <v>#NAME?</v>
      </c>
      <c r="E1116" s="9" t="e">
        <f t="shared" ca="1" si="172"/>
        <v>#NAME?</v>
      </c>
      <c r="F1116" s="9">
        <f t="shared" ca="1" si="173"/>
        <v>1</v>
      </c>
      <c r="G1116" s="8">
        <f t="shared" ca="1" si="174"/>
        <v>0</v>
      </c>
      <c r="H1116" s="8">
        <f t="shared" ca="1" si="175"/>
        <v>0</v>
      </c>
      <c r="I1116" s="8">
        <f t="shared" ca="1" si="176"/>
        <v>0</v>
      </c>
      <c r="J1116" s="6" t="e">
        <f ca="1">_xll.xlqxhSMA($C1116,$L$4,$J$7,$K$3)</f>
        <v>#NAME?</v>
      </c>
      <c r="K1116" s="7" t="e">
        <f ca="1">_xll.xlqhClose($C1116,K$8,$K$3)</f>
        <v>#NAME?</v>
      </c>
      <c r="L1116" s="7" t="e">
        <f ca="1">_xll.xlqhClose($C1116,L$8,$K$3)</f>
        <v>#NAME?</v>
      </c>
      <c r="N1116" s="9">
        <f t="shared" ca="1" si="177"/>
        <v>1</v>
      </c>
      <c r="O1116" s="9">
        <f t="shared" ca="1" si="178"/>
        <v>1</v>
      </c>
      <c r="P1116" s="9">
        <f t="shared" ca="1" si="179"/>
        <v>1</v>
      </c>
      <c r="Q1116" s="9">
        <f t="shared" ca="1" si="180"/>
        <v>1</v>
      </c>
      <c r="R1116" s="9">
        <f t="shared" ca="1" si="181"/>
        <v>0</v>
      </c>
    </row>
    <row r="1117" spans="2:18" x14ac:dyDescent="0.25">
      <c r="B1117" t="s">
        <v>258</v>
      </c>
      <c r="C1117" s="39" t="s">
        <v>259</v>
      </c>
      <c r="D1117" s="7" t="e">
        <f ca="1">_xll.xlqPrice(C1117)</f>
        <v>#NAME?</v>
      </c>
      <c r="E1117" s="9" t="e">
        <f t="shared" ca="1" si="172"/>
        <v>#NAME?</v>
      </c>
      <c r="F1117" s="9">
        <f t="shared" ca="1" si="173"/>
        <v>1</v>
      </c>
      <c r="G1117" s="8">
        <f t="shared" ca="1" si="174"/>
        <v>0</v>
      </c>
      <c r="H1117" s="8">
        <f t="shared" ca="1" si="175"/>
        <v>0</v>
      </c>
      <c r="I1117" s="8">
        <f t="shared" ca="1" si="176"/>
        <v>0</v>
      </c>
      <c r="J1117" s="6" t="e">
        <f ca="1">_xll.xlqxhSMA($C1117,$L$4,$J$7,$K$3)</f>
        <v>#NAME?</v>
      </c>
      <c r="K1117" s="7" t="e">
        <f ca="1">_xll.xlqhClose($C1117,K$8,$K$3)</f>
        <v>#NAME?</v>
      </c>
      <c r="L1117" s="7" t="e">
        <f ca="1">_xll.xlqhClose($C1117,L$8,$K$3)</f>
        <v>#NAME?</v>
      </c>
      <c r="N1117" s="9">
        <f t="shared" ca="1" si="177"/>
        <v>1</v>
      </c>
      <c r="O1117" s="9">
        <f t="shared" ca="1" si="178"/>
        <v>1</v>
      </c>
      <c r="P1117" s="9">
        <f t="shared" ca="1" si="179"/>
        <v>1</v>
      </c>
      <c r="Q1117" s="9">
        <f t="shared" ca="1" si="180"/>
        <v>1</v>
      </c>
      <c r="R1117" s="9">
        <f t="shared" ca="1" si="181"/>
        <v>0</v>
      </c>
    </row>
    <row r="1118" spans="2:18" x14ac:dyDescent="0.25">
      <c r="B1118" t="s">
        <v>943</v>
      </c>
      <c r="C1118" s="39" t="s">
        <v>944</v>
      </c>
      <c r="D1118" s="7" t="e">
        <f ca="1">_xll.xlqPrice(C1118)</f>
        <v>#NAME?</v>
      </c>
      <c r="E1118" s="9" t="e">
        <f t="shared" ca="1" si="172"/>
        <v>#NAME?</v>
      </c>
      <c r="F1118" s="9">
        <f t="shared" ca="1" si="173"/>
        <v>1</v>
      </c>
      <c r="G1118" s="8">
        <f t="shared" ca="1" si="174"/>
        <v>0</v>
      </c>
      <c r="H1118" s="8">
        <f t="shared" ca="1" si="175"/>
        <v>0</v>
      </c>
      <c r="I1118" s="8">
        <f t="shared" ca="1" si="176"/>
        <v>0</v>
      </c>
      <c r="J1118" s="6" t="e">
        <f ca="1">_xll.xlqxhSMA($C1118,$L$4,$J$7,$K$3)</f>
        <v>#NAME?</v>
      </c>
      <c r="K1118" s="7" t="e">
        <f ca="1">_xll.xlqhClose($C1118,K$8,$K$3)</f>
        <v>#NAME?</v>
      </c>
      <c r="L1118" s="7" t="e">
        <f ca="1">_xll.xlqhClose($C1118,L$8,$K$3)</f>
        <v>#NAME?</v>
      </c>
      <c r="N1118" s="9">
        <f t="shared" ca="1" si="177"/>
        <v>1</v>
      </c>
      <c r="O1118" s="9">
        <f t="shared" ca="1" si="178"/>
        <v>1</v>
      </c>
      <c r="P1118" s="9">
        <f t="shared" ca="1" si="179"/>
        <v>1</v>
      </c>
      <c r="Q1118" s="9">
        <f t="shared" ca="1" si="180"/>
        <v>1</v>
      </c>
      <c r="R1118" s="9">
        <f t="shared" ca="1" si="181"/>
        <v>0</v>
      </c>
    </row>
    <row r="1119" spans="2:18" x14ac:dyDescent="0.25">
      <c r="B1119" s="17" t="s">
        <v>2121</v>
      </c>
      <c r="C1119" s="18" t="s">
        <v>2122</v>
      </c>
      <c r="D1119" s="7" t="e">
        <f ca="1">_xll.xlqPrice(C1119)</f>
        <v>#NAME?</v>
      </c>
      <c r="E1119" s="9" t="e">
        <f t="shared" ca="1" si="172"/>
        <v>#NAME?</v>
      </c>
      <c r="F1119" s="9">
        <f t="shared" ca="1" si="173"/>
        <v>1</v>
      </c>
      <c r="G1119" s="8">
        <f t="shared" ca="1" si="174"/>
        <v>0</v>
      </c>
      <c r="H1119" s="8">
        <f t="shared" ca="1" si="175"/>
        <v>0</v>
      </c>
      <c r="I1119" s="8">
        <f t="shared" ca="1" si="176"/>
        <v>0</v>
      </c>
      <c r="J1119" s="6" t="e">
        <f ca="1">_xll.xlqxhSMA($C1119,$L$4,$J$7,$K$3)</f>
        <v>#NAME?</v>
      </c>
      <c r="K1119" s="7" t="e">
        <f ca="1">_xll.xlqhClose($C1119,K$8,$K$3)</f>
        <v>#NAME?</v>
      </c>
      <c r="L1119" s="7" t="e">
        <f ca="1">_xll.xlqhClose($C1119,L$8,$K$3)</f>
        <v>#NAME?</v>
      </c>
      <c r="N1119" s="9">
        <f t="shared" ca="1" si="177"/>
        <v>1</v>
      </c>
      <c r="O1119" s="9">
        <f t="shared" ca="1" si="178"/>
        <v>1</v>
      </c>
      <c r="P1119" s="9">
        <f t="shared" ca="1" si="179"/>
        <v>1</v>
      </c>
      <c r="Q1119" s="9">
        <f t="shared" ca="1" si="180"/>
        <v>1</v>
      </c>
      <c r="R1119" s="9">
        <f t="shared" ca="1" si="181"/>
        <v>0</v>
      </c>
    </row>
    <row r="1120" spans="2:18" x14ac:dyDescent="0.25">
      <c r="B1120" s="17" t="s">
        <v>652</v>
      </c>
      <c r="C1120" s="18" t="s">
        <v>653</v>
      </c>
      <c r="D1120" s="7" t="e">
        <f ca="1">_xll.xlqPrice(C1120)</f>
        <v>#NAME?</v>
      </c>
      <c r="E1120" s="9" t="e">
        <f t="shared" ca="1" si="172"/>
        <v>#NAME?</v>
      </c>
      <c r="F1120" s="9">
        <f t="shared" ca="1" si="173"/>
        <v>1</v>
      </c>
      <c r="G1120" s="8">
        <f t="shared" ca="1" si="174"/>
        <v>0</v>
      </c>
      <c r="H1120" s="8">
        <f t="shared" ca="1" si="175"/>
        <v>0</v>
      </c>
      <c r="I1120" s="8">
        <f t="shared" ca="1" si="176"/>
        <v>0</v>
      </c>
      <c r="J1120" s="6" t="e">
        <f ca="1">_xll.xlqxhSMA($C1120,$L$4,$J$7,$K$3)</f>
        <v>#NAME?</v>
      </c>
      <c r="K1120" s="7" t="e">
        <f ca="1">_xll.xlqhClose($C1120,K$8,$K$3)</f>
        <v>#NAME?</v>
      </c>
      <c r="L1120" s="7" t="e">
        <f ca="1">_xll.xlqhClose($C1120,L$8,$K$3)</f>
        <v>#NAME?</v>
      </c>
      <c r="N1120" s="9">
        <f t="shared" ca="1" si="177"/>
        <v>1</v>
      </c>
      <c r="O1120" s="9">
        <f t="shared" ca="1" si="178"/>
        <v>1</v>
      </c>
      <c r="P1120" s="9">
        <f t="shared" ca="1" si="179"/>
        <v>1</v>
      </c>
      <c r="Q1120" s="9">
        <f t="shared" ca="1" si="180"/>
        <v>1</v>
      </c>
      <c r="R1120" s="9">
        <f t="shared" ca="1" si="181"/>
        <v>0</v>
      </c>
    </row>
    <row r="1121" spans="2:18" x14ac:dyDescent="0.25">
      <c r="B1121" s="17" t="s">
        <v>53</v>
      </c>
      <c r="C1121" s="18" t="s">
        <v>54</v>
      </c>
      <c r="D1121" s="7" t="e">
        <f ca="1">_xll.xlqPrice(C1121)</f>
        <v>#NAME?</v>
      </c>
      <c r="E1121" s="9" t="e">
        <f t="shared" ca="1" si="172"/>
        <v>#NAME?</v>
      </c>
      <c r="F1121" s="9">
        <f t="shared" ca="1" si="173"/>
        <v>1</v>
      </c>
      <c r="G1121" s="8">
        <f t="shared" ca="1" si="174"/>
        <v>0</v>
      </c>
      <c r="H1121" s="8">
        <f t="shared" ca="1" si="175"/>
        <v>0</v>
      </c>
      <c r="I1121" s="8">
        <f t="shared" ca="1" si="176"/>
        <v>0</v>
      </c>
      <c r="J1121" s="6" t="e">
        <f ca="1">_xll.xlqxhSMA($C1121,$L$4,$J$7,$K$3)</f>
        <v>#NAME?</v>
      </c>
      <c r="K1121" s="7" t="e">
        <f ca="1">_xll.xlqhClose($C1121,K$8,$K$3)</f>
        <v>#NAME?</v>
      </c>
      <c r="L1121" s="7" t="e">
        <f ca="1">_xll.xlqhClose($C1121,L$8,$K$3)</f>
        <v>#NAME?</v>
      </c>
      <c r="N1121" s="9">
        <f t="shared" ca="1" si="177"/>
        <v>1</v>
      </c>
      <c r="O1121" s="9">
        <f t="shared" ca="1" si="178"/>
        <v>1</v>
      </c>
      <c r="P1121" s="9">
        <f t="shared" ca="1" si="179"/>
        <v>1</v>
      </c>
      <c r="Q1121" s="9">
        <f t="shared" ca="1" si="180"/>
        <v>1</v>
      </c>
      <c r="R1121" s="9">
        <f t="shared" ca="1" si="181"/>
        <v>0</v>
      </c>
    </row>
    <row r="1122" spans="2:18" x14ac:dyDescent="0.25">
      <c r="B1122" s="17" t="s">
        <v>1031</v>
      </c>
      <c r="C1122" s="18" t="s">
        <v>1032</v>
      </c>
      <c r="D1122" s="7" t="e">
        <f ca="1">_xll.xlqPrice(C1122)</f>
        <v>#NAME?</v>
      </c>
      <c r="E1122" s="9" t="e">
        <f t="shared" ca="1" si="172"/>
        <v>#NAME?</v>
      </c>
      <c r="F1122" s="9">
        <f t="shared" ca="1" si="173"/>
        <v>1</v>
      </c>
      <c r="G1122" s="8">
        <f t="shared" ca="1" si="174"/>
        <v>0</v>
      </c>
      <c r="H1122" s="8">
        <f t="shared" ca="1" si="175"/>
        <v>0</v>
      </c>
      <c r="I1122" s="8">
        <f t="shared" ca="1" si="176"/>
        <v>0</v>
      </c>
      <c r="J1122" s="6" t="e">
        <f ca="1">_xll.xlqxhSMA($C1122,$L$4,$J$7,$K$3)</f>
        <v>#NAME?</v>
      </c>
      <c r="K1122" s="7" t="e">
        <f ca="1">_xll.xlqhClose($C1122,K$8,$K$3)</f>
        <v>#NAME?</v>
      </c>
      <c r="L1122" s="7" t="e">
        <f ca="1">_xll.xlqhClose($C1122,L$8,$K$3)</f>
        <v>#NAME?</v>
      </c>
      <c r="N1122" s="9">
        <f t="shared" ca="1" si="177"/>
        <v>1</v>
      </c>
      <c r="O1122" s="9">
        <f t="shared" ca="1" si="178"/>
        <v>1</v>
      </c>
      <c r="P1122" s="9">
        <f t="shared" ca="1" si="179"/>
        <v>1</v>
      </c>
      <c r="Q1122" s="9">
        <f t="shared" ca="1" si="180"/>
        <v>1</v>
      </c>
      <c r="R1122" s="9">
        <f t="shared" ca="1" si="181"/>
        <v>0</v>
      </c>
    </row>
    <row r="1123" spans="2:18" x14ac:dyDescent="0.25">
      <c r="B1123" s="17" t="s">
        <v>732</v>
      </c>
      <c r="C1123" s="18" t="s">
        <v>733</v>
      </c>
      <c r="D1123" s="7" t="e">
        <f ca="1">_xll.xlqPrice(C1123)</f>
        <v>#NAME?</v>
      </c>
      <c r="E1123" s="9" t="e">
        <f t="shared" ca="1" si="172"/>
        <v>#NAME?</v>
      </c>
      <c r="F1123" s="9">
        <f t="shared" ca="1" si="173"/>
        <v>1</v>
      </c>
      <c r="G1123" s="8">
        <f t="shared" ca="1" si="174"/>
        <v>0</v>
      </c>
      <c r="H1123" s="8">
        <f t="shared" ca="1" si="175"/>
        <v>0</v>
      </c>
      <c r="I1123" s="8">
        <f t="shared" ca="1" si="176"/>
        <v>0</v>
      </c>
      <c r="J1123" s="6" t="e">
        <f ca="1">_xll.xlqxhSMA($C1123,$L$4,$J$7,$K$3)</f>
        <v>#NAME?</v>
      </c>
      <c r="K1123" s="7" t="e">
        <f ca="1">_xll.xlqhClose($C1123,K$8,$K$3)</f>
        <v>#NAME?</v>
      </c>
      <c r="L1123" s="7" t="e">
        <f ca="1">_xll.xlqhClose($C1123,L$8,$K$3)</f>
        <v>#NAME?</v>
      </c>
      <c r="N1123" s="9">
        <f t="shared" ca="1" si="177"/>
        <v>1</v>
      </c>
      <c r="O1123" s="9">
        <f t="shared" ca="1" si="178"/>
        <v>1</v>
      </c>
      <c r="P1123" s="9">
        <f t="shared" ca="1" si="179"/>
        <v>1</v>
      </c>
      <c r="Q1123" s="9">
        <f t="shared" ca="1" si="180"/>
        <v>1</v>
      </c>
      <c r="R1123" s="9">
        <f t="shared" ca="1" si="181"/>
        <v>0</v>
      </c>
    </row>
    <row r="1124" spans="2:18" x14ac:dyDescent="0.25">
      <c r="B1124" s="17" t="s">
        <v>1703</v>
      </c>
      <c r="C1124" s="18" t="s">
        <v>1704</v>
      </c>
      <c r="D1124" s="7" t="e">
        <f ca="1">_xll.xlqPrice(C1124)</f>
        <v>#NAME?</v>
      </c>
      <c r="E1124" s="9" t="e">
        <f t="shared" ca="1" si="172"/>
        <v>#NAME?</v>
      </c>
      <c r="F1124" s="9">
        <f t="shared" ca="1" si="173"/>
        <v>1</v>
      </c>
      <c r="G1124" s="8">
        <f t="shared" ca="1" si="174"/>
        <v>0</v>
      </c>
      <c r="H1124" s="8">
        <f t="shared" ca="1" si="175"/>
        <v>0</v>
      </c>
      <c r="I1124" s="8">
        <f t="shared" ca="1" si="176"/>
        <v>0</v>
      </c>
      <c r="J1124" s="6" t="e">
        <f ca="1">_xll.xlqxhSMA($C1124,$L$4,$J$7,$K$3)</f>
        <v>#NAME?</v>
      </c>
      <c r="K1124" s="7" t="e">
        <f ca="1">_xll.xlqhClose($C1124,K$8,$K$3)</f>
        <v>#NAME?</v>
      </c>
      <c r="L1124" s="7" t="e">
        <f ca="1">_xll.xlqhClose($C1124,L$8,$K$3)</f>
        <v>#NAME?</v>
      </c>
      <c r="N1124" s="9">
        <f t="shared" ca="1" si="177"/>
        <v>1</v>
      </c>
      <c r="O1124" s="9">
        <f t="shared" ca="1" si="178"/>
        <v>1</v>
      </c>
      <c r="P1124" s="9">
        <f t="shared" ca="1" si="179"/>
        <v>1</v>
      </c>
      <c r="Q1124" s="9">
        <f t="shared" ca="1" si="180"/>
        <v>1</v>
      </c>
      <c r="R1124" s="9">
        <f t="shared" ca="1" si="181"/>
        <v>0</v>
      </c>
    </row>
    <row r="1125" spans="2:18" x14ac:dyDescent="0.25">
      <c r="B1125" s="17" t="s">
        <v>654</v>
      </c>
      <c r="C1125" s="18" t="s">
        <v>655</v>
      </c>
      <c r="D1125" s="7" t="e">
        <f ca="1">_xll.xlqPrice(C1125)</f>
        <v>#NAME?</v>
      </c>
      <c r="E1125" s="9" t="e">
        <f t="shared" ca="1" si="172"/>
        <v>#NAME?</v>
      </c>
      <c r="F1125" s="9">
        <f t="shared" ca="1" si="173"/>
        <v>1</v>
      </c>
      <c r="G1125" s="8">
        <f t="shared" ca="1" si="174"/>
        <v>0</v>
      </c>
      <c r="H1125" s="8">
        <f t="shared" ca="1" si="175"/>
        <v>0</v>
      </c>
      <c r="I1125" s="8">
        <f t="shared" ca="1" si="176"/>
        <v>0</v>
      </c>
      <c r="J1125" s="6" t="e">
        <f ca="1">_xll.xlqxhSMA($C1125,$L$4,$J$7,$K$3)</f>
        <v>#NAME?</v>
      </c>
      <c r="K1125" s="7" t="e">
        <f ca="1">_xll.xlqhClose($C1125,K$8,$K$3)</f>
        <v>#NAME?</v>
      </c>
      <c r="L1125" s="7" t="e">
        <f ca="1">_xll.xlqhClose($C1125,L$8,$K$3)</f>
        <v>#NAME?</v>
      </c>
      <c r="N1125" s="9">
        <f t="shared" ca="1" si="177"/>
        <v>1</v>
      </c>
      <c r="O1125" s="9">
        <f t="shared" ca="1" si="178"/>
        <v>1</v>
      </c>
      <c r="P1125" s="9">
        <f t="shared" ca="1" si="179"/>
        <v>1</v>
      </c>
      <c r="Q1125" s="9">
        <f t="shared" ca="1" si="180"/>
        <v>1</v>
      </c>
      <c r="R1125" s="9">
        <f t="shared" ca="1" si="181"/>
        <v>0</v>
      </c>
    </row>
    <row r="1126" spans="2:18" x14ac:dyDescent="0.25">
      <c r="B1126" s="17" t="s">
        <v>804</v>
      </c>
      <c r="C1126" s="18" t="s">
        <v>805</v>
      </c>
      <c r="D1126" s="7" t="e">
        <f ca="1">_xll.xlqPrice(C1126)</f>
        <v>#NAME?</v>
      </c>
      <c r="E1126" s="9" t="e">
        <f t="shared" ca="1" si="172"/>
        <v>#NAME?</v>
      </c>
      <c r="F1126" s="9">
        <f t="shared" ca="1" si="173"/>
        <v>1</v>
      </c>
      <c r="G1126" s="8">
        <f t="shared" ca="1" si="174"/>
        <v>0</v>
      </c>
      <c r="H1126" s="8">
        <f t="shared" ca="1" si="175"/>
        <v>0</v>
      </c>
      <c r="I1126" s="8">
        <f t="shared" ca="1" si="176"/>
        <v>0</v>
      </c>
      <c r="J1126" s="6" t="e">
        <f ca="1">_xll.xlqxhSMA($C1126,$L$4,$J$7,$K$3)</f>
        <v>#NAME?</v>
      </c>
      <c r="K1126" s="7" t="e">
        <f ca="1">_xll.xlqhClose($C1126,K$8,$K$3)</f>
        <v>#NAME?</v>
      </c>
      <c r="L1126" s="7" t="e">
        <f ca="1">_xll.xlqhClose($C1126,L$8,$K$3)</f>
        <v>#NAME?</v>
      </c>
      <c r="N1126" s="9">
        <f t="shared" ca="1" si="177"/>
        <v>1</v>
      </c>
      <c r="O1126" s="9">
        <f t="shared" ca="1" si="178"/>
        <v>1</v>
      </c>
      <c r="P1126" s="9">
        <f t="shared" ca="1" si="179"/>
        <v>1</v>
      </c>
      <c r="Q1126" s="9">
        <f t="shared" ca="1" si="180"/>
        <v>1</v>
      </c>
      <c r="R1126" s="9">
        <f t="shared" ca="1" si="181"/>
        <v>0</v>
      </c>
    </row>
    <row r="1127" spans="2:18" x14ac:dyDescent="0.25">
      <c r="B1127" s="17" t="s">
        <v>660</v>
      </c>
      <c r="C1127" s="18" t="s">
        <v>661</v>
      </c>
      <c r="D1127" s="7" t="e">
        <f ca="1">_xll.xlqPrice(C1127)</f>
        <v>#NAME?</v>
      </c>
      <c r="E1127" s="9" t="e">
        <f t="shared" ca="1" si="172"/>
        <v>#NAME?</v>
      </c>
      <c r="F1127" s="9">
        <f t="shared" ca="1" si="173"/>
        <v>1</v>
      </c>
      <c r="G1127" s="8">
        <f t="shared" ca="1" si="174"/>
        <v>0</v>
      </c>
      <c r="H1127" s="8">
        <f t="shared" ca="1" si="175"/>
        <v>0</v>
      </c>
      <c r="I1127" s="8">
        <f t="shared" ca="1" si="176"/>
        <v>0</v>
      </c>
      <c r="J1127" s="6" t="e">
        <f ca="1">_xll.xlqxhSMA($C1127,$L$4,$J$7,$K$3)</f>
        <v>#NAME?</v>
      </c>
      <c r="K1127" s="7" t="e">
        <f ca="1">_xll.xlqhClose($C1127,K$8,$K$3)</f>
        <v>#NAME?</v>
      </c>
      <c r="L1127" s="7" t="e">
        <f ca="1">_xll.xlqhClose($C1127,L$8,$K$3)</f>
        <v>#NAME?</v>
      </c>
      <c r="N1127" s="9">
        <f t="shared" ca="1" si="177"/>
        <v>1</v>
      </c>
      <c r="O1127" s="9">
        <f t="shared" ca="1" si="178"/>
        <v>1</v>
      </c>
      <c r="P1127" s="9">
        <f t="shared" ca="1" si="179"/>
        <v>1</v>
      </c>
      <c r="Q1127" s="9">
        <f t="shared" ca="1" si="180"/>
        <v>1</v>
      </c>
      <c r="R1127" s="9">
        <f t="shared" ca="1" si="181"/>
        <v>0</v>
      </c>
    </row>
    <row r="1128" spans="2:18" x14ac:dyDescent="0.25">
      <c r="B1128" s="17" t="s">
        <v>1273</v>
      </c>
      <c r="C1128" s="18" t="s">
        <v>1274</v>
      </c>
      <c r="D1128" s="7" t="e">
        <f ca="1">_xll.xlqPrice(C1128)</f>
        <v>#NAME?</v>
      </c>
      <c r="E1128" s="9" t="e">
        <f t="shared" ca="1" si="172"/>
        <v>#NAME?</v>
      </c>
      <c r="F1128" s="9">
        <f t="shared" ca="1" si="173"/>
        <v>1</v>
      </c>
      <c r="G1128" s="8">
        <f t="shared" ca="1" si="174"/>
        <v>0</v>
      </c>
      <c r="H1128" s="8">
        <f t="shared" ca="1" si="175"/>
        <v>0</v>
      </c>
      <c r="I1128" s="8">
        <f t="shared" ca="1" si="176"/>
        <v>0</v>
      </c>
      <c r="J1128" s="6" t="e">
        <f ca="1">_xll.xlqxhSMA($C1128,$L$4,$J$7,$K$3)</f>
        <v>#NAME?</v>
      </c>
      <c r="K1128" s="7" t="e">
        <f ca="1">_xll.xlqhClose($C1128,K$8,$K$3)</f>
        <v>#NAME?</v>
      </c>
      <c r="L1128" s="7" t="e">
        <f ca="1">_xll.xlqhClose($C1128,L$8,$K$3)</f>
        <v>#NAME?</v>
      </c>
      <c r="N1128" s="9">
        <f t="shared" ca="1" si="177"/>
        <v>1</v>
      </c>
      <c r="O1128" s="9">
        <f t="shared" ca="1" si="178"/>
        <v>1</v>
      </c>
      <c r="P1128" s="9">
        <f t="shared" ca="1" si="179"/>
        <v>1</v>
      </c>
      <c r="Q1128" s="9">
        <f t="shared" ca="1" si="180"/>
        <v>1</v>
      </c>
      <c r="R1128" s="9">
        <f t="shared" ca="1" si="181"/>
        <v>0</v>
      </c>
    </row>
    <row r="1129" spans="2:18" x14ac:dyDescent="0.25">
      <c r="B1129" s="17" t="s">
        <v>2289</v>
      </c>
      <c r="C1129" s="18" t="s">
        <v>2290</v>
      </c>
      <c r="D1129" s="7" t="e">
        <f ca="1">_xll.xlqPrice(C1129)</f>
        <v>#NAME?</v>
      </c>
      <c r="E1129" s="9" t="e">
        <f t="shared" ca="1" si="172"/>
        <v>#NAME?</v>
      </c>
      <c r="F1129" s="9">
        <f t="shared" ca="1" si="173"/>
        <v>1</v>
      </c>
      <c r="G1129" s="8">
        <f t="shared" ca="1" si="174"/>
        <v>0</v>
      </c>
      <c r="H1129" s="8">
        <f t="shared" ca="1" si="175"/>
        <v>0</v>
      </c>
      <c r="I1129" s="8">
        <f t="shared" ca="1" si="176"/>
        <v>0</v>
      </c>
      <c r="J1129" s="6" t="e">
        <f ca="1">_xll.xlqxhSMA($C1129,$L$4,$J$7,$K$3)</f>
        <v>#NAME?</v>
      </c>
      <c r="K1129" s="7" t="e">
        <f ca="1">_xll.xlqhClose($C1129,K$8,$K$3)</f>
        <v>#NAME?</v>
      </c>
      <c r="L1129" s="7" t="e">
        <f ca="1">_xll.xlqhClose($C1129,L$8,$K$3)</f>
        <v>#NAME?</v>
      </c>
      <c r="N1129" s="9">
        <f t="shared" ca="1" si="177"/>
        <v>1</v>
      </c>
      <c r="O1129" s="9">
        <f t="shared" ca="1" si="178"/>
        <v>1</v>
      </c>
      <c r="P1129" s="9">
        <f t="shared" ca="1" si="179"/>
        <v>1</v>
      </c>
      <c r="Q1129" s="9">
        <f t="shared" ca="1" si="180"/>
        <v>1</v>
      </c>
      <c r="R1129" s="9">
        <f t="shared" ca="1" si="181"/>
        <v>0</v>
      </c>
    </row>
    <row r="1130" spans="2:18" x14ac:dyDescent="0.25">
      <c r="B1130" s="17" t="s">
        <v>2245</v>
      </c>
      <c r="C1130" s="18" t="s">
        <v>2246</v>
      </c>
      <c r="D1130" s="7" t="e">
        <f ca="1">_xll.xlqPrice(C1130)</f>
        <v>#NAME?</v>
      </c>
      <c r="E1130" s="9" t="e">
        <f t="shared" ca="1" si="172"/>
        <v>#NAME?</v>
      </c>
      <c r="F1130" s="9">
        <f t="shared" ca="1" si="173"/>
        <v>1</v>
      </c>
      <c r="G1130" s="8">
        <f t="shared" ca="1" si="174"/>
        <v>0</v>
      </c>
      <c r="H1130" s="8">
        <f t="shared" ca="1" si="175"/>
        <v>0</v>
      </c>
      <c r="I1130" s="8">
        <f t="shared" ca="1" si="176"/>
        <v>0</v>
      </c>
      <c r="J1130" s="6" t="e">
        <f ca="1">_xll.xlqxhSMA($C1130,$L$4,$J$7,$K$3)</f>
        <v>#NAME?</v>
      </c>
      <c r="K1130" s="7" t="e">
        <f ca="1">_xll.xlqhClose($C1130,K$8,$K$3)</f>
        <v>#NAME?</v>
      </c>
      <c r="L1130" s="7" t="e">
        <f ca="1">_xll.xlqhClose($C1130,L$8,$K$3)</f>
        <v>#NAME?</v>
      </c>
      <c r="N1130" s="9">
        <f t="shared" ca="1" si="177"/>
        <v>1</v>
      </c>
      <c r="O1130" s="9">
        <f t="shared" ca="1" si="178"/>
        <v>1</v>
      </c>
      <c r="P1130" s="9">
        <f t="shared" ca="1" si="179"/>
        <v>1</v>
      </c>
      <c r="Q1130" s="9">
        <f t="shared" ca="1" si="180"/>
        <v>1</v>
      </c>
      <c r="R1130" s="9">
        <f t="shared" ca="1" si="181"/>
        <v>0</v>
      </c>
    </row>
    <row r="1131" spans="2:18" x14ac:dyDescent="0.25">
      <c r="B1131" s="17" t="s">
        <v>2343</v>
      </c>
      <c r="C1131" s="18" t="s">
        <v>2344</v>
      </c>
      <c r="D1131" s="7" t="e">
        <f ca="1">_xll.xlqPrice(C1131)</f>
        <v>#NAME?</v>
      </c>
      <c r="E1131" s="9" t="e">
        <f t="shared" ca="1" si="172"/>
        <v>#NAME?</v>
      </c>
      <c r="F1131" s="9">
        <f t="shared" ca="1" si="173"/>
        <v>1</v>
      </c>
      <c r="G1131" s="8">
        <f t="shared" ca="1" si="174"/>
        <v>0</v>
      </c>
      <c r="H1131" s="8">
        <f t="shared" ca="1" si="175"/>
        <v>0</v>
      </c>
      <c r="I1131" s="8">
        <f t="shared" ca="1" si="176"/>
        <v>0</v>
      </c>
      <c r="J1131" s="6" t="e">
        <f ca="1">_xll.xlqxhSMA($C1131,$L$4,$J$7,$K$3)</f>
        <v>#NAME?</v>
      </c>
      <c r="K1131" s="7" t="e">
        <f ca="1">_xll.xlqhClose($C1131,K$8,$K$3)</f>
        <v>#NAME?</v>
      </c>
      <c r="L1131" s="7" t="e">
        <f ca="1">_xll.xlqhClose($C1131,L$8,$K$3)</f>
        <v>#NAME?</v>
      </c>
      <c r="N1131" s="9">
        <f t="shared" ca="1" si="177"/>
        <v>1</v>
      </c>
      <c r="O1131" s="9">
        <f t="shared" ca="1" si="178"/>
        <v>1</v>
      </c>
      <c r="P1131" s="9">
        <f t="shared" ca="1" si="179"/>
        <v>1</v>
      </c>
      <c r="Q1131" s="9">
        <f t="shared" ca="1" si="180"/>
        <v>1</v>
      </c>
      <c r="R1131" s="9">
        <f t="shared" ca="1" si="181"/>
        <v>0</v>
      </c>
    </row>
    <row r="1132" spans="2:18" x14ac:dyDescent="0.25">
      <c r="B1132" s="17" t="s">
        <v>2291</v>
      </c>
      <c r="C1132" s="18" t="s">
        <v>2292</v>
      </c>
      <c r="D1132" s="7" t="e">
        <f ca="1">_xll.xlqPrice(C1132)</f>
        <v>#NAME?</v>
      </c>
      <c r="E1132" s="9" t="e">
        <f t="shared" ca="1" si="172"/>
        <v>#NAME?</v>
      </c>
      <c r="F1132" s="9">
        <f t="shared" ca="1" si="173"/>
        <v>1</v>
      </c>
      <c r="G1132" s="8">
        <f t="shared" ca="1" si="174"/>
        <v>0</v>
      </c>
      <c r="H1132" s="8">
        <f t="shared" ca="1" si="175"/>
        <v>0</v>
      </c>
      <c r="I1132" s="8">
        <f t="shared" ca="1" si="176"/>
        <v>0</v>
      </c>
      <c r="J1132" s="6" t="e">
        <f ca="1">_xll.xlqxhSMA($C1132,$L$4,$J$7,$K$3)</f>
        <v>#NAME?</v>
      </c>
      <c r="K1132" s="7" t="e">
        <f ca="1">_xll.xlqhClose($C1132,K$8,$K$3)</f>
        <v>#NAME?</v>
      </c>
      <c r="L1132" s="7" t="e">
        <f ca="1">_xll.xlqhClose($C1132,L$8,$K$3)</f>
        <v>#NAME?</v>
      </c>
      <c r="N1132" s="9">
        <f t="shared" ca="1" si="177"/>
        <v>1</v>
      </c>
      <c r="O1132" s="9">
        <f t="shared" ca="1" si="178"/>
        <v>1</v>
      </c>
      <c r="P1132" s="9">
        <f t="shared" ca="1" si="179"/>
        <v>1</v>
      </c>
      <c r="Q1132" s="9">
        <f t="shared" ca="1" si="180"/>
        <v>1</v>
      </c>
      <c r="R1132" s="9">
        <f t="shared" ca="1" si="181"/>
        <v>0</v>
      </c>
    </row>
    <row r="1133" spans="2:18" x14ac:dyDescent="0.25">
      <c r="B1133" s="17" t="s">
        <v>2233</v>
      </c>
      <c r="C1133" s="18" t="s">
        <v>2234</v>
      </c>
      <c r="D1133" s="7" t="e">
        <f ca="1">_xll.xlqPrice(C1133)</f>
        <v>#NAME?</v>
      </c>
      <c r="E1133" s="9" t="e">
        <f t="shared" ca="1" si="172"/>
        <v>#NAME?</v>
      </c>
      <c r="F1133" s="9">
        <f t="shared" ca="1" si="173"/>
        <v>1</v>
      </c>
      <c r="G1133" s="8">
        <f t="shared" ca="1" si="174"/>
        <v>0</v>
      </c>
      <c r="H1133" s="8">
        <f t="shared" ca="1" si="175"/>
        <v>0</v>
      </c>
      <c r="I1133" s="8">
        <f t="shared" ca="1" si="176"/>
        <v>0</v>
      </c>
      <c r="J1133" s="6" t="e">
        <f ca="1">_xll.xlqxhSMA($C1133,$L$4,$J$7,$K$3)</f>
        <v>#NAME?</v>
      </c>
      <c r="K1133" s="7" t="e">
        <f ca="1">_xll.xlqhClose($C1133,K$8,$K$3)</f>
        <v>#NAME?</v>
      </c>
      <c r="L1133" s="7" t="e">
        <f ca="1">_xll.xlqhClose($C1133,L$8,$K$3)</f>
        <v>#NAME?</v>
      </c>
      <c r="N1133" s="9">
        <f t="shared" ca="1" si="177"/>
        <v>1</v>
      </c>
      <c r="O1133" s="9">
        <f t="shared" ca="1" si="178"/>
        <v>1</v>
      </c>
      <c r="P1133" s="9">
        <f t="shared" ca="1" si="179"/>
        <v>1</v>
      </c>
      <c r="Q1133" s="9">
        <f t="shared" ca="1" si="180"/>
        <v>1</v>
      </c>
      <c r="R1133" s="9">
        <f t="shared" ca="1" si="181"/>
        <v>0</v>
      </c>
    </row>
    <row r="1134" spans="2:18" x14ac:dyDescent="0.25">
      <c r="B1134" s="17" t="s">
        <v>2243</v>
      </c>
      <c r="C1134" s="18" t="s">
        <v>2244</v>
      </c>
      <c r="D1134" s="7" t="e">
        <f ca="1">_xll.xlqPrice(C1134)</f>
        <v>#NAME?</v>
      </c>
      <c r="E1134" s="9" t="e">
        <f t="shared" ca="1" si="172"/>
        <v>#NAME?</v>
      </c>
      <c r="F1134" s="9">
        <f t="shared" ca="1" si="173"/>
        <v>1</v>
      </c>
      <c r="G1134" s="8">
        <f t="shared" ca="1" si="174"/>
        <v>0</v>
      </c>
      <c r="H1134" s="8">
        <f t="shared" ca="1" si="175"/>
        <v>0</v>
      </c>
      <c r="I1134" s="8">
        <f t="shared" ca="1" si="176"/>
        <v>0</v>
      </c>
      <c r="J1134" s="6" t="e">
        <f ca="1">_xll.xlqxhSMA($C1134,$L$4,$J$7,$K$3)</f>
        <v>#NAME?</v>
      </c>
      <c r="K1134" s="7" t="e">
        <f ca="1">_xll.xlqhClose($C1134,K$8,$K$3)</f>
        <v>#NAME?</v>
      </c>
      <c r="L1134" s="7" t="e">
        <f ca="1">_xll.xlqhClose($C1134,L$8,$K$3)</f>
        <v>#NAME?</v>
      </c>
      <c r="N1134" s="9">
        <f t="shared" ca="1" si="177"/>
        <v>1</v>
      </c>
      <c r="O1134" s="9">
        <f t="shared" ca="1" si="178"/>
        <v>1</v>
      </c>
      <c r="P1134" s="9">
        <f t="shared" ca="1" si="179"/>
        <v>1</v>
      </c>
      <c r="Q1134" s="9">
        <f t="shared" ca="1" si="180"/>
        <v>1</v>
      </c>
      <c r="R1134" s="9">
        <f t="shared" ca="1" si="181"/>
        <v>0</v>
      </c>
    </row>
    <row r="1135" spans="2:18" x14ac:dyDescent="0.25">
      <c r="B1135" s="17" t="s">
        <v>544</v>
      </c>
      <c r="C1135" s="18" t="s">
        <v>545</v>
      </c>
      <c r="D1135" s="7" t="e">
        <f ca="1">_xll.xlqPrice(C1135)</f>
        <v>#NAME?</v>
      </c>
      <c r="E1135" s="9" t="e">
        <f t="shared" ca="1" si="172"/>
        <v>#NAME?</v>
      </c>
      <c r="F1135" s="9">
        <f t="shared" ca="1" si="173"/>
        <v>1</v>
      </c>
      <c r="G1135" s="8">
        <f t="shared" ca="1" si="174"/>
        <v>0</v>
      </c>
      <c r="H1135" s="8">
        <f t="shared" ca="1" si="175"/>
        <v>0</v>
      </c>
      <c r="I1135" s="8">
        <f t="shared" ca="1" si="176"/>
        <v>0</v>
      </c>
      <c r="J1135" s="6" t="e">
        <f ca="1">_xll.xlqxhSMA($C1135,$L$4,$J$7,$K$3)</f>
        <v>#NAME?</v>
      </c>
      <c r="K1135" s="7" t="e">
        <f ca="1">_xll.xlqhClose($C1135,K$8,$K$3)</f>
        <v>#NAME?</v>
      </c>
      <c r="L1135" s="7" t="e">
        <f ca="1">_xll.xlqhClose($C1135,L$8,$K$3)</f>
        <v>#NAME?</v>
      </c>
      <c r="N1135" s="9">
        <f t="shared" ca="1" si="177"/>
        <v>1</v>
      </c>
      <c r="O1135" s="9">
        <f t="shared" ca="1" si="178"/>
        <v>1</v>
      </c>
      <c r="P1135" s="9">
        <f t="shared" ca="1" si="179"/>
        <v>1</v>
      </c>
      <c r="Q1135" s="9">
        <f t="shared" ca="1" si="180"/>
        <v>1</v>
      </c>
      <c r="R1135" s="9">
        <f t="shared" ca="1" si="181"/>
        <v>0</v>
      </c>
    </row>
    <row r="1136" spans="2:18" x14ac:dyDescent="0.25">
      <c r="B1136" t="s">
        <v>1819</v>
      </c>
      <c r="C1136" s="39" t="s">
        <v>1820</v>
      </c>
      <c r="D1136" s="7" t="e">
        <f ca="1">_xll.xlqPrice(C1136)</f>
        <v>#NAME?</v>
      </c>
      <c r="E1136" s="9" t="e">
        <f t="shared" ca="1" si="172"/>
        <v>#NAME?</v>
      </c>
      <c r="F1136" s="9">
        <f t="shared" ca="1" si="173"/>
        <v>1</v>
      </c>
      <c r="G1136" s="8">
        <f t="shared" ca="1" si="174"/>
        <v>0</v>
      </c>
      <c r="H1136" s="8">
        <f t="shared" ca="1" si="175"/>
        <v>0</v>
      </c>
      <c r="I1136" s="8">
        <f t="shared" ca="1" si="176"/>
        <v>0</v>
      </c>
      <c r="J1136" s="6" t="e">
        <f ca="1">_xll.xlqxhSMA($C1136,$L$4,$J$7,$K$3)</f>
        <v>#NAME?</v>
      </c>
      <c r="K1136" s="7" t="e">
        <f ca="1">_xll.xlqhClose($C1136,K$8,$K$3)</f>
        <v>#NAME?</v>
      </c>
      <c r="L1136" s="7" t="e">
        <f ca="1">_xll.xlqhClose($C1136,L$8,$K$3)</f>
        <v>#NAME?</v>
      </c>
      <c r="N1136" s="9">
        <f t="shared" ca="1" si="177"/>
        <v>1</v>
      </c>
      <c r="O1136" s="9">
        <f t="shared" ca="1" si="178"/>
        <v>1</v>
      </c>
      <c r="P1136" s="9">
        <f t="shared" ca="1" si="179"/>
        <v>1</v>
      </c>
      <c r="Q1136" s="9">
        <f t="shared" ca="1" si="180"/>
        <v>1</v>
      </c>
      <c r="R1136" s="9">
        <f t="shared" ca="1" si="181"/>
        <v>0</v>
      </c>
    </row>
    <row r="1137" spans="2:18" x14ac:dyDescent="0.25">
      <c r="B1137" s="17" t="s">
        <v>2147</v>
      </c>
      <c r="C1137" s="18" t="s">
        <v>2148</v>
      </c>
      <c r="D1137" s="7" t="e">
        <f ca="1">_xll.xlqPrice(C1137)</f>
        <v>#NAME?</v>
      </c>
      <c r="E1137" s="9" t="e">
        <f t="shared" ca="1" si="172"/>
        <v>#NAME?</v>
      </c>
      <c r="F1137" s="9">
        <f t="shared" ca="1" si="173"/>
        <v>1</v>
      </c>
      <c r="G1137" s="8">
        <f t="shared" ca="1" si="174"/>
        <v>0</v>
      </c>
      <c r="H1137" s="8">
        <f t="shared" ca="1" si="175"/>
        <v>0</v>
      </c>
      <c r="I1137" s="8">
        <f t="shared" ca="1" si="176"/>
        <v>0</v>
      </c>
      <c r="J1137" s="6" t="e">
        <f ca="1">_xll.xlqxhSMA($C1137,$L$4,$J$7,$K$3)</f>
        <v>#NAME?</v>
      </c>
      <c r="K1137" s="7" t="e">
        <f ca="1">_xll.xlqhClose($C1137,K$8,$K$3)</f>
        <v>#NAME?</v>
      </c>
      <c r="L1137" s="7" t="e">
        <f ca="1">_xll.xlqhClose($C1137,L$8,$K$3)</f>
        <v>#NAME?</v>
      </c>
      <c r="N1137" s="9">
        <f t="shared" ca="1" si="177"/>
        <v>1</v>
      </c>
      <c r="O1137" s="9">
        <f t="shared" ca="1" si="178"/>
        <v>1</v>
      </c>
      <c r="P1137" s="9">
        <f t="shared" ca="1" si="179"/>
        <v>1</v>
      </c>
      <c r="Q1137" s="9">
        <f t="shared" ca="1" si="180"/>
        <v>1</v>
      </c>
      <c r="R1137" s="9">
        <f t="shared" ca="1" si="181"/>
        <v>0</v>
      </c>
    </row>
    <row r="1138" spans="2:18" x14ac:dyDescent="0.25">
      <c r="B1138" s="17" t="s">
        <v>794</v>
      </c>
      <c r="C1138" s="18" t="s">
        <v>795</v>
      </c>
      <c r="D1138" s="7" t="e">
        <f ca="1">_xll.xlqPrice(C1138)</f>
        <v>#NAME?</v>
      </c>
      <c r="E1138" s="9" t="e">
        <f t="shared" ca="1" si="172"/>
        <v>#NAME?</v>
      </c>
      <c r="F1138" s="9">
        <f t="shared" ca="1" si="173"/>
        <v>1</v>
      </c>
      <c r="G1138" s="8">
        <f t="shared" ca="1" si="174"/>
        <v>0</v>
      </c>
      <c r="H1138" s="8">
        <f t="shared" ca="1" si="175"/>
        <v>0</v>
      </c>
      <c r="I1138" s="8">
        <f t="shared" ca="1" si="176"/>
        <v>0</v>
      </c>
      <c r="J1138" s="6" t="e">
        <f ca="1">_xll.xlqxhSMA($C1138,$L$4,$J$7,$K$3)</f>
        <v>#NAME?</v>
      </c>
      <c r="K1138" s="7" t="e">
        <f ca="1">_xll.xlqhClose($C1138,K$8,$K$3)</f>
        <v>#NAME?</v>
      </c>
      <c r="L1138" s="7" t="e">
        <f ca="1">_xll.xlqhClose($C1138,L$8,$K$3)</f>
        <v>#NAME?</v>
      </c>
      <c r="N1138" s="9">
        <f t="shared" ca="1" si="177"/>
        <v>1</v>
      </c>
      <c r="O1138" s="9">
        <f t="shared" ca="1" si="178"/>
        <v>1</v>
      </c>
      <c r="P1138" s="9">
        <f t="shared" ca="1" si="179"/>
        <v>1</v>
      </c>
      <c r="Q1138" s="9">
        <f t="shared" ca="1" si="180"/>
        <v>1</v>
      </c>
      <c r="R1138" s="9">
        <f t="shared" ca="1" si="181"/>
        <v>0</v>
      </c>
    </row>
  </sheetData>
  <autoFilter ref="B10:R1138">
    <sortState ref="B11:R1138">
      <sortCondition ref="F10:F216"/>
    </sortState>
  </autoFilter>
  <mergeCells count="4">
    <mergeCell ref="J6:L6"/>
    <mergeCell ref="G9:I9"/>
    <mergeCell ref="J9:L9"/>
    <mergeCell ref="N9:R9"/>
  </mergeCells>
  <conditionalFormatting sqref="E11:E1138">
    <cfRule type="containsText" dxfId="7" priority="12" operator="containsText" text="Cash">
      <formula>NOT(ISERROR(SEARCH("Cash",E11)))</formula>
    </cfRule>
    <cfRule type="containsText" dxfId="6" priority="13" operator="containsText" text="Buy">
      <formula>NOT(ISERROR(SEARCH("Buy",E11)))</formula>
    </cfRule>
  </conditionalFormatting>
  <conditionalFormatting sqref="G11:I1138">
    <cfRule type="cellIs" dxfId="5" priority="7" operator="greaterThan">
      <formula>0</formula>
    </cfRule>
    <cfRule type="cellIs" dxfId="4" priority="8" operator="lessThan">
      <formula>0</formula>
    </cfRule>
  </conditionalFormatting>
  <conditionalFormatting sqref="G1138:I1138">
    <cfRule type="cellIs" dxfId="3" priority="5" operator="greaterThan">
      <formula>0</formula>
    </cfRule>
    <cfRule type="cellIs" dxfId="2" priority="6" operator="lessThan">
      <formula>0</formula>
    </cfRule>
  </conditionalFormatting>
  <conditionalFormatting sqref="G11:I1138">
    <cfRule type="cellIs" dxfId="1" priority="3" operator="greaterThan">
      <formula>G$2</formula>
    </cfRule>
  </conditionalFormatting>
  <conditionalFormatting sqref="H11:I1138">
    <cfRule type="cellIs" dxfId="0" priority="2" operator="greaterThan">
      <formula>"H$2"</formula>
    </cfRule>
  </conditionalFormatting>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C5" sqref="C5"/>
    </sheetView>
  </sheetViews>
  <sheetFormatPr defaultRowHeight="15" x14ac:dyDescent="0.25"/>
  <cols>
    <col min="1" max="2" width="16" customWidth="1"/>
    <col min="3" max="3" width="157.7109375" bestFit="1" customWidth="1"/>
  </cols>
  <sheetData>
    <row r="1" spans="1:3" x14ac:dyDescent="0.25">
      <c r="A1" t="s">
        <v>2363</v>
      </c>
    </row>
    <row r="2" spans="1:3" x14ac:dyDescent="0.25">
      <c r="A2" t="s">
        <v>2359</v>
      </c>
    </row>
    <row r="3" spans="1:3" x14ac:dyDescent="0.25">
      <c r="A3" t="s">
        <v>2364</v>
      </c>
      <c r="B3">
        <v>1.01</v>
      </c>
    </row>
    <row r="4" spans="1:3" x14ac:dyDescent="0.25">
      <c r="A4" t="s">
        <v>2365</v>
      </c>
      <c r="B4" s="35">
        <v>41509</v>
      </c>
    </row>
    <row r="10" spans="1:3" x14ac:dyDescent="0.25">
      <c r="A10" t="s">
        <v>2360</v>
      </c>
      <c r="B10" t="s">
        <v>2362</v>
      </c>
      <c r="C10" t="s">
        <v>2361</v>
      </c>
    </row>
    <row r="11" spans="1:3" x14ac:dyDescent="0.25">
      <c r="A11" s="35">
        <v>41509</v>
      </c>
      <c r="B11">
        <v>1.01</v>
      </c>
      <c r="C11" t="s">
        <v>2366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5"/>
  <sheetViews>
    <sheetView workbookViewId="0">
      <selection activeCell="G29" sqref="G29"/>
    </sheetView>
  </sheetViews>
  <sheetFormatPr defaultRowHeight="15" x14ac:dyDescent="0.25"/>
  <cols>
    <col min="1" max="1" width="17.42578125" customWidth="1"/>
  </cols>
  <sheetData>
    <row r="1" spans="1:1" x14ac:dyDescent="0.25">
      <c r="A1" s="49" t="s">
        <v>2368</v>
      </c>
    </row>
    <row r="2" spans="1:1" x14ac:dyDescent="0.25">
      <c r="A2" s="48"/>
    </row>
    <row r="3" spans="1:1" x14ac:dyDescent="0.25">
      <c r="A3" s="48" t="s">
        <v>2369</v>
      </c>
    </row>
    <row r="4" spans="1:1" x14ac:dyDescent="0.25">
      <c r="A4" s="48"/>
    </row>
    <row r="5" spans="1:1" x14ac:dyDescent="0.25">
      <c r="A5" s="48" t="s">
        <v>2370</v>
      </c>
    </row>
    <row r="6" spans="1:1" x14ac:dyDescent="0.25">
      <c r="A6" s="48"/>
    </row>
    <row r="7" spans="1:1" x14ac:dyDescent="0.25">
      <c r="A7" s="48" t="s">
        <v>2371</v>
      </c>
    </row>
    <row r="8" spans="1:1" x14ac:dyDescent="0.25">
      <c r="A8" s="48"/>
    </row>
    <row r="9" spans="1:1" x14ac:dyDescent="0.25">
      <c r="A9" s="48" t="s">
        <v>2372</v>
      </c>
    </row>
    <row r="10" spans="1:1" x14ac:dyDescent="0.25">
      <c r="A10" s="48" t="s">
        <v>2373</v>
      </c>
    </row>
    <row r="11" spans="1:1" x14ac:dyDescent="0.25">
      <c r="A11" s="48"/>
    </row>
    <row r="12" spans="1:1" x14ac:dyDescent="0.25">
      <c r="A12" s="48" t="s">
        <v>2374</v>
      </c>
    </row>
    <row r="13" spans="1:1" x14ac:dyDescent="0.25">
      <c r="A13" s="48"/>
    </row>
    <row r="14" spans="1:1" x14ac:dyDescent="0.25">
      <c r="A14" s="48" t="s">
        <v>2379</v>
      </c>
    </row>
    <row r="15" spans="1:1" x14ac:dyDescent="0.25">
      <c r="A15" s="48" t="s">
        <v>2380</v>
      </c>
    </row>
    <row r="17" spans="1:1" x14ac:dyDescent="0.25">
      <c r="A17" s="48" t="s">
        <v>2375</v>
      </c>
    </row>
    <row r="18" spans="1:1" x14ac:dyDescent="0.25">
      <c r="A18" s="48"/>
    </row>
    <row r="19" spans="1:1" x14ac:dyDescent="0.25">
      <c r="A19" s="48" t="s">
        <v>2376</v>
      </c>
    </row>
    <row r="20" spans="1:1" x14ac:dyDescent="0.25">
      <c r="A20" s="48"/>
    </row>
    <row r="21" spans="1:1" x14ac:dyDescent="0.25">
      <c r="A21" s="48" t="s">
        <v>2377</v>
      </c>
    </row>
    <row r="22" spans="1:1" x14ac:dyDescent="0.25">
      <c r="A22" s="48"/>
    </row>
    <row r="23" spans="1:1" x14ac:dyDescent="0.25">
      <c r="A23" s="55" t="s">
        <v>2381</v>
      </c>
    </row>
    <row r="25" spans="1:1" x14ac:dyDescent="0.25">
      <c r="A25" s="48" t="s">
        <v>2378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ETF13</vt:lpstr>
      <vt:lpstr>ETF22</vt:lpstr>
      <vt:lpstr>ETF32</vt:lpstr>
      <vt:lpstr>Dow30</vt:lpstr>
      <vt:lpstr>Brown4</vt:lpstr>
      <vt:lpstr>ETF 200</vt:lpstr>
      <vt:lpstr>ETFmax</vt:lpstr>
      <vt:lpstr>Notes</vt:lpstr>
      <vt:lpstr>Legal Notices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klong</dc:creator>
  <cp:lastModifiedBy>Jessie Whitman</cp:lastModifiedBy>
  <dcterms:created xsi:type="dcterms:W3CDTF">2012-04-17T23:53:47Z</dcterms:created>
  <dcterms:modified xsi:type="dcterms:W3CDTF">2014-04-09T14:27:36Z</dcterms:modified>
</cp:coreProperties>
</file>